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ae476_exeter_ac_uk/Documents/Documents/GitHub/FTT_StandAlone_GMP/Inputs/_MasterFiles/FTT-GMP/"/>
    </mc:Choice>
  </mc:AlternateContent>
  <xr:revisionPtr revIDLastSave="288" documentId="8_{13BF6B7A-2A1B-4BF6-9A13-F59AE887C3C0}" xr6:coauthVersionLast="47" xr6:coauthVersionMax="47" xr10:uidLastSave="{587DDFC8-51D4-4AE2-889B-A64646199D06}"/>
  <bookViews>
    <workbookView xWindow="28680" yWindow="-120" windowWidth="29040" windowHeight="16440" tabRatio="767" firstSheet="1" activeTab="2" xr2:uid="{00000000-000D-0000-FFFF-FFFF00000000}"/>
  </bookViews>
  <sheets>
    <sheet name="Info" sheetId="1" r:id="rId1"/>
    <sheet name="Titles" sheetId="2" r:id="rId2"/>
    <sheet name="GCET" sheetId="6" r:id="rId3"/>
    <sheet name="GMP" sheetId="4" r:id="rId4"/>
  </sheets>
  <definedNames>
    <definedName name="_xlnm._FilterDatabase" localSheetId="2" hidden="1">GCET!$B$5:$L$9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6" l="1"/>
  <c r="P5" i="6"/>
  <c r="O5" i="6"/>
  <c r="N5" i="6"/>
  <c r="M5" i="6"/>
  <c r="L5" i="6"/>
  <c r="K5" i="6"/>
  <c r="J5" i="6"/>
  <c r="C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3" i="2"/>
  <c r="I5" i="6" l="1"/>
  <c r="H5" i="6"/>
  <c r="G5" i="6"/>
  <c r="F5" i="6"/>
  <c r="E5" i="6"/>
  <c r="D5" i="6"/>
  <c r="C5" i="6"/>
  <c r="B9" i="6"/>
  <c r="B8" i="6"/>
  <c r="B7" i="6"/>
  <c r="B6" i="6"/>
</calcChain>
</file>

<file path=xl/sharedStrings.xml><?xml version="1.0" encoding="utf-8"?>
<sst xmlns="http://schemas.openxmlformats.org/spreadsheetml/2006/main" count="88" uniqueCount="80">
  <si>
    <t>File name</t>
  </si>
  <si>
    <t>FTT-Tr-25x61_2020.xlsx</t>
  </si>
  <si>
    <t>Author</t>
  </si>
  <si>
    <t>Cambridge Econometrics</t>
  </si>
  <si>
    <t>Version</t>
  </si>
  <si>
    <t>Last revised</t>
  </si>
  <si>
    <t>Status</t>
  </si>
  <si>
    <t>Under development</t>
  </si>
  <si>
    <t>Source</t>
  </si>
  <si>
    <t>J:\Projects\....</t>
  </si>
  <si>
    <t>Purpose</t>
  </si>
  <si>
    <t xml:space="preserve">This excel file contains all cost data, assumptions and policy levers related to the FTT road transport model. A python job will be developed to read in the data from these sheets and to store it in the appropriate databanks. </t>
  </si>
  <si>
    <t>Sheets in this file:</t>
  </si>
  <si>
    <t>Info</t>
  </si>
  <si>
    <t>This documentation sheet</t>
  </si>
  <si>
    <t>Titles</t>
  </si>
  <si>
    <t>All titles used in FTT:Tr</t>
  </si>
  <si>
    <t>TEWS</t>
  </si>
  <si>
    <t>Historical market shares of vehicles (1990 to 2100)</t>
  </si>
  <si>
    <t>BTTC</t>
  </si>
  <si>
    <t>Cost matrices</t>
  </si>
  <si>
    <t>Assumptions</t>
  </si>
  <si>
    <t>Contains data for the following variables: TEWA, TEWB, TESF, TESH, TSFD, TETH, and TEWW</t>
  </si>
  <si>
    <t>RFLT#</t>
  </si>
  <si>
    <t>Car stock, history and projection. Scenario dependent, i.e. # = 0 to 9. Use this in case exogenous projections of car stocks are preferred over endogenous calculation.</t>
  </si>
  <si>
    <t>RVKM#</t>
  </si>
  <si>
    <t>Demand for driving projections. Scenario dependent, i.e. # = 0 to 9. Use this in case exogenous projections of driving demand is preferred over endogenous calculation.</t>
  </si>
  <si>
    <t>RTKM#</t>
  </si>
  <si>
    <t>Demand for freight transport. Scenario dependent, i.e. # = 0 to 9. Only exogenous.</t>
  </si>
  <si>
    <t>RTFT#</t>
  </si>
  <si>
    <t>Fuel tax. Scenario dependent, i.e. # = 0 to 9. Policy lever.</t>
  </si>
  <si>
    <t>RBFM#</t>
  </si>
  <si>
    <t>Biofuel blending mandate. Scenario dependent, i.e. # = 0 to 9. Policy lever.</t>
  </si>
  <si>
    <t>RHSM#</t>
  </si>
  <si>
    <t>Hydrogen fuel substition for freight transport. Scenario dependent, i.e. # = 0 to 9. Exogenous assumption.</t>
  </si>
  <si>
    <t>RTCO#</t>
  </si>
  <si>
    <t>Registration tax. Scenario dependent, i.e. # = 0 to 9. Policy lever.</t>
  </si>
  <si>
    <t>TTVT#</t>
  </si>
  <si>
    <t>Vehicle tax. Scenario dependent, i.e. # = 0 to 9. Policy lever.</t>
  </si>
  <si>
    <t>TTRT#</t>
  </si>
  <si>
    <t>Road tax. Scenario dependent, i.e. # = 0 to 9. Policy lever.</t>
  </si>
  <si>
    <t>TREG#</t>
  </si>
  <si>
    <t>Phase-out regulation of vehicle types. Scenario dependent, i.e. # = 0 to 9. Policy lever.</t>
  </si>
  <si>
    <t>TWSA#</t>
  </si>
  <si>
    <t>Exogenous market share changes. Scenario dependent, i.e. # = 0 to 9. Policy lever.</t>
  </si>
  <si>
    <t>History and authorisation table</t>
  </si>
  <si>
    <t>Release date</t>
  </si>
  <si>
    <t>Released by</t>
  </si>
  <si>
    <t>Description</t>
  </si>
  <si>
    <t>PV</t>
  </si>
  <si>
    <t>Setting up FTT:Tr template to survive the test of time.</t>
  </si>
  <si>
    <t>#</t>
  </si>
  <si>
    <t>C2TI</t>
  </si>
  <si>
    <t>DAC</t>
  </si>
  <si>
    <t>DOC</t>
  </si>
  <si>
    <t>Electrolyser</t>
  </si>
  <si>
    <t>Methanation</t>
  </si>
  <si>
    <t>The costs are in 20xx GBP</t>
  </si>
  <si>
    <t xml:space="preserve">This cost data uses a combination of data from </t>
  </si>
  <si>
    <t>Capacity factor</t>
  </si>
  <si>
    <t>Eff learning</t>
  </si>
  <si>
    <t>Inv learning</t>
  </si>
  <si>
    <t xml:space="preserve"> </t>
  </si>
  <si>
    <t>Units</t>
  </si>
  <si>
    <t>(£/tCO2 or £/kgH2)</t>
  </si>
  <si>
    <t>(years)</t>
  </si>
  <si>
    <t>(MWh/tCO2 or MWh/kgH2)</t>
  </si>
  <si>
    <t>(tCO2/h or kgH2/h)</t>
  </si>
  <si>
    <t>C5TI</t>
  </si>
  <si>
    <t>OPEX learning</t>
  </si>
  <si>
    <t xml:space="preserve">Investment </t>
  </si>
  <si>
    <t xml:space="preserve">std </t>
  </si>
  <si>
    <t>O&amp;M (fixed)</t>
  </si>
  <si>
    <t xml:space="preserve">Lifetime </t>
  </si>
  <si>
    <t xml:space="preserve">Efficiency </t>
  </si>
  <si>
    <t xml:space="preserve">Capture/production rates  </t>
  </si>
  <si>
    <t>O&amp;M (variable)</t>
  </si>
  <si>
    <t>Baseline capacity</t>
  </si>
  <si>
    <t>(tCO2/yr or kgH2/yr)</t>
  </si>
  <si>
    <t>Lead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</si>
</sst>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6398"/>
      <name val="Calibri"/>
      <family val="2"/>
      <scheme val="minor"/>
    </font>
    <font>
      <b/>
      <i/>
      <sz val="11"/>
      <color rgb="FF006398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3"/>
      <charset val="128"/>
      <scheme val="minor"/>
    </font>
    <font>
      <sz val="12"/>
      <color theme="1"/>
      <name val="Aptos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EE2F7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639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3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2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8">
    <xf numFmtId="0" fontId="0" fillId="0" borderId="0"/>
    <xf numFmtId="164" fontId="1" fillId="0" borderId="1"/>
    <xf numFmtId="165" fontId="1" fillId="0" borderId="1"/>
    <xf numFmtId="0" fontId="3" fillId="0" borderId="0"/>
    <xf numFmtId="0" fontId="6" fillId="3" borderId="10"/>
    <xf numFmtId="165" fontId="6" fillId="3" borderId="12"/>
    <xf numFmtId="0" fontId="7" fillId="4" borderId="11"/>
    <xf numFmtId="0" fontId="8" fillId="0" borderId="0"/>
  </cellStyleXfs>
  <cellXfs count="35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4" fillId="2" borderId="0" xfId="0" applyFont="1" applyFill="1"/>
    <xf numFmtId="0" fontId="0" fillId="2" borderId="0" xfId="0" applyFill="1"/>
    <xf numFmtId="0" fontId="0" fillId="2" borderId="6" xfId="0" applyFill="1" applyBorder="1"/>
    <xf numFmtId="0" fontId="2" fillId="2" borderId="0" xfId="0" applyFont="1" applyFill="1"/>
    <xf numFmtId="164" fontId="0" fillId="2" borderId="0" xfId="0" applyNumberFormat="1" applyFill="1" applyAlignment="1">
      <alignment horizontal="left"/>
    </xf>
    <xf numFmtId="15" fontId="0" fillId="2" borderId="0" xfId="0" applyNumberFormat="1" applyFill="1" applyAlignment="1">
      <alignment horizontal="left"/>
    </xf>
    <xf numFmtId="0" fontId="0" fillId="2" borderId="0" xfId="0" quotePrefix="1" applyFill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5" fillId="2" borderId="2" xfId="0" applyFont="1" applyFill="1" applyBorder="1"/>
    <xf numFmtId="0" fontId="0" fillId="2" borderId="0" xfId="0" applyFill="1" applyAlignment="1">
      <alignment vertical="top"/>
    </xf>
    <xf numFmtId="164" fontId="0" fillId="2" borderId="0" xfId="0" applyNumberFormat="1" applyFill="1" applyAlignment="1">
      <alignment horizontal="left" vertical="top"/>
    </xf>
    <xf numFmtId="14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vertical="top" wrapText="1"/>
    </xf>
    <xf numFmtId="0" fontId="0" fillId="5" borderId="0" xfId="0" applyFill="1"/>
    <xf numFmtId="0" fontId="0" fillId="7" borderId="0" xfId="0" applyFill="1"/>
    <xf numFmtId="0" fontId="0" fillId="2" borderId="0" xfId="0" applyFill="1" applyAlignment="1">
      <alignment wrapText="1"/>
    </xf>
    <xf numFmtId="0" fontId="3" fillId="2" borderId="0" xfId="3" applyFill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6" borderId="0" xfId="0" applyFill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11" fillId="0" borderId="0" xfId="0" applyFont="1"/>
    <xf numFmtId="0" fontId="0" fillId="7" borderId="0" xfId="0" applyFill="1" applyAlignment="1">
      <alignment horizontal="center" vertical="center"/>
    </xf>
    <xf numFmtId="0" fontId="0" fillId="0" borderId="0" xfId="0"/>
    <xf numFmtId="0" fontId="0" fillId="2" borderId="0" xfId="0" applyFill="1" applyAlignment="1">
      <alignment horizontal="center" wrapText="1"/>
    </xf>
    <xf numFmtId="0" fontId="0" fillId="7" borderId="0" xfId="0" applyFill="1"/>
  </cellXfs>
  <cellStyles count="8">
    <cellStyle name="Hyperlink" xfId="3" builtinId="8"/>
    <cellStyle name="InputCellNumber" xfId="4" xr:uid="{00000000-0005-0000-0000-000004000000}"/>
    <cellStyle name="InputCellPercent" xfId="5" xr:uid="{00000000-0005-0000-0000-000005000000}"/>
    <cellStyle name="Normal" xfId="0" builtinId="0"/>
    <cellStyle name="Normal 2" xfId="7" xr:uid="{00000000-0005-0000-0000-000007000000}"/>
    <cellStyle name="ResultNumber" xfId="1" xr:uid="{00000000-0005-0000-0000-000001000000}"/>
    <cellStyle name="ResultPercent" xfId="2" xr:uid="{00000000-0005-0000-0000-000002000000}"/>
    <cellStyle name="Table Label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642938</xdr:colOff>
      <xdr:row>0</xdr:row>
      <xdr:rowOff>85725</xdr:rowOff>
    </xdr:from>
    <xdr:to>
      <xdr:col>2</xdr:col>
      <xdr:colOff>1438275</xdr:colOff>
      <xdr:row>4</xdr:row>
      <xdr:rowOff>93345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2938" y="85725"/>
          <a:ext cx="1676400" cy="731520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37CFFF"/>
  </sheetPr>
  <dimension ref="B6:G46"/>
  <sheetViews>
    <sheetView showGridLines="0" topLeftCell="A22" zoomScaleNormal="100" workbookViewId="0"/>
  </sheetViews>
  <sheetFormatPr defaultColWidth="8.81640625" defaultRowHeight="14.5"/>
  <cols>
    <col min="2" max="2" width="3.453125" customWidth="1"/>
    <col min="3" max="3" width="27.54296875" customWidth="1"/>
    <col min="4" max="4" width="19.453125" customWidth="1"/>
    <col min="5" max="5" width="13.453125" customWidth="1"/>
    <col min="6" max="6" width="73" customWidth="1"/>
    <col min="7" max="7" width="3.54296875" customWidth="1"/>
  </cols>
  <sheetData>
    <row r="6" spans="2:7">
      <c r="B6" s="1"/>
      <c r="C6" s="2"/>
      <c r="D6" s="2"/>
      <c r="E6" s="2"/>
      <c r="F6" s="2"/>
      <c r="G6" s="3"/>
    </row>
    <row r="7" spans="2:7">
      <c r="B7" s="4"/>
      <c r="C7" s="5" t="s">
        <v>0</v>
      </c>
      <c r="D7" s="6" t="s">
        <v>1</v>
      </c>
      <c r="E7" s="6"/>
      <c r="F7" s="6"/>
      <c r="G7" s="7"/>
    </row>
    <row r="8" spans="2:7">
      <c r="B8" s="4"/>
      <c r="C8" s="5" t="s">
        <v>2</v>
      </c>
      <c r="D8" s="6" t="s">
        <v>3</v>
      </c>
      <c r="E8" s="6"/>
      <c r="F8" s="6"/>
      <c r="G8" s="7"/>
    </row>
    <row r="9" spans="2:7">
      <c r="B9" s="4"/>
      <c r="C9" s="5"/>
      <c r="D9" s="6"/>
      <c r="E9" s="6"/>
      <c r="F9" s="6"/>
      <c r="G9" s="7"/>
    </row>
    <row r="10" spans="2:7">
      <c r="B10" s="4"/>
      <c r="C10" s="5" t="s">
        <v>4</v>
      </c>
      <c r="D10" s="9">
        <v>1.2</v>
      </c>
      <c r="E10" s="6"/>
      <c r="F10" s="6"/>
      <c r="G10" s="7"/>
    </row>
    <row r="11" spans="2:7">
      <c r="B11" s="4"/>
      <c r="C11" s="5" t="s">
        <v>5</v>
      </c>
      <c r="D11" s="10">
        <v>43893</v>
      </c>
      <c r="E11" s="6"/>
      <c r="F11" s="6"/>
      <c r="G11" s="7"/>
    </row>
    <row r="12" spans="2:7">
      <c r="B12" s="4"/>
      <c r="C12" s="5" t="s">
        <v>6</v>
      </c>
      <c r="D12" s="6" t="s">
        <v>7</v>
      </c>
      <c r="E12" s="6"/>
      <c r="F12" s="6"/>
      <c r="G12" s="7"/>
    </row>
    <row r="13" spans="2:7">
      <c r="B13" s="4"/>
      <c r="C13" s="5" t="s">
        <v>8</v>
      </c>
      <c r="D13" s="8" t="s">
        <v>9</v>
      </c>
      <c r="E13" s="6"/>
      <c r="F13" s="6"/>
      <c r="G13" s="7"/>
    </row>
    <row r="14" spans="2:7">
      <c r="B14" s="4"/>
      <c r="C14" s="5"/>
      <c r="D14" s="6"/>
      <c r="E14" s="6"/>
      <c r="F14" s="6"/>
      <c r="G14" s="7"/>
    </row>
    <row r="15" spans="2:7" ht="38.25" customHeight="1">
      <c r="B15" s="4"/>
      <c r="C15" s="5" t="s">
        <v>10</v>
      </c>
      <c r="D15" s="33" t="s">
        <v>11</v>
      </c>
      <c r="E15" s="32"/>
      <c r="F15" s="32"/>
      <c r="G15" s="7"/>
    </row>
    <row r="16" spans="2:7">
      <c r="B16" s="4"/>
      <c r="C16" s="5"/>
      <c r="D16" s="11"/>
      <c r="E16" s="6"/>
      <c r="F16" s="6"/>
      <c r="G16" s="7"/>
    </row>
    <row r="17" spans="2:7">
      <c r="B17" s="4"/>
      <c r="C17" s="5"/>
      <c r="D17" s="11"/>
      <c r="E17" s="6"/>
      <c r="F17" s="6"/>
      <c r="G17" s="7"/>
    </row>
    <row r="18" spans="2:7">
      <c r="B18" s="4"/>
      <c r="C18" s="5"/>
      <c r="D18" s="11"/>
      <c r="E18" s="6"/>
      <c r="F18" s="6"/>
      <c r="G18" s="7"/>
    </row>
    <row r="19" spans="2:7">
      <c r="B19" s="4"/>
      <c r="C19" s="5" t="s">
        <v>12</v>
      </c>
      <c r="D19" s="6"/>
      <c r="E19" s="6"/>
      <c r="F19" s="6"/>
      <c r="G19" s="7"/>
    </row>
    <row r="20" spans="2:7">
      <c r="B20" s="4"/>
      <c r="C20" s="6"/>
      <c r="D20" s="6"/>
      <c r="E20" s="6"/>
      <c r="F20" s="6"/>
      <c r="G20" s="7"/>
    </row>
    <row r="21" spans="2:7">
      <c r="B21" s="4"/>
      <c r="C21" s="6"/>
      <c r="D21" s="23" t="s">
        <v>13</v>
      </c>
      <c r="E21" s="6"/>
      <c r="F21" s="6" t="s">
        <v>14</v>
      </c>
      <c r="G21" s="7"/>
    </row>
    <row r="22" spans="2:7">
      <c r="B22" s="4"/>
      <c r="C22" s="6"/>
      <c r="D22" s="23" t="s">
        <v>15</v>
      </c>
      <c r="E22" s="6"/>
      <c r="F22" s="6" t="s">
        <v>16</v>
      </c>
      <c r="G22" s="7"/>
    </row>
    <row r="23" spans="2:7">
      <c r="B23" s="4"/>
      <c r="C23" s="6"/>
      <c r="D23" s="23" t="s">
        <v>17</v>
      </c>
      <c r="E23" s="6"/>
      <c r="F23" s="6" t="s">
        <v>18</v>
      </c>
      <c r="G23" s="7"/>
    </row>
    <row r="24" spans="2:7">
      <c r="B24" s="4"/>
      <c r="C24" s="6"/>
      <c r="D24" s="23" t="s">
        <v>19</v>
      </c>
      <c r="E24" s="6"/>
      <c r="F24" s="6" t="s">
        <v>20</v>
      </c>
      <c r="G24" s="7"/>
    </row>
    <row r="25" spans="2:7" ht="30" customHeight="1">
      <c r="B25" s="4"/>
      <c r="C25" s="6"/>
      <c r="D25" s="23" t="s">
        <v>21</v>
      </c>
      <c r="E25" s="6"/>
      <c r="F25" s="22" t="s">
        <v>22</v>
      </c>
      <c r="G25" s="7"/>
    </row>
    <row r="26" spans="2:7" ht="45" customHeight="1">
      <c r="B26" s="4"/>
      <c r="C26" s="6"/>
      <c r="D26" s="23" t="s">
        <v>23</v>
      </c>
      <c r="E26" s="6"/>
      <c r="F26" s="22" t="s">
        <v>24</v>
      </c>
      <c r="G26" s="7"/>
    </row>
    <row r="27" spans="2:7" ht="45" customHeight="1">
      <c r="B27" s="4"/>
      <c r="C27" s="6"/>
      <c r="D27" s="23" t="s">
        <v>25</v>
      </c>
      <c r="E27" s="6"/>
      <c r="F27" s="22" t="s">
        <v>26</v>
      </c>
      <c r="G27" s="7"/>
    </row>
    <row r="28" spans="2:7" ht="30" customHeight="1">
      <c r="B28" s="4"/>
      <c r="C28" s="6"/>
      <c r="D28" s="23" t="s">
        <v>27</v>
      </c>
      <c r="E28" s="6"/>
      <c r="F28" s="25" t="s">
        <v>28</v>
      </c>
      <c r="G28" s="7"/>
    </row>
    <row r="29" spans="2:7">
      <c r="B29" s="4"/>
      <c r="C29" s="6"/>
      <c r="D29" s="23" t="s">
        <v>29</v>
      </c>
      <c r="E29" s="6"/>
      <c r="F29" s="22" t="s">
        <v>30</v>
      </c>
      <c r="G29" s="7"/>
    </row>
    <row r="30" spans="2:7">
      <c r="B30" s="4"/>
      <c r="C30" s="6"/>
      <c r="D30" s="23" t="s">
        <v>31</v>
      </c>
      <c r="E30" s="6"/>
      <c r="F30" s="22" t="s">
        <v>32</v>
      </c>
      <c r="G30" s="7"/>
    </row>
    <row r="31" spans="2:7" ht="30" customHeight="1">
      <c r="B31" s="4"/>
      <c r="C31" s="6"/>
      <c r="D31" s="23" t="s">
        <v>33</v>
      </c>
      <c r="E31" s="6"/>
      <c r="F31" s="22" t="s">
        <v>34</v>
      </c>
      <c r="G31" s="7"/>
    </row>
    <row r="32" spans="2:7">
      <c r="B32" s="4"/>
      <c r="C32" s="6"/>
      <c r="D32" s="23" t="s">
        <v>35</v>
      </c>
      <c r="E32" s="6"/>
      <c r="F32" s="22" t="s">
        <v>36</v>
      </c>
      <c r="G32" s="7"/>
    </row>
    <row r="33" spans="2:7">
      <c r="B33" s="4"/>
      <c r="C33" s="6"/>
      <c r="D33" s="23" t="s">
        <v>37</v>
      </c>
      <c r="E33" s="6"/>
      <c r="F33" s="22" t="s">
        <v>38</v>
      </c>
      <c r="G33" s="7"/>
    </row>
    <row r="34" spans="2:7">
      <c r="B34" s="4"/>
      <c r="C34" s="6"/>
      <c r="D34" s="23" t="s">
        <v>39</v>
      </c>
      <c r="E34" s="6"/>
      <c r="F34" s="22" t="s">
        <v>40</v>
      </c>
      <c r="G34" s="7"/>
    </row>
    <row r="35" spans="2:7" ht="30" customHeight="1">
      <c r="B35" s="4"/>
      <c r="C35" s="6"/>
      <c r="D35" s="23" t="s">
        <v>41</v>
      </c>
      <c r="E35" s="6"/>
      <c r="F35" s="22" t="s">
        <v>42</v>
      </c>
      <c r="G35" s="7"/>
    </row>
    <row r="36" spans="2:7" ht="30" customHeight="1">
      <c r="B36" s="4"/>
      <c r="C36" s="6"/>
      <c r="D36" s="23" t="s">
        <v>43</v>
      </c>
      <c r="E36" s="6"/>
      <c r="F36" s="22" t="s">
        <v>44</v>
      </c>
      <c r="G36" s="7"/>
    </row>
    <row r="37" spans="2:7">
      <c r="B37" s="12"/>
      <c r="C37" s="13"/>
      <c r="D37" s="24"/>
      <c r="E37" s="13"/>
      <c r="F37" s="13"/>
      <c r="G37" s="14"/>
    </row>
    <row r="39" spans="2:7">
      <c r="B39" s="15" t="s">
        <v>45</v>
      </c>
      <c r="C39" s="2"/>
      <c r="D39" s="2"/>
      <c r="E39" s="2"/>
      <c r="F39" s="2"/>
      <c r="G39" s="3"/>
    </row>
    <row r="40" spans="2:7">
      <c r="B40" s="4"/>
      <c r="C40" s="6"/>
      <c r="D40" s="6"/>
      <c r="E40" s="6"/>
      <c r="F40" s="6"/>
      <c r="G40" s="7"/>
    </row>
    <row r="41" spans="2:7">
      <c r="B41" s="4"/>
      <c r="C41" s="5" t="s">
        <v>4</v>
      </c>
      <c r="D41" s="5" t="s">
        <v>46</v>
      </c>
      <c r="E41" s="5" t="s">
        <v>47</v>
      </c>
      <c r="F41" s="5" t="s">
        <v>48</v>
      </c>
      <c r="G41" s="7"/>
    </row>
    <row r="42" spans="2:7">
      <c r="B42" s="4"/>
      <c r="C42" s="16"/>
      <c r="D42" s="16"/>
      <c r="E42" s="16"/>
      <c r="F42" s="16"/>
      <c r="G42" s="7"/>
    </row>
    <row r="43" spans="2:7">
      <c r="B43" s="4"/>
      <c r="C43" s="17">
        <v>1.2</v>
      </c>
      <c r="D43" s="18"/>
      <c r="E43" s="16"/>
      <c r="F43" s="19"/>
      <c r="G43" s="7"/>
    </row>
    <row r="44" spans="2:7">
      <c r="B44" s="4"/>
      <c r="C44" s="17">
        <v>1.1000000000000001</v>
      </c>
      <c r="D44" s="18"/>
      <c r="E44" s="16"/>
      <c r="F44" s="19"/>
      <c r="G44" s="7"/>
    </row>
    <row r="45" spans="2:7">
      <c r="B45" s="4"/>
      <c r="C45" s="17">
        <v>1</v>
      </c>
      <c r="D45" s="18">
        <v>43893</v>
      </c>
      <c r="E45" s="16" t="s">
        <v>49</v>
      </c>
      <c r="F45" s="19" t="s">
        <v>50</v>
      </c>
      <c r="G45" s="7"/>
    </row>
    <row r="46" spans="2:7">
      <c r="B46" s="12"/>
      <c r="C46" s="13"/>
      <c r="D46" s="13"/>
      <c r="E46" s="13"/>
      <c r="F46" s="13"/>
      <c r="G46" s="14"/>
    </row>
  </sheetData>
  <mergeCells count="1">
    <mergeCell ref="D15:F15"/>
  </mergeCells>
  <hyperlinks>
    <hyperlink ref="D21" location="Info!A1" display="Info" xr:uid="{00000000-0004-0000-0000-000000000000}"/>
    <hyperlink ref="D22" location="Titles!A1" display="Titles" xr:uid="{00000000-0004-0000-0000-000001000000}"/>
    <hyperlink ref="D23" location="TEWS!A1" display="TEWS!A1" xr:uid="{00000000-0004-0000-0000-000002000000}"/>
    <hyperlink ref="D24" location="BTTC!A1" display="BTTC" xr:uid="{00000000-0004-0000-0000-000003000000}"/>
    <hyperlink ref="D25" location="Assumptions!A1" display="Assumptions" xr:uid="{00000000-0004-0000-0000-000004000000}"/>
    <hyperlink ref="D26" location="RFLT0!A1" display="RFLT#" xr:uid="{00000000-0004-0000-0000-000005000000}"/>
    <hyperlink ref="D27" location="RVKM0!A1" display="RVKM#" xr:uid="{00000000-0004-0000-0000-000006000000}"/>
    <hyperlink ref="D29" location="RTFT0!A1" display="RTFT#" xr:uid="{00000000-0004-0000-0000-000007000000}"/>
    <hyperlink ref="D30" location="RBFM0!A1" display="RBFM#" xr:uid="{00000000-0004-0000-0000-000008000000}"/>
    <hyperlink ref="D31" location="RHSM0!A1" display="RHSM#" xr:uid="{00000000-0004-0000-0000-000009000000}"/>
    <hyperlink ref="D32" location="RTCO0!A1" display="RTCO#" xr:uid="{00000000-0004-0000-0000-00000A000000}"/>
    <hyperlink ref="D33" location="TTVT0!A1" display="TTVT#" xr:uid="{00000000-0004-0000-0000-00000B000000}"/>
    <hyperlink ref="D34" location="TTRT0!A1" display="TTRT#" xr:uid="{00000000-0004-0000-0000-00000C000000}"/>
    <hyperlink ref="D35" location="TREG0!A1" display="TREG#" xr:uid="{00000000-0004-0000-0000-00000D000000}"/>
    <hyperlink ref="D36" location="TWSA0!A1" display="TWSA#" xr:uid="{00000000-0004-0000-0000-00000E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37CFFF"/>
  </sheetPr>
  <dimension ref="A1:G26"/>
  <sheetViews>
    <sheetView workbookViewId="0">
      <selection activeCell="D15" sqref="D15"/>
    </sheetView>
  </sheetViews>
  <sheetFormatPr defaultColWidth="8.81640625" defaultRowHeight="14.5"/>
  <cols>
    <col min="2" max="2" width="11.6328125" bestFit="1" customWidth="1"/>
    <col min="3" max="3" width="3" bestFit="1" customWidth="1"/>
    <col min="4" max="4" width="41.08984375" bestFit="1" customWidth="1"/>
    <col min="5" max="5" width="41.08984375" customWidth="1"/>
    <col min="6" max="6" width="3" bestFit="1" customWidth="1"/>
    <col min="7" max="7" width="24.54296875" bestFit="1" customWidth="1"/>
    <col min="8" max="8" width="3" bestFit="1" customWidth="1"/>
    <col min="9" max="9" width="20.54296875" bestFit="1" customWidth="1"/>
    <col min="10" max="10" width="2" bestFit="1" customWidth="1"/>
    <col min="11" max="11" width="16.453125" bestFit="1" customWidth="1"/>
    <col min="12" max="12" width="3" bestFit="1" customWidth="1"/>
  </cols>
  <sheetData>
    <row r="1" spans="1:7">
      <c r="A1" t="s">
        <v>51</v>
      </c>
      <c r="C1" t="s">
        <v>51</v>
      </c>
      <c r="D1" t="s">
        <v>68</v>
      </c>
      <c r="E1" t="s">
        <v>63</v>
      </c>
      <c r="F1" t="s">
        <v>51</v>
      </c>
      <c r="G1" t="s">
        <v>52</v>
      </c>
    </row>
    <row r="2" spans="1:7">
      <c r="A2">
        <v>1</v>
      </c>
      <c r="B2" t="s">
        <v>53</v>
      </c>
      <c r="C2">
        <v>1</v>
      </c>
      <c r="D2" t="s">
        <v>70</v>
      </c>
      <c r="E2" t="s">
        <v>64</v>
      </c>
      <c r="F2">
        <v>1</v>
      </c>
    </row>
    <row r="3" spans="1:7">
      <c r="A3">
        <v>2</v>
      </c>
      <c r="B3" t="s">
        <v>54</v>
      </c>
      <c r="C3">
        <f>C2+1</f>
        <v>2</v>
      </c>
      <c r="D3" t="s">
        <v>71</v>
      </c>
      <c r="E3" t="s">
        <v>64</v>
      </c>
      <c r="F3">
        <v>2</v>
      </c>
    </row>
    <row r="4" spans="1:7">
      <c r="A4">
        <v>3</v>
      </c>
      <c r="B4" t="s">
        <v>55</v>
      </c>
      <c r="C4">
        <f t="shared" ref="C4:C16" si="0">C3+1</f>
        <v>3</v>
      </c>
      <c r="D4" t="s">
        <v>72</v>
      </c>
      <c r="E4" t="s">
        <v>64</v>
      </c>
      <c r="F4">
        <v>3</v>
      </c>
    </row>
    <row r="5" spans="1:7">
      <c r="A5">
        <v>4</v>
      </c>
      <c r="B5" t="s">
        <v>56</v>
      </c>
      <c r="C5">
        <f t="shared" si="0"/>
        <v>4</v>
      </c>
      <c r="D5" t="s">
        <v>71</v>
      </c>
      <c r="E5" t="s">
        <v>64</v>
      </c>
      <c r="F5">
        <v>4</v>
      </c>
    </row>
    <row r="6" spans="1:7">
      <c r="C6">
        <f t="shared" si="0"/>
        <v>5</v>
      </c>
      <c r="D6" t="s">
        <v>76</v>
      </c>
      <c r="F6">
        <v>5</v>
      </c>
    </row>
    <row r="7" spans="1:7">
      <c r="C7">
        <f t="shared" si="0"/>
        <v>6</v>
      </c>
      <c r="D7" t="s">
        <v>71</v>
      </c>
      <c r="F7">
        <v>6</v>
      </c>
    </row>
    <row r="8" spans="1:7">
      <c r="C8">
        <f t="shared" si="0"/>
        <v>7</v>
      </c>
      <c r="D8" t="s">
        <v>73</v>
      </c>
      <c r="E8" t="s">
        <v>65</v>
      </c>
      <c r="F8">
        <v>7</v>
      </c>
    </row>
    <row r="9" spans="1:7">
      <c r="C9">
        <f t="shared" si="0"/>
        <v>8</v>
      </c>
      <c r="D9" t="s">
        <v>79</v>
      </c>
      <c r="E9" t="s">
        <v>66</v>
      </c>
      <c r="F9">
        <v>8</v>
      </c>
    </row>
    <row r="10" spans="1:7">
      <c r="C10">
        <f t="shared" si="0"/>
        <v>9</v>
      </c>
      <c r="D10" t="s">
        <v>74</v>
      </c>
      <c r="F10">
        <v>9</v>
      </c>
    </row>
    <row r="11" spans="1:7">
      <c r="C11">
        <f t="shared" si="0"/>
        <v>10</v>
      </c>
      <c r="D11" t="s">
        <v>59</v>
      </c>
      <c r="E11" t="s">
        <v>78</v>
      </c>
      <c r="F11">
        <v>10</v>
      </c>
    </row>
    <row r="12" spans="1:7">
      <c r="C12">
        <f t="shared" si="0"/>
        <v>11</v>
      </c>
      <c r="D12" t="s">
        <v>77</v>
      </c>
      <c r="E12" t="s">
        <v>67</v>
      </c>
      <c r="F12">
        <v>11</v>
      </c>
    </row>
    <row r="13" spans="1:7">
      <c r="C13">
        <f t="shared" si="0"/>
        <v>12</v>
      </c>
      <c r="D13" t="s">
        <v>75</v>
      </c>
      <c r="F13">
        <v>12</v>
      </c>
    </row>
    <row r="14" spans="1:7">
      <c r="C14">
        <f t="shared" si="0"/>
        <v>13</v>
      </c>
      <c r="D14" t="s">
        <v>60</v>
      </c>
      <c r="F14">
        <v>13</v>
      </c>
    </row>
    <row r="15" spans="1:7">
      <c r="C15">
        <f t="shared" si="0"/>
        <v>14</v>
      </c>
      <c r="D15" t="s">
        <v>61</v>
      </c>
      <c r="F15">
        <v>14</v>
      </c>
    </row>
    <row r="16" spans="1:7">
      <c r="C16">
        <f t="shared" si="0"/>
        <v>15</v>
      </c>
      <c r="D16" t="s">
        <v>69</v>
      </c>
      <c r="F16">
        <v>15</v>
      </c>
    </row>
    <row r="17" spans="6:6">
      <c r="F17">
        <v>16</v>
      </c>
    </row>
    <row r="18" spans="6:6">
      <c r="F18">
        <v>17</v>
      </c>
    </row>
    <row r="19" spans="6:6">
      <c r="F19">
        <v>18</v>
      </c>
    </row>
    <row r="20" spans="6:6">
      <c r="F20">
        <v>19</v>
      </c>
    </row>
    <row r="21" spans="6:6">
      <c r="F21">
        <v>20</v>
      </c>
    </row>
    <row r="22" spans="6:6">
      <c r="F22">
        <v>21</v>
      </c>
    </row>
    <row r="23" spans="6:6">
      <c r="F23">
        <v>22</v>
      </c>
    </row>
    <row r="24" spans="6:6">
      <c r="F24">
        <v>23</v>
      </c>
    </row>
    <row r="25" spans="6:6">
      <c r="F25">
        <v>24</v>
      </c>
    </row>
    <row r="26" spans="6:6">
      <c r="F2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9" tint="0.39997558519241921"/>
  </sheetPr>
  <dimension ref="A1:Q15"/>
  <sheetViews>
    <sheetView tabSelected="1" topLeftCell="E1" zoomScale="95" workbookViewId="0">
      <selection activeCell="L16" sqref="L16"/>
    </sheetView>
  </sheetViews>
  <sheetFormatPr defaultColWidth="9.1796875" defaultRowHeight="14.5"/>
  <cols>
    <col min="1" max="1" width="9.1796875" customWidth="1"/>
    <col min="2" max="2" width="23.453125" bestFit="1" customWidth="1"/>
    <col min="3" max="3" width="31.08984375" bestFit="1" customWidth="1"/>
    <col min="4" max="4" width="24.1796875" bestFit="1" customWidth="1"/>
    <col min="5" max="5" width="26.08984375" bestFit="1" customWidth="1"/>
    <col min="6" max="6" width="24.1796875" bestFit="1" customWidth="1"/>
    <col min="7" max="7" width="17.453125" bestFit="1" customWidth="1"/>
    <col min="8" max="8" width="34.90625" bestFit="1" customWidth="1"/>
    <col min="9" max="9" width="17.26953125" bestFit="1" customWidth="1"/>
    <col min="10" max="10" width="41.90625" bestFit="1" customWidth="1"/>
    <col min="11" max="11" width="17.453125" bestFit="1" customWidth="1"/>
    <col min="12" max="12" width="25.54296875" bestFit="1" customWidth="1"/>
    <col min="13" max="13" width="15" bestFit="1" customWidth="1"/>
    <col min="14" max="14" width="23.26953125" bestFit="1" customWidth="1"/>
    <col min="15" max="15" width="12.36328125" bestFit="1" customWidth="1"/>
    <col min="16" max="16" width="10.54296875" bestFit="1" customWidth="1"/>
    <col min="17" max="17" width="12.36328125" bestFit="1" customWidth="1"/>
  </cols>
  <sheetData>
    <row r="1" spans="1:17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</row>
    <row r="2" spans="1:17">
      <c r="A2">
        <v>0</v>
      </c>
      <c r="B2" t="s">
        <v>57</v>
      </c>
    </row>
    <row r="3" spans="1:17" ht="16">
      <c r="A3">
        <v>0</v>
      </c>
      <c r="B3" s="27" t="s">
        <v>58</v>
      </c>
    </row>
    <row r="4" spans="1:17">
      <c r="A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</row>
    <row r="5" spans="1:17">
      <c r="A5" s="31">
        <v>1</v>
      </c>
      <c r="B5" s="21"/>
      <c r="C5" s="26" t="str">
        <f>Titles!$D$2</f>
        <v xml:space="preserve">Investment </v>
      </c>
      <c r="D5" s="26" t="str">
        <f>Titles!$D$3</f>
        <v xml:space="preserve">std </v>
      </c>
      <c r="E5" s="26" t="str">
        <f>Titles!$D$4</f>
        <v>O&amp;M (fixed)</v>
      </c>
      <c r="F5" s="26" t="str">
        <f>Titles!$D$5</f>
        <v xml:space="preserve">std </v>
      </c>
      <c r="G5" s="26" t="str">
        <f>Titles!$D$6</f>
        <v>O&amp;M (variable)</v>
      </c>
      <c r="H5" s="26" t="str">
        <f>Titles!$D$7</f>
        <v xml:space="preserve">std </v>
      </c>
      <c r="I5" s="26" t="str">
        <f>Titles!$D$8</f>
        <v xml:space="preserve">Lifetime </v>
      </c>
      <c r="J5" s="26" t="str">
        <f>Titles!$D9</f>
        <v>Lead time</v>
      </c>
      <c r="K5" s="26" t="str">
        <f>Titles!$D10</f>
        <v xml:space="preserve">Efficiency </v>
      </c>
      <c r="L5" s="26" t="str">
        <f>Titles!$D11</f>
        <v>Capacity factor</v>
      </c>
      <c r="M5" s="26" t="str">
        <f>Titles!$D12</f>
        <v>Baseline capacity</v>
      </c>
      <c r="N5" s="26" t="str">
        <f>Titles!$D13</f>
        <v xml:space="preserve">Capture/production rates  </v>
      </c>
      <c r="O5" s="26" t="str">
        <f>Titles!$D14</f>
        <v>Eff learning</v>
      </c>
      <c r="P5" s="26" t="str">
        <f>Titles!$D15</f>
        <v>Inv learning</v>
      </c>
      <c r="Q5" s="26" t="str">
        <f>Titles!$D16</f>
        <v>OPEX learning</v>
      </c>
    </row>
    <row r="6" spans="1:17">
      <c r="A6" s="32"/>
      <c r="B6" s="20" t="str">
        <f>Titles!$B$2</f>
        <v>DAC</v>
      </c>
      <c r="C6" s="28"/>
      <c r="D6" s="28"/>
      <c r="E6" s="29"/>
      <c r="F6" s="29"/>
      <c r="G6" s="29"/>
      <c r="H6" s="29"/>
      <c r="I6" s="29">
        <v>20</v>
      </c>
      <c r="K6" s="29">
        <v>4.01</v>
      </c>
      <c r="L6" s="29">
        <v>0.9</v>
      </c>
      <c r="M6" s="29"/>
      <c r="O6">
        <v>-0.05</v>
      </c>
      <c r="P6">
        <v>-0.12</v>
      </c>
      <c r="Q6">
        <v>-7.4999999999999997E-2</v>
      </c>
    </row>
    <row r="7" spans="1:17">
      <c r="A7" s="32"/>
      <c r="B7" s="20" t="str">
        <f>Titles!$B$3</f>
        <v>DOC</v>
      </c>
      <c r="C7" s="28"/>
      <c r="D7" s="28"/>
      <c r="E7" s="29"/>
      <c r="F7" s="29"/>
      <c r="G7" s="29"/>
      <c r="H7" s="29"/>
      <c r="I7" s="29">
        <v>15</v>
      </c>
      <c r="J7" s="29"/>
      <c r="K7" s="30">
        <v>7.2</v>
      </c>
      <c r="L7" s="29">
        <v>0.9</v>
      </c>
    </row>
    <row r="8" spans="1:17">
      <c r="A8" s="32"/>
      <c r="B8" s="20" t="str">
        <f>Titles!$B$4</f>
        <v>Electrolyser</v>
      </c>
      <c r="C8" s="28"/>
      <c r="D8" s="28"/>
      <c r="E8" s="29"/>
      <c r="F8" s="29"/>
      <c r="G8" s="29"/>
      <c r="H8" s="29"/>
      <c r="I8" s="29">
        <v>8</v>
      </c>
      <c r="J8" s="29"/>
      <c r="K8" s="30">
        <v>50</v>
      </c>
      <c r="L8" s="29">
        <v>0.9</v>
      </c>
      <c r="O8">
        <v>-0.02</v>
      </c>
      <c r="P8">
        <v>-0.18</v>
      </c>
      <c r="Q8">
        <v>-0.18</v>
      </c>
    </row>
    <row r="9" spans="1:17">
      <c r="A9" s="32"/>
      <c r="B9" s="20" t="str">
        <f>Titles!$B$5</f>
        <v>Methanation</v>
      </c>
      <c r="C9" s="28"/>
      <c r="D9" s="28"/>
      <c r="E9" s="29"/>
      <c r="F9" s="29"/>
      <c r="G9" s="29"/>
      <c r="H9" s="29"/>
      <c r="I9" s="29"/>
      <c r="J9" s="29"/>
      <c r="K9" s="30"/>
      <c r="L9" s="29">
        <v>0.9</v>
      </c>
    </row>
    <row r="15" spans="1:17">
      <c r="B15" t="s">
        <v>62</v>
      </c>
    </row>
  </sheetData>
  <autoFilter ref="B5:L9" xr:uid="{00000000-0001-0000-0500-000000000000}"/>
  <mergeCells count="1">
    <mergeCell ref="A5:A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0.39997558519241921"/>
  </sheetPr>
  <dimension ref="A1:DI18"/>
  <sheetViews>
    <sheetView zoomScale="93" zoomScaleNormal="85" workbookViewId="0">
      <pane xSplit="2" topLeftCell="C1" activePane="topRight" state="frozen"/>
      <selection activeCell="P933" sqref="P933"/>
      <selection pane="topRight" activeCell="C2" sqref="C2"/>
    </sheetView>
  </sheetViews>
  <sheetFormatPr defaultColWidth="9.1796875" defaultRowHeight="14.5"/>
  <cols>
    <col min="1" max="1" width="9.1796875" customWidth="1"/>
    <col min="2" max="2" width="23.453125" bestFit="1" customWidth="1"/>
    <col min="3" max="3" width="9.1796875" customWidth="1"/>
  </cols>
  <sheetData>
    <row r="1" spans="1:11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</row>
    <row r="2" spans="1:113">
      <c r="A2">
        <v>0</v>
      </c>
    </row>
    <row r="3" spans="1:113">
      <c r="A3">
        <v>0</v>
      </c>
    </row>
    <row r="4" spans="1:113">
      <c r="A4">
        <v>0</v>
      </c>
    </row>
    <row r="5" spans="1:113">
      <c r="A5" s="31">
        <v>1</v>
      </c>
      <c r="B5" s="21"/>
      <c r="C5" s="26">
        <v>1990</v>
      </c>
      <c r="D5" s="26">
        <v>1991</v>
      </c>
      <c r="E5" s="26">
        <v>1992</v>
      </c>
      <c r="F5" s="26">
        <v>1993</v>
      </c>
      <c r="G5" s="26">
        <v>1994</v>
      </c>
      <c r="H5" s="26">
        <v>1995</v>
      </c>
      <c r="I5" s="26">
        <v>1996</v>
      </c>
      <c r="J5" s="26">
        <v>1997</v>
      </c>
      <c r="K5" s="26">
        <v>1998</v>
      </c>
      <c r="L5" s="26">
        <v>1999</v>
      </c>
      <c r="M5" s="26">
        <v>2000</v>
      </c>
      <c r="N5" s="26">
        <v>2001</v>
      </c>
      <c r="O5" s="26">
        <v>2002</v>
      </c>
      <c r="P5" s="26">
        <v>2003</v>
      </c>
      <c r="Q5" s="26">
        <v>2004</v>
      </c>
      <c r="R5" s="26">
        <v>2005</v>
      </c>
      <c r="S5" s="26">
        <v>2006</v>
      </c>
      <c r="T5" s="26">
        <v>2007</v>
      </c>
      <c r="U5" s="26">
        <v>2008</v>
      </c>
      <c r="V5" s="26">
        <v>2009</v>
      </c>
      <c r="W5" s="26">
        <v>2010</v>
      </c>
      <c r="X5" s="26">
        <v>2011</v>
      </c>
      <c r="Y5" s="26">
        <v>2012</v>
      </c>
      <c r="Z5" s="26">
        <v>2013</v>
      </c>
      <c r="AA5" s="26">
        <v>2014</v>
      </c>
      <c r="AB5" s="26">
        <v>2015</v>
      </c>
      <c r="AC5" s="26">
        <v>2016</v>
      </c>
      <c r="AD5" s="26">
        <v>2017</v>
      </c>
      <c r="AE5" s="26">
        <v>2018</v>
      </c>
      <c r="AF5" s="26">
        <v>2019</v>
      </c>
      <c r="AG5" s="26">
        <v>2020</v>
      </c>
      <c r="AH5" s="26">
        <v>2021</v>
      </c>
      <c r="AI5" s="26">
        <v>2022</v>
      </c>
      <c r="AJ5" s="26">
        <v>2023</v>
      </c>
      <c r="AK5" s="26">
        <v>2024</v>
      </c>
      <c r="AL5" s="26">
        <v>2025</v>
      </c>
      <c r="AM5" s="26">
        <v>2026</v>
      </c>
      <c r="AN5" s="26">
        <v>2027</v>
      </c>
      <c r="AO5" s="26">
        <v>2028</v>
      </c>
      <c r="AP5" s="26">
        <v>2029</v>
      </c>
      <c r="AQ5" s="26">
        <v>2030</v>
      </c>
      <c r="AR5" s="26">
        <v>2031</v>
      </c>
      <c r="AS5" s="26">
        <v>2032</v>
      </c>
      <c r="AT5" s="26">
        <v>2033</v>
      </c>
      <c r="AU5" s="26">
        <v>2034</v>
      </c>
      <c r="AV5" s="26">
        <v>2035</v>
      </c>
      <c r="AW5" s="26">
        <v>2036</v>
      </c>
      <c r="AX5" s="26">
        <v>2037</v>
      </c>
      <c r="AY5" s="26">
        <v>2038</v>
      </c>
      <c r="AZ5" s="26">
        <v>2039</v>
      </c>
      <c r="BA5" s="26">
        <v>2040</v>
      </c>
      <c r="BB5" s="26">
        <v>2041</v>
      </c>
      <c r="BC5" s="26">
        <v>2042</v>
      </c>
      <c r="BD5" s="26">
        <v>2043</v>
      </c>
      <c r="BE5" s="26">
        <v>2044</v>
      </c>
      <c r="BF5" s="26">
        <v>2045</v>
      </c>
      <c r="BG5" s="26">
        <v>2046</v>
      </c>
      <c r="BH5" s="26">
        <v>2047</v>
      </c>
      <c r="BI5" s="26">
        <v>2048</v>
      </c>
      <c r="BJ5" s="26">
        <v>2049</v>
      </c>
      <c r="BK5" s="26">
        <v>2050</v>
      </c>
      <c r="BL5" s="26">
        <v>2051</v>
      </c>
      <c r="BM5" s="26">
        <v>2052</v>
      </c>
      <c r="BN5" s="26">
        <v>2053</v>
      </c>
      <c r="BO5" s="26">
        <v>2054</v>
      </c>
      <c r="BP5" s="26">
        <v>2055</v>
      </c>
      <c r="BQ5" s="26">
        <v>2056</v>
      </c>
      <c r="BR5" s="26">
        <v>2057</v>
      </c>
      <c r="BS5" s="26">
        <v>2058</v>
      </c>
      <c r="BT5" s="26">
        <v>2059</v>
      </c>
      <c r="BU5" s="26">
        <v>2060</v>
      </c>
      <c r="BV5" s="26">
        <v>2061</v>
      </c>
      <c r="BW5" s="26">
        <v>2062</v>
      </c>
      <c r="BX5" s="26">
        <v>2063</v>
      </c>
      <c r="BY5" s="26">
        <v>2064</v>
      </c>
      <c r="BZ5" s="26">
        <v>2065</v>
      </c>
      <c r="CA5" s="26">
        <v>2066</v>
      </c>
      <c r="CB5" s="26">
        <v>2067</v>
      </c>
      <c r="CC5" s="26">
        <v>2068</v>
      </c>
      <c r="CD5" s="26">
        <v>2069</v>
      </c>
      <c r="CE5" s="26">
        <v>2070</v>
      </c>
      <c r="CF5" s="26">
        <v>2071</v>
      </c>
      <c r="CG5" s="26">
        <v>2072</v>
      </c>
      <c r="CH5" s="26">
        <v>2073</v>
      </c>
      <c r="CI5" s="26">
        <v>2074</v>
      </c>
      <c r="CJ5" s="26">
        <v>2075</v>
      </c>
      <c r="CK5" s="26">
        <v>2076</v>
      </c>
      <c r="CL5" s="26">
        <v>2077</v>
      </c>
      <c r="CM5" s="26">
        <v>2078</v>
      </c>
      <c r="CN5" s="26">
        <v>2079</v>
      </c>
      <c r="CO5" s="26">
        <v>2080</v>
      </c>
      <c r="CP5" s="26">
        <v>2081</v>
      </c>
      <c r="CQ5" s="26">
        <v>2082</v>
      </c>
      <c r="CR5" s="26">
        <v>2083</v>
      </c>
      <c r="CS5" s="26">
        <v>2084</v>
      </c>
      <c r="CT5" s="26">
        <v>2085</v>
      </c>
      <c r="CU5" s="26">
        <v>2086</v>
      </c>
      <c r="CV5" s="26">
        <v>2087</v>
      </c>
      <c r="CW5" s="26">
        <v>2088</v>
      </c>
      <c r="CX5" s="26">
        <v>2089</v>
      </c>
      <c r="CY5" s="26">
        <v>2090</v>
      </c>
      <c r="CZ5" s="26">
        <v>2091</v>
      </c>
      <c r="DA5" s="26">
        <v>2092</v>
      </c>
      <c r="DB5" s="26">
        <v>2093</v>
      </c>
      <c r="DC5" s="26">
        <v>2094</v>
      </c>
      <c r="DD5" s="26">
        <v>2095</v>
      </c>
      <c r="DE5" s="26">
        <v>2096</v>
      </c>
      <c r="DF5" s="26">
        <v>2097</v>
      </c>
      <c r="DG5" s="26">
        <v>2098</v>
      </c>
      <c r="DH5" s="26">
        <v>2099</v>
      </c>
      <c r="DI5" s="26">
        <v>2100</v>
      </c>
    </row>
    <row r="6" spans="1:113">
      <c r="A6" s="32"/>
      <c r="B6" s="20"/>
    </row>
    <row r="7" spans="1:113">
      <c r="A7" s="32"/>
      <c r="B7" s="20"/>
    </row>
    <row r="8" spans="1:113">
      <c r="A8" s="32"/>
      <c r="B8" s="20"/>
    </row>
    <row r="9" spans="1:113">
      <c r="A9" s="34"/>
      <c r="B9" s="20"/>
    </row>
    <row r="10" spans="1:113">
      <c r="A10" s="34"/>
      <c r="B10" s="20"/>
    </row>
    <row r="11" spans="1:113">
      <c r="A11" s="34"/>
      <c r="B11" s="20"/>
    </row>
    <row r="12" spans="1:113">
      <c r="A12" s="34"/>
      <c r="B12" s="20"/>
    </row>
    <row r="13" spans="1:113">
      <c r="A13" s="34"/>
      <c r="B13" s="20"/>
    </row>
    <row r="14" spans="1:113">
      <c r="A14" s="34"/>
      <c r="B14" s="20"/>
    </row>
    <row r="15" spans="1:113">
      <c r="A15" s="34"/>
      <c r="B15" s="20"/>
    </row>
    <row r="16" spans="1:113">
      <c r="A16" s="34"/>
      <c r="B16" s="20"/>
    </row>
    <row r="17" spans="1:2">
      <c r="A17" s="34"/>
      <c r="B17" s="20"/>
    </row>
    <row r="18" spans="1:2">
      <c r="A18" s="34"/>
      <c r="B18" s="20"/>
    </row>
  </sheetData>
  <mergeCells count="2">
    <mergeCell ref="A9:A18"/>
    <mergeCell ref="A5:A8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Titles</vt:lpstr>
      <vt:lpstr>GCET</vt:lpstr>
      <vt:lpstr>GMP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Edwards, Alex</cp:lastModifiedBy>
  <dcterms:created xsi:type="dcterms:W3CDTF">2010-08-23T09:00:27Z</dcterms:created>
  <dcterms:modified xsi:type="dcterms:W3CDTF">2026-06-09T11:07:37Z</dcterms:modified>
</cp:coreProperties>
</file>