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ambridgeeconometrics-my.sharepoint.com/personal/pv_camecon_com/Documents/Documents/GitHub/NH3_trade/"/>
    </mc:Choice>
  </mc:AlternateContent>
  <xr:revisionPtr revIDLastSave="453" documentId="8_{1AD2AFD7-5E32-4075-ACD1-264772658236}" xr6:coauthVersionLast="47" xr6:coauthVersionMax="47" xr10:uidLastSave="{9FC595C4-864A-48F2-8C8C-41DFD5004B90}"/>
  <bookViews>
    <workbookView xWindow="-120" yWindow="-120" windowWidth="29040" windowHeight="15720" firstSheet="5" activeTab="8" xr2:uid="{E759DACB-B6CC-4455-AA6D-F74BDA2F47AE}"/>
  </bookViews>
  <sheets>
    <sheet name="Indirect NH3 demand sources" sheetId="2" r:id="rId1"/>
    <sheet name="Methanol demand shares" sheetId="1" r:id="rId2"/>
    <sheet name="NH3 as trade precursor" sheetId="3" r:id="rId3"/>
    <sheet name="Total exports" sheetId="5" r:id="rId4"/>
    <sheet name="Export shares" sheetId="4" r:id="rId5"/>
    <sheet name="NH3 for maritime industry" sheetId="6" r:id="rId6"/>
    <sheet name="Total electricity generation" sheetId="7" r:id="rId7"/>
    <sheet name="Electricity shares" sheetId="8" r:id="rId8"/>
    <sheet name="Pre-allocation of NH3 in power" sheetId="9" r:id="rId9"/>
    <sheet name="NH3 for powe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2" l="1"/>
  <c r="T5" i="2"/>
  <c r="S5" i="2"/>
  <c r="R5" i="2"/>
  <c r="U4" i="2"/>
  <c r="T4" i="2"/>
  <c r="S4" i="2"/>
  <c r="R4" i="2"/>
  <c r="U3" i="2"/>
  <c r="T3" i="2"/>
  <c r="S3" i="2"/>
  <c r="R3" i="2"/>
  <c r="O2" i="2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AP59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3" i="10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P43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AL44" i="8"/>
  <c r="AM44" i="8"/>
  <c r="AN44" i="8"/>
  <c r="AO44" i="8"/>
  <c r="AP44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AL45" i="8"/>
  <c r="AM45" i="8"/>
  <c r="AN45" i="8"/>
  <c r="AO45" i="8"/>
  <c r="AP45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P46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AP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O48" i="8"/>
  <c r="AP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AP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AP50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AL51" i="8"/>
  <c r="AM51" i="8"/>
  <c r="AN51" i="8"/>
  <c r="AO51" i="8"/>
  <c r="AP51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AP52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O53" i="8"/>
  <c r="AP53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AP54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P55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AP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AP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P64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AP65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AP66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AP72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3" i="8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B3" i="6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B3" i="4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S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S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B3" i="3"/>
  <c r="L5" i="2"/>
  <c r="K5" i="2"/>
  <c r="J5" i="2"/>
  <c r="I5" i="2"/>
  <c r="H5" i="2"/>
  <c r="G5" i="2"/>
  <c r="F5" i="2"/>
  <c r="E5" i="2"/>
  <c r="D5" i="2"/>
  <c r="C5" i="2"/>
  <c r="L4" i="2"/>
  <c r="K4" i="2"/>
  <c r="J4" i="2"/>
  <c r="I4" i="2"/>
  <c r="H4" i="2"/>
  <c r="G4" i="2"/>
  <c r="F4" i="2"/>
  <c r="E4" i="2"/>
  <c r="D4" i="2"/>
  <c r="C4" i="2"/>
  <c r="L3" i="2"/>
  <c r="K3" i="2"/>
  <c r="J3" i="2"/>
  <c r="I3" i="2"/>
  <c r="H3" i="2"/>
  <c r="G3" i="2"/>
  <c r="F3" i="2"/>
  <c r="E3" i="2"/>
  <c r="D3" i="2"/>
  <c r="C3" i="2"/>
  <c r="R72" i="10"/>
  <c r="S17" i="3"/>
  <c r="R10" i="3"/>
  <c r="R13" i="6"/>
  <c r="P2" i="2"/>
  <c r="Q2" i="2" s="1"/>
  <c r="R2" i="2" s="1"/>
  <c r="S2" i="2" s="1"/>
  <c r="T2" i="2" s="1"/>
  <c r="U2" i="2" s="1"/>
  <c r="N2" i="2"/>
  <c r="AE5" i="2"/>
  <c r="AD5" i="2"/>
  <c r="AC5" i="2"/>
  <c r="AB5" i="2"/>
  <c r="AA5" i="2"/>
  <c r="Z5" i="2"/>
  <c r="Y5" i="2"/>
  <c r="X5" i="2"/>
  <c r="W5" i="2"/>
  <c r="AE4" i="2"/>
  <c r="AD4" i="2"/>
  <c r="AC4" i="2"/>
  <c r="AB4" i="2"/>
  <c r="AA4" i="2"/>
  <c r="Z4" i="2"/>
  <c r="Y4" i="2"/>
  <c r="X4" i="2"/>
  <c r="W4" i="2"/>
  <c r="AE3" i="2"/>
  <c r="AD3" i="2"/>
  <c r="AC3" i="2"/>
  <c r="AB3" i="2"/>
  <c r="AA3" i="2"/>
  <c r="Z3" i="2"/>
  <c r="Y3" i="2"/>
  <c r="X3" i="2"/>
  <c r="W3" i="2"/>
  <c r="AE2" i="2"/>
  <c r="AD2" i="2"/>
  <c r="AC2" i="2"/>
  <c r="AB2" i="2"/>
  <c r="AA2" i="2"/>
  <c r="Z2" i="2"/>
  <c r="Y2" i="2"/>
  <c r="X2" i="2"/>
  <c r="W2" i="2"/>
  <c r="AO5" i="2"/>
  <c r="AN5" i="2"/>
  <c r="AM5" i="2"/>
  <c r="AL5" i="2"/>
  <c r="AK5" i="2"/>
  <c r="AJ5" i="2"/>
  <c r="AI5" i="2"/>
  <c r="AH5" i="2"/>
  <c r="AG5" i="2"/>
  <c r="AO4" i="2"/>
  <c r="AN4" i="2"/>
  <c r="AM4" i="2"/>
  <c r="AL4" i="2"/>
  <c r="AK4" i="2"/>
  <c r="AJ4" i="2"/>
  <c r="AI4" i="2"/>
  <c r="AH4" i="2"/>
  <c r="AG4" i="2"/>
  <c r="AO3" i="2"/>
  <c r="AN3" i="2"/>
  <c r="AM3" i="2"/>
  <c r="AL3" i="2"/>
  <c r="AK3" i="2"/>
  <c r="AJ3" i="2"/>
  <c r="AI3" i="2"/>
  <c r="AH3" i="2"/>
  <c r="AG3" i="2"/>
  <c r="AO2" i="2"/>
  <c r="AN2" i="2"/>
  <c r="AM2" i="2"/>
  <c r="AL2" i="2"/>
  <c r="AK2" i="2"/>
  <c r="AJ2" i="2"/>
  <c r="AI2" i="2"/>
  <c r="AH2" i="2"/>
  <c r="AG2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S15" i="3" l="1"/>
  <c r="S47" i="3"/>
  <c r="S29" i="3"/>
  <c r="S61" i="3"/>
  <c r="S31" i="3"/>
  <c r="S13" i="3"/>
  <c r="R3" i="10"/>
  <c r="R5" i="10"/>
  <c r="R7" i="10"/>
  <c r="R9" i="10"/>
  <c r="R11" i="10"/>
  <c r="R13" i="10"/>
  <c r="R15" i="10"/>
  <c r="R17" i="10"/>
  <c r="R19" i="10"/>
  <c r="R21" i="10"/>
  <c r="R23" i="10"/>
  <c r="R25" i="10"/>
  <c r="R27" i="10"/>
  <c r="R29" i="10"/>
  <c r="R31" i="10"/>
  <c r="R33" i="10"/>
  <c r="R35" i="10"/>
  <c r="R37" i="10"/>
  <c r="R39" i="10"/>
  <c r="R41" i="10"/>
  <c r="R43" i="10"/>
  <c r="R45" i="10"/>
  <c r="R47" i="10"/>
  <c r="R49" i="10"/>
  <c r="R51" i="10"/>
  <c r="R53" i="10"/>
  <c r="R55" i="10"/>
  <c r="R57" i="10"/>
  <c r="R59" i="10"/>
  <c r="R61" i="10"/>
  <c r="R63" i="10"/>
  <c r="R65" i="10"/>
  <c r="R67" i="10"/>
  <c r="R69" i="10"/>
  <c r="R71" i="10"/>
  <c r="R73" i="10"/>
  <c r="R4" i="10"/>
  <c r="R6" i="10"/>
  <c r="R8" i="10"/>
  <c r="R10" i="10"/>
  <c r="R12" i="10"/>
  <c r="R14" i="10"/>
  <c r="R16" i="10"/>
  <c r="R18" i="10"/>
  <c r="R20" i="10"/>
  <c r="R22" i="10"/>
  <c r="R24" i="10"/>
  <c r="R26" i="10"/>
  <c r="R28" i="10"/>
  <c r="R30" i="10"/>
  <c r="R32" i="10"/>
  <c r="R34" i="10"/>
  <c r="R36" i="10"/>
  <c r="R38" i="10"/>
  <c r="R40" i="10"/>
  <c r="R42" i="10"/>
  <c r="R44" i="10"/>
  <c r="R46" i="10"/>
  <c r="R48" i="10"/>
  <c r="R50" i="10"/>
  <c r="R52" i="10"/>
  <c r="R54" i="10"/>
  <c r="R56" i="10"/>
  <c r="R58" i="10"/>
  <c r="R60" i="10"/>
  <c r="R62" i="10"/>
  <c r="R64" i="10"/>
  <c r="R66" i="10"/>
  <c r="R68" i="10"/>
  <c r="R70" i="10"/>
  <c r="R3" i="3"/>
  <c r="S72" i="3"/>
  <c r="R65" i="3"/>
  <c r="S56" i="3"/>
  <c r="R49" i="3"/>
  <c r="S40" i="3"/>
  <c r="R33" i="3"/>
  <c r="S24" i="3"/>
  <c r="R17" i="3"/>
  <c r="S8" i="3"/>
  <c r="S70" i="3"/>
  <c r="R63" i="3"/>
  <c r="S54" i="3"/>
  <c r="R47" i="3"/>
  <c r="S38" i="3"/>
  <c r="R31" i="3"/>
  <c r="S22" i="3"/>
  <c r="R15" i="3"/>
  <c r="S6" i="3"/>
  <c r="S68" i="3"/>
  <c r="R61" i="3"/>
  <c r="S52" i="3"/>
  <c r="R45" i="3"/>
  <c r="S36" i="3"/>
  <c r="R29" i="3"/>
  <c r="S20" i="3"/>
  <c r="R13" i="3"/>
  <c r="S4" i="3"/>
  <c r="R68" i="3"/>
  <c r="S59" i="3"/>
  <c r="R52" i="3"/>
  <c r="S43" i="3"/>
  <c r="R36" i="3"/>
  <c r="S27" i="3"/>
  <c r="R20" i="3"/>
  <c r="S11" i="3"/>
  <c r="R4" i="3"/>
  <c r="S66" i="3"/>
  <c r="R59" i="3"/>
  <c r="S50" i="3"/>
  <c r="R43" i="3"/>
  <c r="S34" i="3"/>
  <c r="R27" i="3"/>
  <c r="S18" i="3"/>
  <c r="R11" i="3"/>
  <c r="S73" i="3"/>
  <c r="R66" i="3"/>
  <c r="S57" i="3"/>
  <c r="R50" i="3"/>
  <c r="S41" i="3"/>
  <c r="R34" i="3"/>
  <c r="S25" i="3"/>
  <c r="R18" i="3"/>
  <c r="S9" i="3"/>
  <c r="R73" i="3"/>
  <c r="S64" i="3"/>
  <c r="R57" i="3"/>
  <c r="S48" i="3"/>
  <c r="R41" i="3"/>
  <c r="S32" i="3"/>
  <c r="R25" i="3"/>
  <c r="S16" i="3"/>
  <c r="R9" i="3"/>
  <c r="S39" i="3"/>
  <c r="S23" i="3"/>
  <c r="S7" i="3"/>
  <c r="R71" i="3"/>
  <c r="S62" i="3"/>
  <c r="R55" i="3"/>
  <c r="S46" i="3"/>
  <c r="R39" i="3"/>
  <c r="S30" i="3"/>
  <c r="R23" i="3"/>
  <c r="S14" i="3"/>
  <c r="R7" i="3"/>
  <c r="S71" i="3"/>
  <c r="S55" i="3"/>
  <c r="S69" i="3"/>
  <c r="R62" i="3"/>
  <c r="S53" i="3"/>
  <c r="R46" i="3"/>
  <c r="S37" i="3"/>
  <c r="R30" i="3"/>
  <c r="S21" i="3"/>
  <c r="R14" i="3"/>
  <c r="S5" i="3"/>
  <c r="R69" i="3"/>
  <c r="S60" i="3"/>
  <c r="R53" i="3"/>
  <c r="S44" i="3"/>
  <c r="R37" i="3"/>
  <c r="S28" i="3"/>
  <c r="R21" i="3"/>
  <c r="S12" i="3"/>
  <c r="R5" i="3"/>
  <c r="S67" i="3"/>
  <c r="R60" i="3"/>
  <c r="S51" i="3"/>
  <c r="R44" i="3"/>
  <c r="S35" i="3"/>
  <c r="R28" i="3"/>
  <c r="S19" i="3"/>
  <c r="R12" i="3"/>
  <c r="S58" i="3"/>
  <c r="S26" i="3"/>
  <c r="S10" i="3"/>
  <c r="S42" i="3"/>
  <c r="S3" i="3"/>
  <c r="S65" i="3"/>
  <c r="R58" i="3"/>
  <c r="S49" i="3"/>
  <c r="R42" i="3"/>
  <c r="S33" i="3"/>
  <c r="R26" i="3"/>
  <c r="R68" i="6"/>
  <c r="R52" i="6"/>
  <c r="R36" i="6"/>
  <c r="R20" i="6"/>
  <c r="R4" i="6"/>
  <c r="R59" i="6"/>
  <c r="R43" i="6"/>
  <c r="R27" i="6"/>
  <c r="R11" i="6"/>
  <c r="R66" i="6"/>
  <c r="R50" i="6"/>
  <c r="R34" i="6"/>
  <c r="R18" i="6"/>
  <c r="R73" i="6"/>
  <c r="R57" i="6"/>
  <c r="R41" i="6"/>
  <c r="R25" i="6"/>
  <c r="R9" i="6"/>
  <c r="R71" i="6"/>
  <c r="R55" i="6"/>
  <c r="R39" i="6"/>
  <c r="R23" i="6"/>
  <c r="R7" i="6"/>
  <c r="R62" i="6"/>
  <c r="R46" i="6"/>
  <c r="R30" i="6"/>
  <c r="R14" i="6"/>
  <c r="R69" i="6"/>
  <c r="R53" i="6"/>
  <c r="R37" i="6"/>
  <c r="R21" i="6"/>
  <c r="R5" i="6"/>
  <c r="R60" i="6"/>
  <c r="R44" i="6"/>
  <c r="R28" i="6"/>
  <c r="R12" i="6"/>
  <c r="R67" i="6"/>
  <c r="R51" i="6"/>
  <c r="R35" i="6"/>
  <c r="R19" i="6"/>
  <c r="R58" i="6"/>
  <c r="R42" i="6"/>
  <c r="R26" i="6"/>
  <c r="R10" i="6"/>
  <c r="R3" i="6"/>
  <c r="R65" i="6"/>
  <c r="R49" i="6"/>
  <c r="R33" i="6"/>
  <c r="R17" i="6"/>
  <c r="R72" i="6"/>
  <c r="R56" i="6"/>
  <c r="R40" i="6"/>
  <c r="R24" i="6"/>
  <c r="R8" i="6"/>
  <c r="R63" i="6"/>
  <c r="R47" i="6"/>
  <c r="R31" i="6"/>
  <c r="R15" i="6"/>
  <c r="R61" i="6"/>
  <c r="R45" i="6"/>
  <c r="R29" i="6"/>
  <c r="S72" i="10" l="1"/>
  <c r="S70" i="10"/>
  <c r="S68" i="10"/>
  <c r="S66" i="10"/>
  <c r="S64" i="10"/>
  <c r="S62" i="10"/>
  <c r="S60" i="10"/>
  <c r="S58" i="10"/>
  <c r="S56" i="10"/>
  <c r="S54" i="10"/>
  <c r="S52" i="10"/>
  <c r="S50" i="10"/>
  <c r="S48" i="10"/>
  <c r="S46" i="10"/>
  <c r="S44" i="10"/>
  <c r="S42" i="10"/>
  <c r="S40" i="10"/>
  <c r="S38" i="10"/>
  <c r="S36" i="10"/>
  <c r="S34" i="10"/>
  <c r="S32" i="10"/>
  <c r="S30" i="10"/>
  <c r="S28" i="10"/>
  <c r="S26" i="10"/>
  <c r="S24" i="10"/>
  <c r="S22" i="10"/>
  <c r="S20" i="10"/>
  <c r="S18" i="10"/>
  <c r="S16" i="10"/>
  <c r="S14" i="10"/>
  <c r="S12" i="10"/>
  <c r="S10" i="10"/>
  <c r="S8" i="10"/>
  <c r="S6" i="10"/>
  <c r="S4" i="10"/>
  <c r="S73" i="10"/>
  <c r="S71" i="10"/>
  <c r="S69" i="10"/>
  <c r="S67" i="10"/>
  <c r="S65" i="10"/>
  <c r="S63" i="10"/>
  <c r="S61" i="10"/>
  <c r="S59" i="10"/>
  <c r="S57" i="10"/>
  <c r="S55" i="10"/>
  <c r="S53" i="10"/>
  <c r="S51" i="10"/>
  <c r="S49" i="10"/>
  <c r="S47" i="10"/>
  <c r="S45" i="10"/>
  <c r="S43" i="10"/>
  <c r="S41" i="10"/>
  <c r="S39" i="10"/>
  <c r="S37" i="10"/>
  <c r="S35" i="10"/>
  <c r="S33" i="10"/>
  <c r="S31" i="10"/>
  <c r="S29" i="10"/>
  <c r="S27" i="10"/>
  <c r="S25" i="10"/>
  <c r="S23" i="10"/>
  <c r="S21" i="10"/>
  <c r="S19" i="10"/>
  <c r="S17" i="10"/>
  <c r="S15" i="10"/>
  <c r="S13" i="10"/>
  <c r="S11" i="10"/>
  <c r="S9" i="10"/>
  <c r="S7" i="10"/>
  <c r="S5" i="10"/>
  <c r="S3" i="10"/>
  <c r="T8" i="3"/>
  <c r="T24" i="3"/>
  <c r="T40" i="3"/>
  <c r="T56" i="3"/>
  <c r="T72" i="3"/>
  <c r="T65" i="3"/>
  <c r="T17" i="3"/>
  <c r="T49" i="3"/>
  <c r="T3" i="3"/>
  <c r="T10" i="3"/>
  <c r="T26" i="3"/>
  <c r="T42" i="3"/>
  <c r="T58" i="3"/>
  <c r="T19" i="3"/>
  <c r="T35" i="3"/>
  <c r="T51" i="3"/>
  <c r="T67" i="3"/>
  <c r="T12" i="3"/>
  <c r="T28" i="3"/>
  <c r="T44" i="3"/>
  <c r="T60" i="3"/>
  <c r="T46" i="3"/>
  <c r="T5" i="3"/>
  <c r="T21" i="3"/>
  <c r="T37" i="3"/>
  <c r="T53" i="3"/>
  <c r="T69" i="3"/>
  <c r="T62" i="3"/>
  <c r="T14" i="3"/>
  <c r="T30" i="3"/>
  <c r="T7" i="3"/>
  <c r="T23" i="3"/>
  <c r="T39" i="3"/>
  <c r="T55" i="3"/>
  <c r="T71" i="3"/>
  <c r="T4" i="3"/>
  <c r="T16" i="3"/>
  <c r="T32" i="3"/>
  <c r="T48" i="3"/>
  <c r="T64" i="3"/>
  <c r="T9" i="3"/>
  <c r="T25" i="3"/>
  <c r="T41" i="3"/>
  <c r="T57" i="3"/>
  <c r="T73" i="3"/>
  <c r="T20" i="3"/>
  <c r="T18" i="3"/>
  <c r="T34" i="3"/>
  <c r="T50" i="3"/>
  <c r="T66" i="3"/>
  <c r="T36" i="3"/>
  <c r="T68" i="3"/>
  <c r="T11" i="3"/>
  <c r="T27" i="3"/>
  <c r="T43" i="3"/>
  <c r="T59" i="3"/>
  <c r="T52" i="3"/>
  <c r="T13" i="3"/>
  <c r="T29" i="3"/>
  <c r="T45" i="3"/>
  <c r="T61" i="3"/>
  <c r="T6" i="3"/>
  <c r="T22" i="3"/>
  <c r="T38" i="3"/>
  <c r="T54" i="3"/>
  <c r="T70" i="3"/>
  <c r="T15" i="3"/>
  <c r="T31" i="3"/>
  <c r="T47" i="3"/>
  <c r="T63" i="3"/>
  <c r="T33" i="3"/>
  <c r="S4" i="6"/>
  <c r="S20" i="6"/>
  <c r="S36" i="6"/>
  <c r="S52" i="6"/>
  <c r="S68" i="6"/>
  <c r="S6" i="6"/>
  <c r="S22" i="6"/>
  <c r="S38" i="6"/>
  <c r="S54" i="6"/>
  <c r="S70" i="6"/>
  <c r="S15" i="6"/>
  <c r="S31" i="6"/>
  <c r="S47" i="6"/>
  <c r="S63" i="6"/>
  <c r="S23" i="6"/>
  <c r="S8" i="6"/>
  <c r="S24" i="6"/>
  <c r="S40" i="6"/>
  <c r="S56" i="6"/>
  <c r="S72" i="6"/>
  <c r="S17" i="6"/>
  <c r="S33" i="6"/>
  <c r="S49" i="6"/>
  <c r="S65" i="6"/>
  <c r="S3" i="6"/>
  <c r="S7" i="6"/>
  <c r="S10" i="6"/>
  <c r="S26" i="6"/>
  <c r="S42" i="6"/>
  <c r="S58" i="6"/>
  <c r="S39" i="6"/>
  <c r="S19" i="6"/>
  <c r="S35" i="6"/>
  <c r="S51" i="6"/>
  <c r="S67" i="6"/>
  <c r="S12" i="6"/>
  <c r="S28" i="6"/>
  <c r="S44" i="6"/>
  <c r="S60" i="6"/>
  <c r="S5" i="6"/>
  <c r="S21" i="6"/>
  <c r="S37" i="6"/>
  <c r="S53" i="6"/>
  <c r="S69" i="6"/>
  <c r="S55" i="6"/>
  <c r="S71" i="6"/>
  <c r="S14" i="6"/>
  <c r="S30" i="6"/>
  <c r="S46" i="6"/>
  <c r="S62" i="6"/>
  <c r="S16" i="6"/>
  <c r="S32" i="6"/>
  <c r="S48" i="6"/>
  <c r="S64" i="6"/>
  <c r="S13" i="6"/>
  <c r="S29" i="6"/>
  <c r="S45" i="6"/>
  <c r="S9" i="6"/>
  <c r="S25" i="6"/>
  <c r="S41" i="6"/>
  <c r="S57" i="6"/>
  <c r="S73" i="6"/>
  <c r="S61" i="6"/>
  <c r="S18" i="6"/>
  <c r="S34" i="6"/>
  <c r="S50" i="6"/>
  <c r="S66" i="6"/>
  <c r="S11" i="6"/>
  <c r="S27" i="6"/>
  <c r="S43" i="6"/>
  <c r="S59" i="6"/>
  <c r="T73" i="10" l="1"/>
  <c r="T71" i="10"/>
  <c r="T69" i="10"/>
  <c r="T67" i="10"/>
  <c r="T65" i="10"/>
  <c r="T63" i="10"/>
  <c r="T61" i="10"/>
  <c r="T59" i="10"/>
  <c r="T57" i="10"/>
  <c r="T55" i="10"/>
  <c r="T53" i="10"/>
  <c r="T51" i="10"/>
  <c r="T49" i="10"/>
  <c r="T47" i="10"/>
  <c r="T45" i="10"/>
  <c r="T43" i="10"/>
  <c r="T41" i="10"/>
  <c r="T39" i="10"/>
  <c r="T37" i="10"/>
  <c r="T35" i="10"/>
  <c r="T33" i="10"/>
  <c r="T31" i="10"/>
  <c r="T29" i="10"/>
  <c r="T27" i="10"/>
  <c r="T25" i="10"/>
  <c r="T23" i="10"/>
  <c r="T21" i="10"/>
  <c r="T19" i="10"/>
  <c r="T17" i="10"/>
  <c r="T15" i="10"/>
  <c r="T13" i="10"/>
  <c r="T11" i="10"/>
  <c r="T9" i="10"/>
  <c r="T7" i="10"/>
  <c r="T5" i="10"/>
  <c r="T3" i="10"/>
  <c r="T72" i="10"/>
  <c r="T70" i="10"/>
  <c r="T68" i="10"/>
  <c r="T66" i="10"/>
  <c r="T64" i="10"/>
  <c r="T62" i="10"/>
  <c r="T60" i="10"/>
  <c r="T58" i="10"/>
  <c r="T56" i="10"/>
  <c r="T54" i="10"/>
  <c r="T52" i="10"/>
  <c r="T50" i="10"/>
  <c r="T48" i="10"/>
  <c r="T46" i="10"/>
  <c r="T44" i="10"/>
  <c r="T42" i="10"/>
  <c r="T40" i="10"/>
  <c r="T38" i="10"/>
  <c r="T36" i="10"/>
  <c r="T34" i="10"/>
  <c r="T32" i="10"/>
  <c r="T30" i="10"/>
  <c r="T28" i="10"/>
  <c r="T26" i="10"/>
  <c r="T24" i="10"/>
  <c r="T22" i="10"/>
  <c r="T20" i="10"/>
  <c r="T18" i="10"/>
  <c r="T16" i="10"/>
  <c r="T14" i="10"/>
  <c r="T12" i="10"/>
  <c r="T10" i="10"/>
  <c r="T8" i="10"/>
  <c r="T6" i="10"/>
  <c r="T4" i="10"/>
  <c r="U15" i="3"/>
  <c r="U31" i="3"/>
  <c r="U47" i="3"/>
  <c r="U63" i="3"/>
  <c r="U72" i="3"/>
  <c r="U8" i="3"/>
  <c r="U24" i="3"/>
  <c r="U40" i="3"/>
  <c r="U56" i="3"/>
  <c r="U11" i="3"/>
  <c r="U17" i="3"/>
  <c r="U33" i="3"/>
  <c r="U49" i="3"/>
  <c r="U65" i="3"/>
  <c r="U3" i="3"/>
  <c r="U10" i="3"/>
  <c r="U26" i="3"/>
  <c r="U42" i="3"/>
  <c r="U58" i="3"/>
  <c r="U19" i="3"/>
  <c r="U35" i="3"/>
  <c r="U51" i="3"/>
  <c r="U67" i="3"/>
  <c r="U69" i="3"/>
  <c r="U12" i="3"/>
  <c r="U28" i="3"/>
  <c r="U44" i="3"/>
  <c r="U60" i="3"/>
  <c r="U53" i="3"/>
  <c r="U5" i="3"/>
  <c r="U21" i="3"/>
  <c r="U37" i="3"/>
  <c r="U14" i="3"/>
  <c r="U30" i="3"/>
  <c r="U46" i="3"/>
  <c r="U62" i="3"/>
  <c r="U7" i="3"/>
  <c r="U23" i="3"/>
  <c r="U39" i="3"/>
  <c r="U55" i="3"/>
  <c r="U71" i="3"/>
  <c r="U27" i="3"/>
  <c r="U16" i="3"/>
  <c r="U32" i="3"/>
  <c r="U48" i="3"/>
  <c r="U64" i="3"/>
  <c r="U9" i="3"/>
  <c r="U25" i="3"/>
  <c r="U41" i="3"/>
  <c r="U57" i="3"/>
  <c r="U73" i="3"/>
  <c r="U43" i="3"/>
  <c r="U59" i="3"/>
  <c r="U18" i="3"/>
  <c r="U34" i="3"/>
  <c r="U50" i="3"/>
  <c r="U66" i="3"/>
  <c r="U4" i="3"/>
  <c r="U20" i="3"/>
  <c r="U36" i="3"/>
  <c r="U52" i="3"/>
  <c r="U68" i="3"/>
  <c r="U13" i="3"/>
  <c r="U29" i="3"/>
  <c r="U45" i="3"/>
  <c r="U61" i="3"/>
  <c r="U6" i="3"/>
  <c r="U22" i="3"/>
  <c r="U38" i="3"/>
  <c r="U54" i="3"/>
  <c r="U70" i="3"/>
  <c r="T11" i="6"/>
  <c r="T27" i="6"/>
  <c r="T43" i="6"/>
  <c r="T59" i="6"/>
  <c r="T68" i="6"/>
  <c r="T13" i="6"/>
  <c r="T29" i="6"/>
  <c r="T45" i="6"/>
  <c r="T61" i="6"/>
  <c r="T14" i="6"/>
  <c r="T6" i="6"/>
  <c r="T22" i="6"/>
  <c r="T38" i="6"/>
  <c r="T54" i="6"/>
  <c r="T70" i="6"/>
  <c r="T30" i="6"/>
  <c r="T15" i="6"/>
  <c r="T31" i="6"/>
  <c r="T47" i="6"/>
  <c r="T63" i="6"/>
  <c r="T8" i="6"/>
  <c r="T24" i="6"/>
  <c r="T40" i="6"/>
  <c r="T56" i="6"/>
  <c r="T72" i="6"/>
  <c r="T17" i="6"/>
  <c r="T33" i="6"/>
  <c r="T49" i="6"/>
  <c r="T65" i="6"/>
  <c r="T3" i="6"/>
  <c r="T10" i="6"/>
  <c r="T26" i="6"/>
  <c r="T42" i="6"/>
  <c r="T58" i="6"/>
  <c r="T46" i="6"/>
  <c r="T19" i="6"/>
  <c r="T35" i="6"/>
  <c r="T51" i="6"/>
  <c r="T67" i="6"/>
  <c r="T12" i="6"/>
  <c r="T28" i="6"/>
  <c r="T44" i="6"/>
  <c r="T60" i="6"/>
  <c r="T62" i="6"/>
  <c r="T5" i="6"/>
  <c r="T21" i="6"/>
  <c r="T37" i="6"/>
  <c r="T53" i="6"/>
  <c r="T69" i="6"/>
  <c r="T7" i="6"/>
  <c r="T23" i="6"/>
  <c r="T39" i="6"/>
  <c r="T55" i="6"/>
  <c r="T71" i="6"/>
  <c r="T4" i="6"/>
  <c r="T20" i="6"/>
  <c r="T36" i="6"/>
  <c r="T16" i="6"/>
  <c r="T32" i="6"/>
  <c r="T48" i="6"/>
  <c r="T64" i="6"/>
  <c r="T9" i="6"/>
  <c r="T25" i="6"/>
  <c r="T41" i="6"/>
  <c r="T57" i="6"/>
  <c r="T73" i="6"/>
  <c r="T18" i="6"/>
  <c r="T34" i="6"/>
  <c r="T50" i="6"/>
  <c r="T66" i="6"/>
  <c r="T52" i="6"/>
  <c r="U72" i="10" l="1"/>
  <c r="U48" i="10"/>
  <c r="U42" i="10"/>
  <c r="U32" i="10"/>
  <c r="U26" i="10"/>
  <c r="U12" i="10"/>
  <c r="U52" i="10"/>
  <c r="U46" i="10"/>
  <c r="U40" i="10"/>
  <c r="U34" i="10"/>
  <c r="U16" i="10"/>
  <c r="U10" i="10"/>
  <c r="U6" i="10"/>
  <c r="U70" i="10"/>
  <c r="U28" i="10"/>
  <c r="U73" i="10"/>
  <c r="U71" i="10"/>
  <c r="U69" i="10"/>
  <c r="U67" i="10"/>
  <c r="U65" i="10"/>
  <c r="U63" i="10"/>
  <c r="U61" i="10"/>
  <c r="U59" i="10"/>
  <c r="U57" i="10"/>
  <c r="U55" i="10"/>
  <c r="U53" i="10"/>
  <c r="U51" i="10"/>
  <c r="U49" i="10"/>
  <c r="U47" i="10"/>
  <c r="U45" i="10"/>
  <c r="U43" i="10"/>
  <c r="U41" i="10"/>
  <c r="U39" i="10"/>
  <c r="U37" i="10"/>
  <c r="U35" i="10"/>
  <c r="U33" i="10"/>
  <c r="U31" i="10"/>
  <c r="U29" i="10"/>
  <c r="U27" i="10"/>
  <c r="U25" i="10"/>
  <c r="U23" i="10"/>
  <c r="U21" i="10"/>
  <c r="U19" i="10"/>
  <c r="U17" i="10"/>
  <c r="U15" i="10"/>
  <c r="U13" i="10"/>
  <c r="U11" i="10"/>
  <c r="U9" i="10"/>
  <c r="U7" i="10"/>
  <c r="U5" i="10"/>
  <c r="U3" i="10"/>
  <c r="U54" i="10"/>
  <c r="U30" i="10"/>
  <c r="U20" i="10"/>
  <c r="U8" i="10"/>
  <c r="U60" i="10"/>
  <c r="U22" i="10"/>
  <c r="U4" i="10"/>
  <c r="U68" i="10"/>
  <c r="U66" i="10"/>
  <c r="U14" i="10"/>
  <c r="U62" i="10"/>
  <c r="U64" i="10"/>
  <c r="U58" i="10"/>
  <c r="U56" i="10"/>
  <c r="U50" i="10"/>
  <c r="U44" i="10"/>
  <c r="U38" i="10"/>
  <c r="U36" i="10"/>
  <c r="U24" i="10"/>
  <c r="U18" i="10"/>
  <c r="U18" i="6"/>
  <c r="U34" i="6"/>
  <c r="U50" i="6"/>
  <c r="U66" i="6"/>
  <c r="U27" i="6"/>
  <c r="U43" i="6"/>
  <c r="U59" i="6"/>
  <c r="U4" i="6"/>
  <c r="U20" i="6"/>
  <c r="U36" i="6"/>
  <c r="U52" i="6"/>
  <c r="U68" i="6"/>
  <c r="U37" i="6"/>
  <c r="U13" i="6"/>
  <c r="U29" i="6"/>
  <c r="U45" i="6"/>
  <c r="U61" i="6"/>
  <c r="U69" i="6"/>
  <c r="U6" i="6"/>
  <c r="U22" i="6"/>
  <c r="U38" i="6"/>
  <c r="U54" i="6"/>
  <c r="U70" i="6"/>
  <c r="U15" i="6"/>
  <c r="U31" i="6"/>
  <c r="U47" i="6"/>
  <c r="U63" i="6"/>
  <c r="U8" i="6"/>
  <c r="U24" i="6"/>
  <c r="U40" i="6"/>
  <c r="U56" i="6"/>
  <c r="U72" i="6"/>
  <c r="U17" i="6"/>
  <c r="U33" i="6"/>
  <c r="U49" i="6"/>
  <c r="U65" i="6"/>
  <c r="U3" i="6"/>
  <c r="U10" i="6"/>
  <c r="U26" i="6"/>
  <c r="U42" i="6"/>
  <c r="U58" i="6"/>
  <c r="U21" i="6"/>
  <c r="U53" i="6"/>
  <c r="U19" i="6"/>
  <c r="U35" i="6"/>
  <c r="U51" i="6"/>
  <c r="U67" i="6"/>
  <c r="U5" i="6"/>
  <c r="U12" i="6"/>
  <c r="U28" i="6"/>
  <c r="U44" i="6"/>
  <c r="U60" i="6"/>
  <c r="U14" i="6"/>
  <c r="U30" i="6"/>
  <c r="U46" i="6"/>
  <c r="U62" i="6"/>
  <c r="U7" i="6"/>
  <c r="U23" i="6"/>
  <c r="U39" i="6"/>
  <c r="U55" i="6"/>
  <c r="U71" i="6"/>
  <c r="U16" i="6"/>
  <c r="U32" i="6"/>
  <c r="U48" i="6"/>
  <c r="U64" i="6"/>
  <c r="U9" i="6"/>
  <c r="U25" i="6"/>
  <c r="U41" i="6"/>
  <c r="U57" i="6"/>
  <c r="U73" i="6"/>
  <c r="U11" i="6"/>
</calcChain>
</file>

<file path=xl/sharedStrings.xml><?xml version="1.0" encoding="utf-8"?>
<sst xmlns="http://schemas.openxmlformats.org/spreadsheetml/2006/main" count="661" uniqueCount="221">
  <si>
    <t>Methanol demand</t>
  </si>
  <si>
    <t>time</t>
  </si>
  <si>
    <t>Dan_ba_T1-5; 1 Belgium (BE); sum of FUTI</t>
  </si>
  <si>
    <t>Dan_ba_T1-5; 2 Denmark (DK); sum of FUTI</t>
  </si>
  <si>
    <t>Dan_ba_T1-5; 3 Germany (DE); sum of FUTI</t>
  </si>
  <si>
    <t>Dan_ba_T1-5; 4 Greece (EL); sum of FUTI</t>
  </si>
  <si>
    <t>Dan_ba_T1-5; 5 Spain (ES); sum of FUTI</t>
  </si>
  <si>
    <t>Dan_ba_T1-5; 6 France (FR); sum of FUTI</t>
  </si>
  <si>
    <t>Dan_ba_T1-5; 7 Ireland (IE); sum of FUTI</t>
  </si>
  <si>
    <t>Dan_ba_T1-5; 8 Italy (IT); sum of FUTI</t>
  </si>
  <si>
    <t>Dan_ba_T1-5; 9 Luxembourg (LX); sum of FUTI</t>
  </si>
  <si>
    <t>Dan_ba_T1-5; 10 Netherlands (NL); sum of FUTI</t>
  </si>
  <si>
    <t>Dan_ba_T1-5; 11 Austria (AT); sum of FUTI</t>
  </si>
  <si>
    <t>Dan_ba_T1-5; 12 Portugal (PT); sum of FUTI</t>
  </si>
  <si>
    <t>Dan_ba_T1-5; 13 Finland (FI); sum of FUTI</t>
  </si>
  <si>
    <t>Dan_ba_T1-5; 14 Sweden (SW); sum of FUTI</t>
  </si>
  <si>
    <t>Dan_ba_T1-5; 15 UK (UK); sum of FUTI</t>
  </si>
  <si>
    <t>Dan_ba_T1-5; 16 Czech Rep. (CZ); sum of FUTI</t>
  </si>
  <si>
    <t>Dan_ba_T1-5; 17 Estonia (EN); sum of FUTI</t>
  </si>
  <si>
    <t>Dan_ba_T1-5; 18 Cyprus (CY); sum of FUTI</t>
  </si>
  <si>
    <t>Dan_ba_T1-5; 19 Latvia (LV); sum of FUTI</t>
  </si>
  <si>
    <t>Dan_ba_T1-5; 20 Lithuania (LT); sum of FUTI</t>
  </si>
  <si>
    <t>Dan_ba_T1-5; 21 Hungary (HU); sum of FUTI</t>
  </si>
  <si>
    <t>Dan_ba_T1-5; 22 Malta (MT); sum of FUTI</t>
  </si>
  <si>
    <t>Dan_ba_T1-5; 23 Poland (PL); sum of FUTI</t>
  </si>
  <si>
    <t>Dan_ba_T1-5; 24 Slovenia (SI); sum of FUTI</t>
  </si>
  <si>
    <t>Dan_ba_T1-5; 25 Slovakia (SK); sum of FUTI</t>
  </si>
  <si>
    <t>Dan_ba_T1-5; 26 Bulgaria (BG); sum of FUTI</t>
  </si>
  <si>
    <t>Dan_ba_T1-5; 27 Romania (RO); sum of FUTI</t>
  </si>
  <si>
    <t>Dan_ba_T1-5; 28 Norway (NO); sum of FUTI</t>
  </si>
  <si>
    <t>Dan_ba_T1-5; 29 Switzerland (CH); sum of FUTI</t>
  </si>
  <si>
    <t>Dan_ba_T1-5; 30 Iceland (IS); sum of FUTI</t>
  </si>
  <si>
    <t>Dan_ba_T1-5; 31 Croatia (HR); sum of FUTI</t>
  </si>
  <si>
    <t>Dan_ba_T1-5; 32 Turkey (TR); sum of FUTI</t>
  </si>
  <si>
    <t>Dan_ba_T1-5; 33 Macedonia (MK); sum of FUTI</t>
  </si>
  <si>
    <t>Dan_ba_T1-5; 34 USA (US); sum of FUTI</t>
  </si>
  <si>
    <t>Dan_ba_T1-5; 35 Japan (JA); sum of FUTI</t>
  </si>
  <si>
    <t>Dan_ba_T1-5; 36 Canada (CA); sum of FUTI</t>
  </si>
  <si>
    <t>Dan_ba_T1-5; 37 Australia (AU); sum of FUTI</t>
  </si>
  <si>
    <t>Dan_ba_T1-5; 38 New Zealand (NZ); sum of FUTI</t>
  </si>
  <si>
    <t>Dan_ba_T1-5; 39 Russian Fed. (RS); sum of FUTI</t>
  </si>
  <si>
    <t>Dan_ba_T1-5; 40 Rest of Annex I (RA); sum of FUTI</t>
  </si>
  <si>
    <t>Dan_ba_T1-5; 41 China (CN); sum of FUTI</t>
  </si>
  <si>
    <t>Dan_ba_T1-5; 42 India (IN); sum of FUTI</t>
  </si>
  <si>
    <t>Dan_ba_T1-5; 43 Mexico (MX); sum of FUTI</t>
  </si>
  <si>
    <t>Dan_ba_T1-5; 44 Brazil (BR); sum of FUTI</t>
  </si>
  <si>
    <t>Dan_ba_T1-5; 45 Argentina (AR); sum of FUTI</t>
  </si>
  <si>
    <t>Dan_ba_T1-5; 46 Colombia (CO); sum of FUTI</t>
  </si>
  <si>
    <t>Dan_ba_T1-5; 47 Rest LatinAmerica(LA); sum of FUTI</t>
  </si>
  <si>
    <t>Dan_ba_T1-5; 48 Korea (KR); sum of FUTI</t>
  </si>
  <si>
    <t>Dan_ba_T1-5; 49 Taiwan (TW); sum of FUTI</t>
  </si>
  <si>
    <t>Dan_ba_T1-5; 50 Indonesia (ID); sum of FUTI</t>
  </si>
  <si>
    <t>Dan_ba_T1-5; 51 Rest of ASEAN (AS); sum of FUTI</t>
  </si>
  <si>
    <t>Dan_ba_T1-5; 52 Rest of OPEC ex Venez; sum of FUTI</t>
  </si>
  <si>
    <t>Dan_ba_T1-5; 53 Rest of World (RW); sum of FUTI</t>
  </si>
  <si>
    <t>Dan_ba_T1-5; 54 Ukraine (UE); sum of FUTI</t>
  </si>
  <si>
    <t>Dan_ba_T1-5; 55 Saudi Arabia (SD); sum of FUTI</t>
  </si>
  <si>
    <t>Dan_ba_T1-5; 56 Nigeria (NG); sum of FUTI</t>
  </si>
  <si>
    <t>Dan_ba_T1-5; 57 South Africa (SA); sum of FUTI</t>
  </si>
  <si>
    <t>Dan_ba_T1-5; 58 NorthAfrica OPEC (ON); sum of FUTI</t>
  </si>
  <si>
    <t>Dan_ba_T1-5; 59 CentralAfricaOPEC(OC); sum of FUTI</t>
  </si>
  <si>
    <t>Dan_ba_T1-5; 60 Malaysia (MY); sum of FUTI</t>
  </si>
  <si>
    <t>Dan_ba_T1-5; 61 Kazakhstan (KZ); sum of FUTI</t>
  </si>
  <si>
    <t>Dan_ba_T1-5; 62 Rest NorthAfrica (AN); sum of FUTI</t>
  </si>
  <si>
    <t>Dan_ba_T1-5; 63 RestCentralAfrica(AC); sum of FUTI</t>
  </si>
  <si>
    <t>Dan_ba_T1-5; 64 Rest West Africa (AW); sum of FUTI</t>
  </si>
  <si>
    <t>Dan_ba_T1-5; 65 Rest East Africa (AE); sum of FUTI</t>
  </si>
  <si>
    <t>Dan_ba_T1-5; 66 Rest SouthAfrica (ZA); sum of FUTI</t>
  </si>
  <si>
    <t>Dan_ba_T1-5; 67 Egypt (EG); sum of FUTI</t>
  </si>
  <si>
    <t>Dan_ba_T1-5; 68 Dem. Rep. Congo (DC); sum of FUTI</t>
  </si>
  <si>
    <t>Dan_ba_T1-5; 69 Kenya (KE); sum of FUTI</t>
  </si>
  <si>
    <t>Dan_ba_T1-5; 70 UAE (UA); sum of FUTI</t>
  </si>
  <si>
    <t>Dan_ba_T1-5; 71 Pakistan (PK); sum of FUTI</t>
  </si>
  <si>
    <t>Agriculture / Industrial</t>
  </si>
  <si>
    <t>Shipping fuel</t>
  </si>
  <si>
    <t>Hydrogen carrier</t>
  </si>
  <si>
    <t>Power generation</t>
  </si>
  <si>
    <t>MEWG - Electricty Generation by technology (GWh/y)</t>
  </si>
  <si>
    <t>Dan_ba; 1 Belgium (BE); sum of T2TI</t>
  </si>
  <si>
    <t>Dan_ba; 2 Denmark (DK); sum of T2TI</t>
  </si>
  <si>
    <t>Dan_ba; 3 Germany (DE); sum of T2TI</t>
  </si>
  <si>
    <t>Dan_ba; 4 Greece (EL); sum of T2TI</t>
  </si>
  <si>
    <t>Dan_ba; 5 Spain (ES); sum of T2TI</t>
  </si>
  <si>
    <t>Dan_ba; 6 France (FR); sum of T2TI</t>
  </si>
  <si>
    <t>Dan_ba; 7 Ireland (IE); sum of T2TI</t>
  </si>
  <si>
    <t>Dan_ba; 8 Italy (IT); sum of T2TI</t>
  </si>
  <si>
    <t>Dan_ba; 9 Luxembourg (LX); sum of T2TI</t>
  </si>
  <si>
    <t>Dan_ba; 10 Netherlands (NL); sum of T2TI</t>
  </si>
  <si>
    <t>Dan_ba; 11 Austria (AT); sum of T2TI</t>
  </si>
  <si>
    <t>Dan_ba; 12 Portugal (PT); sum of T2TI</t>
  </si>
  <si>
    <t>Dan_ba; 13 Finland (FI); sum of T2TI</t>
  </si>
  <si>
    <t>Dan_ba; 14 Sweden (SW); sum of T2TI</t>
  </si>
  <si>
    <t>Dan_ba; 15 UK (UK); sum of T2TI</t>
  </si>
  <si>
    <t>Dan_ba; 16 Czech Rep. (CZ); sum of T2TI</t>
  </si>
  <si>
    <t>Dan_ba; 17 Estonia (EN); sum of T2TI</t>
  </si>
  <si>
    <t>Dan_ba; 18 Cyprus (CY); sum of T2TI</t>
  </si>
  <si>
    <t>Dan_ba; 19 Latvia (LV); sum of T2TI</t>
  </si>
  <si>
    <t>Dan_ba; 20 Lithuania (LT); sum of T2TI</t>
  </si>
  <si>
    <t>Dan_ba; 21 Hungary (HU); sum of T2TI</t>
  </si>
  <si>
    <t>Dan_ba; 22 Malta (MT); sum of T2TI</t>
  </si>
  <si>
    <t>Dan_ba; 23 Poland (PL); sum of T2TI</t>
  </si>
  <si>
    <t>Dan_ba; 24 Slovenia (SI); sum of T2TI</t>
  </si>
  <si>
    <t>Dan_ba; 25 Slovakia (SK); sum of T2TI</t>
  </si>
  <si>
    <t>Dan_ba; 26 Bulgaria (BG); sum of T2TI</t>
  </si>
  <si>
    <t>Dan_ba; 27 Romania (RO); sum of T2TI</t>
  </si>
  <si>
    <t>Dan_ba; 28 Norway (NO); sum of T2TI</t>
  </si>
  <si>
    <t>Dan_ba; 29 Switzerland (CH); sum of T2TI</t>
  </si>
  <si>
    <t>Dan_ba; 30 Iceland (IS); sum of T2TI</t>
  </si>
  <si>
    <t>Dan_ba; 31 Croatia (HR); sum of T2TI</t>
  </si>
  <si>
    <t>Dan_ba; 32 Turkey (TR); sum of T2TI</t>
  </si>
  <si>
    <t>Dan_ba; 33 Macedonia (MK); sum of T2TI</t>
  </si>
  <si>
    <t>Dan_ba; 34 USA (US); sum of T2TI</t>
  </si>
  <si>
    <t>Dan_ba; 35 Japan (JA); sum of T2TI</t>
  </si>
  <si>
    <t>Dan_ba; 36 Canada (CA); sum of T2TI</t>
  </si>
  <si>
    <t>Dan_ba; 37 Australia (AU); sum of T2TI</t>
  </si>
  <si>
    <t>Dan_ba; 38 New Zealand (NZ); sum of T2TI</t>
  </si>
  <si>
    <t>Dan_ba; 39 Russian Fed. (RS); sum of T2TI</t>
  </si>
  <si>
    <t>Dan_ba; 40 Rest of Annex I (RA); sum of T2TI</t>
  </si>
  <si>
    <t>Dan_ba; 41 China (CN); sum of T2TI</t>
  </si>
  <si>
    <t>Dan_ba; 42 India (IN); sum of T2TI</t>
  </si>
  <si>
    <t>Dan_ba; 43 Mexico (MX); sum of T2TI</t>
  </si>
  <si>
    <t>Dan_ba; 44 Brazil (BR); sum of T2TI</t>
  </si>
  <si>
    <t>Dan_ba; 45 Argentina (AR); sum of T2TI</t>
  </si>
  <si>
    <t>Dan_ba; 46 Colombia (CO); sum of T2TI</t>
  </si>
  <si>
    <t>Dan_ba; 47 Rest LatinAmerica(LA); sum of T2TI</t>
  </si>
  <si>
    <t>Dan_ba; 48 Korea (KR); sum of T2TI</t>
  </si>
  <si>
    <t>Dan_ba; 49 Taiwan (TW); sum of T2TI</t>
  </si>
  <si>
    <t>Dan_ba; 50 Indonesia (ID); sum of T2TI</t>
  </si>
  <si>
    <t>Dan_ba; 51 Rest of ASEAN (AS); sum of T2TI</t>
  </si>
  <si>
    <t>Dan_ba; 52 Rest of OPEC ex Venez; sum of T2TI</t>
  </si>
  <si>
    <t>Dan_ba; 53 Rest of World (RW); sum of T2TI</t>
  </si>
  <si>
    <t>Dan_ba; 54 Ukraine (UE); sum of T2TI</t>
  </si>
  <si>
    <t>Dan_ba; 55 Saudi Arabia (SD); sum of T2TI</t>
  </si>
  <si>
    <t>Dan_ba; 56 Nigeria (NG); sum of T2TI</t>
  </si>
  <si>
    <t>Dan_ba; 57 South Africa (SA); sum of T2TI</t>
  </si>
  <si>
    <t>Dan_ba; 58 NorthAfrica OPEC (ON); sum of T2TI</t>
  </si>
  <si>
    <t>Dan_ba; 59 CentralAfricaOPEC(OC); sum of T2TI</t>
  </si>
  <si>
    <t>Dan_ba; 60 Malaysia (MY); sum of T2TI</t>
  </si>
  <si>
    <t>Dan_ba; 61 Kazakhstan (KZ); sum of T2TI</t>
  </si>
  <si>
    <t>Dan_ba; 62 Rest NorthAfrica (AN); sum of T2TI</t>
  </si>
  <si>
    <t>Dan_ba; 63 RestCentralAfrica(AC); sum of T2TI</t>
  </si>
  <si>
    <t>Dan_ba; 64 Rest West Africa (AW); sum of T2TI</t>
  </si>
  <si>
    <t>Dan_ba; 65 Rest East Africa (AE); sum of T2TI</t>
  </si>
  <si>
    <t>Dan_ba; 66 Rest SouthAfrica (ZA); sum of T2TI</t>
  </si>
  <si>
    <t>Dan_ba; 67 Egypt (EG); sum of T2TI</t>
  </si>
  <si>
    <t>Dan_ba; 68 Dem. Rep. Congo (DC); sum of T2TI</t>
  </si>
  <si>
    <t>Dan_ba; 69 Kenya (KE); sum of T2TI</t>
  </si>
  <si>
    <t>Dan_ba; 70 UAE (UA); sum of T2TI</t>
  </si>
  <si>
    <t>Dan_ba; 71 Pakistan (PK); sum of T2TI</t>
  </si>
  <si>
    <t>QEX - product exports outside EU</t>
  </si>
  <si>
    <t>Dan_ba; 1 Belgium (BE); sum of YTI</t>
  </si>
  <si>
    <t>Dan_ba; 2 Denmark (DK); sum of YTI</t>
  </si>
  <si>
    <t>Dan_ba; 3 Germany (DE); sum of YTI</t>
  </si>
  <si>
    <t>Dan_ba; 4 Greece (EL); sum of YTI</t>
  </si>
  <si>
    <t>Dan_ba; 5 Spain (ES); sum of YTI</t>
  </si>
  <si>
    <t>Dan_ba; 6 France (FR); sum of YTI</t>
  </si>
  <si>
    <t>Dan_ba; 7 Ireland (IE); sum of YTI</t>
  </si>
  <si>
    <t>Dan_ba; 8 Italy (IT); sum of YTI</t>
  </si>
  <si>
    <t>Dan_ba; 9 Luxembourg (LX); sum of YTI</t>
  </si>
  <si>
    <t>Dan_ba; 10 Netherlands (NL); sum of YTI</t>
  </si>
  <si>
    <t>Dan_ba; 11 Austria (AT); sum of YTI</t>
  </si>
  <si>
    <t>Dan_ba; 12 Portugal (PT); sum of YTI</t>
  </si>
  <si>
    <t>Dan_ba; 13 Finland (FI); sum of YTI</t>
  </si>
  <si>
    <t>Dan_ba; 14 Sweden (SW); sum of YTI</t>
  </si>
  <si>
    <t>Dan_ba; 15 UK (UK); sum of YTI</t>
  </si>
  <si>
    <t>Dan_ba; 16 Czech Rep. (CZ); sum of YTI</t>
  </si>
  <si>
    <t>Dan_ba; 17 Estonia (EN); sum of YTI</t>
  </si>
  <si>
    <t>Dan_ba; 18 Cyprus (CY); sum of YTI</t>
  </si>
  <si>
    <t>Dan_ba; 19 Latvia (LV); sum of YTI</t>
  </si>
  <si>
    <t>Dan_ba; 20 Lithuania (LT); sum of YTI</t>
  </si>
  <si>
    <t>Dan_ba; 21 Hungary (HU); sum of YTI</t>
  </si>
  <si>
    <t>Dan_ba; 22 Malta (MT); sum of YTI</t>
  </si>
  <si>
    <t>Dan_ba; 23 Poland (PL); sum of YTI</t>
  </si>
  <si>
    <t>Dan_ba; 24 Slovenia (SI); sum of YTI</t>
  </si>
  <si>
    <t>Dan_ba; 25 Slovakia (SK); sum of YTI</t>
  </si>
  <si>
    <t>Dan_ba; 26 Bulgaria (BG); sum of YTI</t>
  </si>
  <si>
    <t>Dan_ba; 27 Romania (RO); sum of YTI</t>
  </si>
  <si>
    <t>Dan_ba; 28 Norway (NO); sum of YTI</t>
  </si>
  <si>
    <t>Dan_ba; 29 Switzerland (CH); sum of YTI</t>
  </si>
  <si>
    <t>Dan_ba; 30 Iceland (IS); sum of YTI</t>
  </si>
  <si>
    <t>Dan_ba; 31 Croatia (HR); sum of YTI</t>
  </si>
  <si>
    <t>Dan_ba; 32 Turkey (TR); sum of YTI</t>
  </si>
  <si>
    <t>Dan_ba; 33 Macedonia (MK); sum of YTI</t>
  </si>
  <si>
    <t>Dan_ba; 34 USA (US); sum of YTI</t>
  </si>
  <si>
    <t>Dan_ba; 35 Japan (JA); sum of YTI</t>
  </si>
  <si>
    <t>Dan_ba; 36 Canada (CA); sum of YTI</t>
  </si>
  <si>
    <t>Dan_ba; 37 Australia (AU); sum of YTI</t>
  </si>
  <si>
    <t>Dan_ba; 38 New Zealand (NZ); sum of YTI</t>
  </si>
  <si>
    <t>Dan_ba; 39 Russian Fed. (RS); sum of YTI</t>
  </si>
  <si>
    <t>Dan_ba; 40 Rest of Annex I (RA); sum of YTI</t>
  </si>
  <si>
    <t>Dan_ba; 41 China (CN); sum of YTI</t>
  </si>
  <si>
    <t>Dan_ba; 42 India (IN); sum of YTI</t>
  </si>
  <si>
    <t>Dan_ba; 43 Mexico (MX); sum of YTI</t>
  </si>
  <si>
    <t>Dan_ba; 44 Brazil (BR); sum of YTI</t>
  </si>
  <si>
    <t>Dan_ba; 45 Argentina (AR); sum of YTI</t>
  </si>
  <si>
    <t>Dan_ba; 46 Colombia (CO); sum of YTI</t>
  </si>
  <si>
    <t>Dan_ba; 47 Rest LatinAmerica(LA); sum of YTI</t>
  </si>
  <si>
    <t>Dan_ba; 48 Korea (KR); sum of YTI</t>
  </si>
  <si>
    <t>Dan_ba; 49 Taiwan (TW); sum of YTI</t>
  </si>
  <si>
    <t>Dan_ba; 50 Indonesia (ID); sum of YTI</t>
  </si>
  <si>
    <t>Dan_ba; 51 Rest of ASEAN (AS); sum of YTI</t>
  </si>
  <si>
    <t>Dan_ba; 52 Rest of OPEC ex Venez; sum of YTI</t>
  </si>
  <si>
    <t>Dan_ba; 53 Rest of World (RW); sum of YTI</t>
  </si>
  <si>
    <t>Dan_ba; 54 Ukraine (UE); sum of YTI</t>
  </si>
  <si>
    <t>Dan_ba; 55 Saudi Arabia (SD); sum of YTI</t>
  </si>
  <si>
    <t>Dan_ba; 56 Nigeria (NG); sum of YTI</t>
  </si>
  <si>
    <t>Dan_ba; 57 South Africa (SA); sum of YTI</t>
  </si>
  <si>
    <t>Dan_ba; 58 NorthAfrica OPEC (ON); sum of YTI</t>
  </si>
  <si>
    <t>Dan_ba; 59 CentralAfricaOPEC(OC); sum of YTI</t>
  </si>
  <si>
    <t>Dan_ba; 60 Malaysia (MY); sum of YTI</t>
  </si>
  <si>
    <t>Dan_ba; 61 Kazakhstan (KZ); sum of YTI</t>
  </si>
  <si>
    <t>Dan_ba; 62 Rest NorthAfrica (AN); sum of YTI</t>
  </si>
  <si>
    <t>Dan_ba; 63 RestCentralAfrica(AC); sum of YTI</t>
  </si>
  <si>
    <t>Dan_ba; 64 Rest West Africa (AW); sum of YTI</t>
  </si>
  <si>
    <t>Dan_ba; 65 Rest East Africa (AE); sum of YTI</t>
  </si>
  <si>
    <t>Dan_ba; 66 Rest SouthAfrica (ZA); sum of YTI</t>
  </si>
  <si>
    <t>Dan_ba; 67 Egypt (EG); sum of YTI</t>
  </si>
  <si>
    <t>Dan_ba; 68 Dem. Rep. Congo (DC); sum of YTI</t>
  </si>
  <si>
    <t>Dan_ba; 69 Kenya (KE); sum of YTI</t>
  </si>
  <si>
    <t>Dan_ba; 70 UAE (UA); sum of YTI</t>
  </si>
  <si>
    <t>Dan_ba; 71 Pakistan (PK); sum of YTI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</si>
</sst>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ubik Ligh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E_2025-2026">
  <a:themeElements>
    <a:clrScheme name="CE new brand">
      <a:dk1>
        <a:srgbClr val="004047"/>
      </a:dk1>
      <a:lt1>
        <a:sysClr val="window" lastClr="FFFFFF"/>
      </a:lt1>
      <a:dk2>
        <a:srgbClr val="000000"/>
      </a:dk2>
      <a:lt2>
        <a:srgbClr val="E6F9F9"/>
      </a:lt2>
      <a:accent1>
        <a:srgbClr val="FFAC3B"/>
      </a:accent1>
      <a:accent2>
        <a:srgbClr val="00C5C6"/>
      </a:accent2>
      <a:accent3>
        <a:srgbClr val="A30051"/>
      </a:accent3>
      <a:accent4>
        <a:srgbClr val="005F8B"/>
      </a:accent4>
      <a:accent5>
        <a:srgbClr val="FFD700"/>
      </a:accent5>
      <a:accent6>
        <a:srgbClr val="8FB71C"/>
      </a:accent6>
      <a:hlink>
        <a:srgbClr val="00C5C6"/>
      </a:hlink>
      <a:folHlink>
        <a:srgbClr val="00C5C6"/>
      </a:folHlink>
    </a:clrScheme>
    <a:fontScheme name="CE new brand">
      <a:majorFont>
        <a:latin typeface="Rubik Medium"/>
        <a:ea typeface=""/>
        <a:cs typeface=""/>
      </a:majorFont>
      <a:minorFont>
        <a:latin typeface="Rubik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2CBD-9B6C-416F-A4E6-A06FF152EBB6}">
  <sheetPr>
    <tabColor theme="1"/>
  </sheetPr>
  <dimension ref="A1:CN18"/>
  <sheetViews>
    <sheetView workbookViewId="0">
      <pane xSplit="12" ySplit="1" topLeftCell="M2" activePane="bottomRight" state="frozen"/>
      <selection pane="topRight" activeCell="M1" sqref="M1"/>
      <selection pane="bottomLeft" activeCell="A2" sqref="A2"/>
      <selection pane="bottomRight" activeCell="A5" sqref="A5"/>
    </sheetView>
  </sheetViews>
  <sheetFormatPr defaultRowHeight="15.75" x14ac:dyDescent="0.3"/>
  <cols>
    <col min="1" max="1" width="21.109375" customWidth="1"/>
    <col min="2" max="12" width="0" hidden="1" customWidth="1"/>
  </cols>
  <sheetData>
    <row r="1" spans="1:92" x14ac:dyDescent="0.3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  <c r="AQ1">
        <v>2051</v>
      </c>
      <c r="AR1">
        <v>2052</v>
      </c>
      <c r="AS1">
        <v>2053</v>
      </c>
      <c r="AT1">
        <v>2054</v>
      </c>
      <c r="AU1">
        <v>2055</v>
      </c>
      <c r="AV1">
        <v>2056</v>
      </c>
      <c r="AW1">
        <v>2057</v>
      </c>
      <c r="AX1">
        <v>2058</v>
      </c>
      <c r="AY1">
        <v>2059</v>
      </c>
      <c r="AZ1">
        <v>2060</v>
      </c>
      <c r="BA1">
        <v>2061</v>
      </c>
      <c r="BB1">
        <v>2062</v>
      </c>
      <c r="BC1">
        <v>2063</v>
      </c>
      <c r="BD1">
        <v>2064</v>
      </c>
      <c r="BE1">
        <v>2065</v>
      </c>
      <c r="BF1">
        <v>2066</v>
      </c>
      <c r="BG1">
        <v>2067</v>
      </c>
      <c r="BH1">
        <v>2068</v>
      </c>
      <c r="BI1">
        <v>2069</v>
      </c>
      <c r="BJ1">
        <v>2070</v>
      </c>
      <c r="BK1">
        <v>2071</v>
      </c>
      <c r="BL1">
        <v>2072</v>
      </c>
      <c r="BM1">
        <v>2073</v>
      </c>
      <c r="BN1">
        <v>2074</v>
      </c>
      <c r="BO1">
        <v>2075</v>
      </c>
      <c r="BP1">
        <v>2076</v>
      </c>
      <c r="BQ1">
        <v>2077</v>
      </c>
      <c r="BR1">
        <v>2078</v>
      </c>
      <c r="BS1">
        <v>2079</v>
      </c>
      <c r="BT1">
        <v>2080</v>
      </c>
      <c r="BU1">
        <v>2081</v>
      </c>
      <c r="BV1">
        <v>2082</v>
      </c>
      <c r="BW1">
        <v>2083</v>
      </c>
      <c r="BX1">
        <v>2084</v>
      </c>
      <c r="BY1">
        <v>2085</v>
      </c>
      <c r="BZ1">
        <v>2086</v>
      </c>
      <c r="CA1">
        <v>2087</v>
      </c>
      <c r="CB1">
        <v>2088</v>
      </c>
      <c r="CC1">
        <v>2089</v>
      </c>
      <c r="CD1">
        <v>2090</v>
      </c>
      <c r="CE1">
        <v>2091</v>
      </c>
      <c r="CF1">
        <v>2092</v>
      </c>
      <c r="CG1">
        <v>2093</v>
      </c>
      <c r="CH1">
        <v>2094</v>
      </c>
      <c r="CI1">
        <v>2095</v>
      </c>
      <c r="CJ1">
        <v>2096</v>
      </c>
      <c r="CK1">
        <v>2097</v>
      </c>
      <c r="CL1">
        <v>2098</v>
      </c>
      <c r="CM1">
        <v>2099</v>
      </c>
      <c r="CN1">
        <v>2100</v>
      </c>
    </row>
    <row r="2" spans="1:92" x14ac:dyDescent="0.3">
      <c r="A2" s="3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4">
        <v>184</v>
      </c>
      <c r="N2">
        <f>$M$2  +  ($V$2 - $M$2) / 9</f>
        <v>185.55555555555554</v>
      </c>
      <c r="O2">
        <f>$N$2  +  ($V$2 - $M$2) / 9</f>
        <v>187.11111111111109</v>
      </c>
      <c r="P2">
        <f>$O$2  +  ($V$2 - $M$2) / 9</f>
        <v>188.66666666666663</v>
      </c>
      <c r="Q2">
        <f>$P$2  +  ($V$2 - $M$2) / 9</f>
        <v>190.22222222222217</v>
      </c>
      <c r="R2">
        <f>$Q$2  +  ($V$2 - $M$2) / 9</f>
        <v>191.77777777777771</v>
      </c>
      <c r="S2">
        <f>$R$2  +  ($V$2 - $M$2) / 9</f>
        <v>193.33333333333326</v>
      </c>
      <c r="T2">
        <f>$S$2  +  ($V$2 - $M$2) / 9</f>
        <v>194.8888888888888</v>
      </c>
      <c r="U2">
        <f>$T$2  +  ($V$2 - $M$2) / 9</f>
        <v>196.44444444444434</v>
      </c>
      <c r="V2">
        <v>198</v>
      </c>
      <c r="W2">
        <f>$V$2  +  ($AF$2 - $V$2) / 10</f>
        <v>199.6</v>
      </c>
      <c r="X2">
        <f>$W$2  +  ($AF$2 - $V$2) / 10</f>
        <v>201.2</v>
      </c>
      <c r="Y2">
        <f>$X$2  +  ($AF$2 - $V$2) / 10</f>
        <v>202.79999999999998</v>
      </c>
      <c r="Z2">
        <f>$Y$2  +  ($AF$2 - $V$2) / 10</f>
        <v>204.39999999999998</v>
      </c>
      <c r="AA2">
        <f>$Z$2  +  ($AF$2 - $V$2) / 10</f>
        <v>205.99999999999997</v>
      </c>
      <c r="AB2">
        <f>$AA$2  +  ($AF$2 - $V$2) / 10</f>
        <v>207.59999999999997</v>
      </c>
      <c r="AC2">
        <f>$AB$2  +  ($AF$2 - $V$2) / 10</f>
        <v>209.19999999999996</v>
      </c>
      <c r="AD2">
        <f>$AC$2  +  ($AF$2 - $V$2) / 10</f>
        <v>210.79999999999995</v>
      </c>
      <c r="AE2">
        <f>$AD$2  +  ($AF$2 - $V$2) / 10</f>
        <v>212.39999999999995</v>
      </c>
      <c r="AF2">
        <v>214</v>
      </c>
      <c r="AG2">
        <f>$AF$2  +  ($AP$2 - $AF$2) / 10</f>
        <v>215.8</v>
      </c>
      <c r="AH2">
        <f>$AG$2  +  ($AP$2 - $AF$2) / 10</f>
        <v>217.60000000000002</v>
      </c>
      <c r="AI2">
        <f>$AH$2  +  ($AP$2 - $AF$2) / 10</f>
        <v>219.40000000000003</v>
      </c>
      <c r="AJ2">
        <f>$AI$2  +  ($AP$2 - $AF$2) / 10</f>
        <v>221.20000000000005</v>
      </c>
      <c r="AK2">
        <f>$AJ$2  +  ($AP$2 - $AF$2) / 10</f>
        <v>223.00000000000006</v>
      </c>
      <c r="AL2">
        <f>$AK$2  +  ($AP$2 - $AF$2) / 10</f>
        <v>224.80000000000007</v>
      </c>
      <c r="AM2">
        <f>$AL$2  +  ($AP$2 - $AF$2) / 10</f>
        <v>226.60000000000008</v>
      </c>
      <c r="AN2">
        <f>$AM$2  +  ($AP$2 - $AF$2) / 10</f>
        <v>228.40000000000009</v>
      </c>
      <c r="AO2">
        <f>$AN$2  +  ($AP$2 - $AF$2) / 10</f>
        <v>230.2000000000001</v>
      </c>
      <c r="AP2">
        <v>232</v>
      </c>
      <c r="AQ2">
        <f>$AP$2  +  ($CN$2 - $AP$2) / 50</f>
        <v>232</v>
      </c>
      <c r="AR2">
        <f>$AQ$2  +  ($CN$2 - $AP$2) / 50</f>
        <v>232</v>
      </c>
      <c r="AS2">
        <f>$AR$2  +  ($CN$2 - $AP$2) / 50</f>
        <v>232</v>
      </c>
      <c r="AT2">
        <f>$AS$2  +  ($CN$2 - $AP$2) / 50</f>
        <v>232</v>
      </c>
      <c r="AU2">
        <f>$AT$2  +  ($CN$2 - $AP$2) / 50</f>
        <v>232</v>
      </c>
      <c r="AV2">
        <f>$AU$2  +  ($CN$2 - $AP$2) / 50</f>
        <v>232</v>
      </c>
      <c r="AW2">
        <f>$AV$2  +  ($CN$2 - $AP$2) / 50</f>
        <v>232</v>
      </c>
      <c r="AX2">
        <f>$AW$2  +  ($CN$2 - $AP$2) / 50</f>
        <v>232</v>
      </c>
      <c r="AY2">
        <f>$AX$2  +  ($CN$2 - $AP$2) / 50</f>
        <v>232</v>
      </c>
      <c r="AZ2">
        <f>$AY$2  +  ($CN$2 - $AP$2) / 50</f>
        <v>232</v>
      </c>
      <c r="BA2">
        <f>$AZ$2  +  ($CN$2 - $AP$2) / 50</f>
        <v>232</v>
      </c>
      <c r="BB2">
        <f>$BA$2  +  ($CN$2 - $AP$2) / 50</f>
        <v>232</v>
      </c>
      <c r="BC2">
        <f>$BB$2  +  ($CN$2 - $AP$2) / 50</f>
        <v>232</v>
      </c>
      <c r="BD2">
        <f>$BC$2  +  ($CN$2 - $AP$2) / 50</f>
        <v>232</v>
      </c>
      <c r="BE2">
        <f>$BD$2  +  ($CN$2 - $AP$2) / 50</f>
        <v>232</v>
      </c>
      <c r="BF2">
        <f>$BE$2  +  ($CN$2 - $AP$2) / 50</f>
        <v>232</v>
      </c>
      <c r="BG2">
        <f>$BF$2  +  ($CN$2 - $AP$2) / 50</f>
        <v>232</v>
      </c>
      <c r="BH2">
        <f>$BG$2  +  ($CN$2 - $AP$2) / 50</f>
        <v>232</v>
      </c>
      <c r="BI2">
        <f>$BH$2  +  ($CN$2 - $AP$2) / 50</f>
        <v>232</v>
      </c>
      <c r="BJ2">
        <f>$BI$2  +  ($CN$2 - $AP$2) / 50</f>
        <v>232</v>
      </c>
      <c r="BK2">
        <f>$BJ$2  +  ($CN$2 - $AP$2) / 50</f>
        <v>232</v>
      </c>
      <c r="BL2">
        <f>$BK$2  +  ($CN$2 - $AP$2) / 50</f>
        <v>232</v>
      </c>
      <c r="BM2">
        <f>$BL$2  +  ($CN$2 - $AP$2) / 50</f>
        <v>232</v>
      </c>
      <c r="BN2">
        <f>$BM$2  +  ($CN$2 - $AP$2) / 50</f>
        <v>232</v>
      </c>
      <c r="BO2">
        <f>$BN$2  +  ($CN$2 - $AP$2) / 50</f>
        <v>232</v>
      </c>
      <c r="BP2">
        <f>$BO$2  +  ($CN$2 - $AP$2) / 50</f>
        <v>232</v>
      </c>
      <c r="BQ2">
        <f>$BP$2  +  ($CN$2 - $AP$2) / 50</f>
        <v>232</v>
      </c>
      <c r="BR2">
        <f>$BQ$2  +  ($CN$2 - $AP$2) / 50</f>
        <v>232</v>
      </c>
      <c r="BS2">
        <f>$BR$2  +  ($CN$2 - $AP$2) / 50</f>
        <v>232</v>
      </c>
      <c r="BT2">
        <f>$BS$2  +  ($CN$2 - $AP$2) / 50</f>
        <v>232</v>
      </c>
      <c r="BU2">
        <f>$BT$2  +  ($CN$2 - $AP$2) / 50</f>
        <v>232</v>
      </c>
      <c r="BV2">
        <f>$BU$2  +  ($CN$2 - $AP$2) / 50</f>
        <v>232</v>
      </c>
      <c r="BW2">
        <f>$BV$2  +  ($CN$2 - $AP$2) / 50</f>
        <v>232</v>
      </c>
      <c r="BX2">
        <f>$BW$2  +  ($CN$2 - $AP$2) / 50</f>
        <v>232</v>
      </c>
      <c r="BY2">
        <f>$BX$2  +  ($CN$2 - $AP$2) / 50</f>
        <v>232</v>
      </c>
      <c r="BZ2">
        <f>$BY$2  +  ($CN$2 - $AP$2) / 50</f>
        <v>232</v>
      </c>
      <c r="CA2">
        <f>$BZ$2  +  ($CN$2 - $AP$2) / 50</f>
        <v>232</v>
      </c>
      <c r="CB2">
        <f>$CA$2  +  ($CN$2 - $AP$2) / 50</f>
        <v>232</v>
      </c>
      <c r="CC2">
        <f>$CB$2  +  ($CN$2 - $AP$2) / 50</f>
        <v>232</v>
      </c>
      <c r="CD2">
        <f>$CC$2  +  ($CN$2 - $AP$2) / 50</f>
        <v>232</v>
      </c>
      <c r="CE2">
        <f>$CD$2  +  ($CN$2 - $AP$2) / 50</f>
        <v>232</v>
      </c>
      <c r="CF2">
        <f>$CE$2  +  ($CN$2 - $AP$2) / 50</f>
        <v>232</v>
      </c>
      <c r="CG2">
        <f>$CF$2  +  ($CN$2 - $AP$2) / 50</f>
        <v>232</v>
      </c>
      <c r="CH2">
        <f>$CG$2  +  ($CN$2 - $AP$2) / 50</f>
        <v>232</v>
      </c>
      <c r="CI2">
        <f>$CH$2  +  ($CN$2 - $AP$2) / 50</f>
        <v>232</v>
      </c>
      <c r="CJ2">
        <f>$CI$2  +  ($CN$2 - $AP$2) / 50</f>
        <v>232</v>
      </c>
      <c r="CK2">
        <f>$CJ$2  +  ($CN$2 - $AP$2) / 50</f>
        <v>232</v>
      </c>
      <c r="CL2">
        <f>$CK$2  +  ($CN$2 - $AP$2) / 50</f>
        <v>232</v>
      </c>
      <c r="CM2">
        <f>$CL$2  +  ($CN$2 - $AP$2) / 50</f>
        <v>232</v>
      </c>
      <c r="CN2" s="4">
        <v>232</v>
      </c>
    </row>
    <row r="3" spans="1:92" x14ac:dyDescent="0.3">
      <c r="A3" s="3" t="s">
        <v>74</v>
      </c>
      <c r="B3">
        <v>0</v>
      </c>
      <c r="C3">
        <f>$B$3  +  ($M$3 - $B$3) / 11</f>
        <v>0</v>
      </c>
      <c r="D3">
        <f>$C$3  +  ($M$3 - $B$3) / 11</f>
        <v>0</v>
      </c>
      <c r="E3">
        <f>$D$3  +  ($M$3 - $B$3) / 11</f>
        <v>0</v>
      </c>
      <c r="F3">
        <f>$E$3  +  ($M$3 - $B$3) / 11</f>
        <v>0</v>
      </c>
      <c r="G3">
        <f>$F$3  +  ($M$3 - $B$3) / 11</f>
        <v>0</v>
      </c>
      <c r="H3">
        <f>$G$3  +  ($M$3 - $B$3) / 11</f>
        <v>0</v>
      </c>
      <c r="I3">
        <f>$H$3  +  ($M$3 - $B$3) / 11</f>
        <v>0</v>
      </c>
      <c r="J3">
        <f>$I$3  +  ($M$3 - $B$3) / 11</f>
        <v>0</v>
      </c>
      <c r="K3">
        <f>$J$3  +  ($M$3 - $B$3) / 11</f>
        <v>0</v>
      </c>
      <c r="L3">
        <f>$K$3  +  ($M$3 - $B$3) / 11</f>
        <v>0</v>
      </c>
      <c r="M3" s="3">
        <v>0</v>
      </c>
      <c r="N3" s="3">
        <v>0</v>
      </c>
      <c r="O3" s="3">
        <v>0</v>
      </c>
      <c r="P3" s="3">
        <v>0</v>
      </c>
      <c r="Q3">
        <v>0</v>
      </c>
      <c r="R3">
        <f>$Q$3  +  ($V$3 - $Q$3) / 5</f>
        <v>0.6</v>
      </c>
      <c r="S3">
        <f>$R$3  +  ($V$3 - $Q$3) / 5</f>
        <v>1.2</v>
      </c>
      <c r="T3">
        <f>$S$3  +  ($V$3 - $Q$3) / 5</f>
        <v>1.7999999999999998</v>
      </c>
      <c r="U3">
        <f>$T$3  +  ($V$3 - $Q$3) / 5</f>
        <v>2.4</v>
      </c>
      <c r="V3">
        <v>3</v>
      </c>
      <c r="W3">
        <f>$V$3  +  ($AF$3 - $V$3) / 10</f>
        <v>8</v>
      </c>
      <c r="X3">
        <f>$W$3  +  ($AF$3 - $V$3) / 10</f>
        <v>13</v>
      </c>
      <c r="Y3">
        <f>$X$3  +  ($AF$3 - $V$3) / 10</f>
        <v>18</v>
      </c>
      <c r="Z3">
        <f>$Y$3  +  ($AF$3 - $V$3) / 10</f>
        <v>23</v>
      </c>
      <c r="AA3">
        <f>$Z$3  +  ($AF$3 - $V$3) / 10</f>
        <v>28</v>
      </c>
      <c r="AB3">
        <f>$AA$3  +  ($AF$3 - $V$3) / 10</f>
        <v>33</v>
      </c>
      <c r="AC3">
        <f>$AB$3  +  ($AF$3 - $V$3) / 10</f>
        <v>38</v>
      </c>
      <c r="AD3">
        <f>$AC$3  +  ($AF$3 - $V$3) / 10</f>
        <v>43</v>
      </c>
      <c r="AE3">
        <f>$AD$3  +  ($AF$3 - $V$3) / 10</f>
        <v>48</v>
      </c>
      <c r="AF3">
        <v>53</v>
      </c>
      <c r="AG3">
        <f>$AF$3  +  ($AP$3 - $AF$3) / 10</f>
        <v>65.900000000000006</v>
      </c>
      <c r="AH3">
        <f>$AG$3  +  ($AP$3 - $AF$3) / 10</f>
        <v>78.800000000000011</v>
      </c>
      <c r="AI3">
        <f>$AH$3  +  ($AP$3 - $AF$3) / 10</f>
        <v>91.700000000000017</v>
      </c>
      <c r="AJ3">
        <f>$AI$3  +  ($AP$3 - $AF$3) / 10</f>
        <v>104.60000000000002</v>
      </c>
      <c r="AK3">
        <f>$AJ$3  +  ($AP$3 - $AF$3) / 10</f>
        <v>117.50000000000003</v>
      </c>
      <c r="AL3">
        <f>$AK$3  +  ($AP$3 - $AF$3) / 10</f>
        <v>130.40000000000003</v>
      </c>
      <c r="AM3">
        <f>$AL$3  +  ($AP$3 - $AF$3) / 10</f>
        <v>143.30000000000004</v>
      </c>
      <c r="AN3">
        <f>$AM$3  +  ($AP$3 - $AF$3) / 10</f>
        <v>156.20000000000005</v>
      </c>
      <c r="AO3">
        <f>$AN$3  +  ($AP$3 - $AF$3) / 10</f>
        <v>169.10000000000005</v>
      </c>
      <c r="AP3">
        <v>182</v>
      </c>
      <c r="AQ3">
        <f>$AP$3  +  ($CN$3 - $AP$3) / 50</f>
        <v>182</v>
      </c>
      <c r="AR3">
        <f>$AQ$3  +  ($CN$3 - $AP$3) / 50</f>
        <v>182</v>
      </c>
      <c r="AS3">
        <f>$AR$3  +  ($CN$3 - $AP$3) / 50</f>
        <v>182</v>
      </c>
      <c r="AT3">
        <f>$AS$3  +  ($CN$3 - $AP$3) / 50</f>
        <v>182</v>
      </c>
      <c r="AU3">
        <f>$AT$3  +  ($CN$3 - $AP$3) / 50</f>
        <v>182</v>
      </c>
      <c r="AV3">
        <f>$AU$3  +  ($CN$3 - $AP$3) / 50</f>
        <v>182</v>
      </c>
      <c r="AW3">
        <f>$AV$3  +  ($CN$3 - $AP$3) / 50</f>
        <v>182</v>
      </c>
      <c r="AX3">
        <f>$AW$3  +  ($CN$3 - $AP$3) / 50</f>
        <v>182</v>
      </c>
      <c r="AY3">
        <f>$AX$3  +  ($CN$3 - $AP$3) / 50</f>
        <v>182</v>
      </c>
      <c r="AZ3">
        <f>$AY$3  +  ($CN$3 - $AP$3) / 50</f>
        <v>182</v>
      </c>
      <c r="BA3">
        <f>$AZ$3  +  ($CN$3 - $AP$3) / 50</f>
        <v>182</v>
      </c>
      <c r="BB3">
        <f>$BA$3  +  ($CN$3 - $AP$3) / 50</f>
        <v>182</v>
      </c>
      <c r="BC3">
        <f>$BB$3  +  ($CN$3 - $AP$3) / 50</f>
        <v>182</v>
      </c>
      <c r="BD3">
        <f>$BC$3  +  ($CN$3 - $AP$3) / 50</f>
        <v>182</v>
      </c>
      <c r="BE3">
        <f>$BD$3  +  ($CN$3 - $AP$3) / 50</f>
        <v>182</v>
      </c>
      <c r="BF3">
        <f>$BE$3  +  ($CN$3 - $AP$3) / 50</f>
        <v>182</v>
      </c>
      <c r="BG3">
        <f>$BF$3  +  ($CN$3 - $AP$3) / 50</f>
        <v>182</v>
      </c>
      <c r="BH3">
        <f>$BG$3  +  ($CN$3 - $AP$3) / 50</f>
        <v>182</v>
      </c>
      <c r="BI3">
        <f>$BH$3  +  ($CN$3 - $AP$3) / 50</f>
        <v>182</v>
      </c>
      <c r="BJ3">
        <f>$BI$3  +  ($CN$3 - $AP$3) / 50</f>
        <v>182</v>
      </c>
      <c r="BK3">
        <f>$BJ$3  +  ($CN$3 - $AP$3) / 50</f>
        <v>182</v>
      </c>
      <c r="BL3">
        <f>$BK$3  +  ($CN$3 - $AP$3) / 50</f>
        <v>182</v>
      </c>
      <c r="BM3">
        <f>$BL$3  +  ($CN$3 - $AP$3) / 50</f>
        <v>182</v>
      </c>
      <c r="BN3">
        <f>$BM$3  +  ($CN$3 - $AP$3) / 50</f>
        <v>182</v>
      </c>
      <c r="BO3">
        <f>$BN$3  +  ($CN$3 - $AP$3) / 50</f>
        <v>182</v>
      </c>
      <c r="BP3">
        <f>$BO$3  +  ($CN$3 - $AP$3) / 50</f>
        <v>182</v>
      </c>
      <c r="BQ3">
        <f>$BP$3  +  ($CN$3 - $AP$3) / 50</f>
        <v>182</v>
      </c>
      <c r="BR3">
        <f>$BQ$3  +  ($CN$3 - $AP$3) / 50</f>
        <v>182</v>
      </c>
      <c r="BS3">
        <f>$BR$3  +  ($CN$3 - $AP$3) / 50</f>
        <v>182</v>
      </c>
      <c r="BT3">
        <f>$BS$3  +  ($CN$3 - $AP$3) / 50</f>
        <v>182</v>
      </c>
      <c r="BU3">
        <f>$BT$3  +  ($CN$3 - $AP$3) / 50</f>
        <v>182</v>
      </c>
      <c r="BV3">
        <f>$BU$3  +  ($CN$3 - $AP$3) / 50</f>
        <v>182</v>
      </c>
      <c r="BW3">
        <f>$BV$3  +  ($CN$3 - $AP$3) / 50</f>
        <v>182</v>
      </c>
      <c r="BX3">
        <f>$BW$3  +  ($CN$3 - $AP$3) / 50</f>
        <v>182</v>
      </c>
      <c r="BY3">
        <f>$BX$3  +  ($CN$3 - $AP$3) / 50</f>
        <v>182</v>
      </c>
      <c r="BZ3">
        <f>$BY$3  +  ($CN$3 - $AP$3) / 50</f>
        <v>182</v>
      </c>
      <c r="CA3">
        <f>$BZ$3  +  ($CN$3 - $AP$3) / 50</f>
        <v>182</v>
      </c>
      <c r="CB3">
        <f>$CA$3  +  ($CN$3 - $AP$3) / 50</f>
        <v>182</v>
      </c>
      <c r="CC3">
        <f>$CB$3  +  ($CN$3 - $AP$3) / 50</f>
        <v>182</v>
      </c>
      <c r="CD3">
        <f>$CC$3  +  ($CN$3 - $AP$3) / 50</f>
        <v>182</v>
      </c>
      <c r="CE3">
        <f>$CD$3  +  ($CN$3 - $AP$3) / 50</f>
        <v>182</v>
      </c>
      <c r="CF3">
        <f>$CE$3  +  ($CN$3 - $AP$3) / 50</f>
        <v>182</v>
      </c>
      <c r="CG3">
        <f>$CF$3  +  ($CN$3 - $AP$3) / 50</f>
        <v>182</v>
      </c>
      <c r="CH3">
        <f>$CG$3  +  ($CN$3 - $AP$3) / 50</f>
        <v>182</v>
      </c>
      <c r="CI3">
        <f>$CH$3  +  ($CN$3 - $AP$3) / 50</f>
        <v>182</v>
      </c>
      <c r="CJ3">
        <f>$CI$3  +  ($CN$3 - $AP$3) / 50</f>
        <v>182</v>
      </c>
      <c r="CK3">
        <f>$CJ$3  +  ($CN$3 - $AP$3) / 50</f>
        <v>182</v>
      </c>
      <c r="CL3">
        <f>$CK$3  +  ($CN$3 - $AP$3) / 50</f>
        <v>182</v>
      </c>
      <c r="CM3">
        <f>$CL$3  +  ($CN$3 - $AP$3) / 50</f>
        <v>182</v>
      </c>
      <c r="CN3" s="4">
        <v>182</v>
      </c>
    </row>
    <row r="4" spans="1:92" x14ac:dyDescent="0.3">
      <c r="A4" s="3" t="s">
        <v>75</v>
      </c>
      <c r="B4">
        <v>0</v>
      </c>
      <c r="C4">
        <f>$B$4  +  ($M$4 - $B$4) / 11</f>
        <v>0</v>
      </c>
      <c r="D4">
        <f>$C$4  +  ($M$4 - $B$4) / 11</f>
        <v>0</v>
      </c>
      <c r="E4">
        <f>$D$4  +  ($M$4 - $B$4) / 11</f>
        <v>0</v>
      </c>
      <c r="F4">
        <f>$E$4  +  ($M$4 - $B$4) / 11</f>
        <v>0</v>
      </c>
      <c r="G4">
        <f>$F$4  +  ($M$4 - $B$4) / 11</f>
        <v>0</v>
      </c>
      <c r="H4">
        <f>$G$4  +  ($M$4 - $B$4) / 11</f>
        <v>0</v>
      </c>
      <c r="I4">
        <f>$H$4  +  ($M$4 - $B$4) / 11</f>
        <v>0</v>
      </c>
      <c r="J4">
        <f>$I$4  +  ($M$4 - $B$4) / 11</f>
        <v>0</v>
      </c>
      <c r="K4">
        <f>$J$4  +  ($M$4 - $B$4) / 11</f>
        <v>0</v>
      </c>
      <c r="L4">
        <f>$K$4  +  ($M$4 - $B$4) / 11</f>
        <v>0</v>
      </c>
      <c r="M4" s="3">
        <v>0</v>
      </c>
      <c r="N4" s="3">
        <v>0</v>
      </c>
      <c r="O4" s="3">
        <v>0</v>
      </c>
      <c r="P4" s="3">
        <v>0</v>
      </c>
      <c r="Q4">
        <v>0</v>
      </c>
      <c r="R4">
        <f>$Q$4  +  ($V$4 - $Q$4) / 5</f>
        <v>0</v>
      </c>
      <c r="S4">
        <f>$R$4  +  ($V$4 - $Q$4) / 5</f>
        <v>0</v>
      </c>
      <c r="T4">
        <f>$S$4  +  ($V$4 - $Q$4) / 5</f>
        <v>0</v>
      </c>
      <c r="U4">
        <f>$T$4  +  ($V$4 - $Q$4) / 5</f>
        <v>0</v>
      </c>
      <c r="V4">
        <v>0</v>
      </c>
      <c r="W4">
        <f>$V$4  +  ($AF$4 - $V$4) / 10</f>
        <v>1.5</v>
      </c>
      <c r="X4">
        <f>$W$4  +  ($AF$4 - $V$4) / 10</f>
        <v>3</v>
      </c>
      <c r="Y4">
        <f>$X$4  +  ($AF$4 - $V$4) / 10</f>
        <v>4.5</v>
      </c>
      <c r="Z4">
        <f>$Y$4  +  ($AF$4 - $V$4) / 10</f>
        <v>6</v>
      </c>
      <c r="AA4">
        <f>$Z$4  +  ($AF$4 - $V$4) / 10</f>
        <v>7.5</v>
      </c>
      <c r="AB4">
        <f>$AA$4  +  ($AF$4 - $V$4) / 10</f>
        <v>9</v>
      </c>
      <c r="AC4">
        <f>$AB$4  +  ($AF$4 - $V$4) / 10</f>
        <v>10.5</v>
      </c>
      <c r="AD4">
        <f>$AC$4  +  ($AF$4 - $V$4) / 10</f>
        <v>12</v>
      </c>
      <c r="AE4">
        <f>$AD$4  +  ($AF$4 - $V$4) / 10</f>
        <v>13.5</v>
      </c>
      <c r="AF4">
        <v>15</v>
      </c>
      <c r="AG4">
        <f>$AF$4  +  ($AP$4 - $AF$4) / 10</f>
        <v>17.100000000000001</v>
      </c>
      <c r="AH4">
        <f>$AG$4  +  ($AP$4 - $AF$4) / 10</f>
        <v>19.200000000000003</v>
      </c>
      <c r="AI4">
        <f>$AH$4  +  ($AP$4 - $AF$4) / 10</f>
        <v>21.300000000000004</v>
      </c>
      <c r="AJ4">
        <f>$AI$4  +  ($AP$4 - $AF$4) / 10</f>
        <v>23.400000000000006</v>
      </c>
      <c r="AK4">
        <f>$AJ$4  +  ($AP$4 - $AF$4) / 10</f>
        <v>25.500000000000007</v>
      </c>
      <c r="AL4">
        <f>$AK$4  +  ($AP$4 - $AF$4) / 10</f>
        <v>27.600000000000009</v>
      </c>
      <c r="AM4">
        <f>$AL$4  +  ($AP$4 - $AF$4) / 10</f>
        <v>29.70000000000001</v>
      </c>
      <c r="AN4">
        <f>$AM$4  +  ($AP$4 - $AF$4) / 10</f>
        <v>31.800000000000011</v>
      </c>
      <c r="AO4">
        <f>$AN$4  +  ($AP$4 - $AF$4) / 10</f>
        <v>33.900000000000013</v>
      </c>
      <c r="AP4">
        <v>36</v>
      </c>
      <c r="AQ4">
        <f>$AP$4  +  ($CN$4 - $AP$4) / 50</f>
        <v>36</v>
      </c>
      <c r="AR4">
        <f>$AQ$4  +  ($CN$4 - $AP$4) / 50</f>
        <v>36</v>
      </c>
      <c r="AS4">
        <f>$AR$4  +  ($CN$4 - $AP$4) / 50</f>
        <v>36</v>
      </c>
      <c r="AT4">
        <f>$AS$4  +  ($CN$4 - $AP$4) / 50</f>
        <v>36</v>
      </c>
      <c r="AU4">
        <f>$AT$4  +  ($CN$4 - $AP$4) / 50</f>
        <v>36</v>
      </c>
      <c r="AV4">
        <f>$AU$4  +  ($CN$4 - $AP$4) / 50</f>
        <v>36</v>
      </c>
      <c r="AW4">
        <f>$AV$4  +  ($CN$4 - $AP$4) / 50</f>
        <v>36</v>
      </c>
      <c r="AX4">
        <f>$AW$4  +  ($CN$4 - $AP$4) / 50</f>
        <v>36</v>
      </c>
      <c r="AY4">
        <f>$AX$4  +  ($CN$4 - $AP$4) / 50</f>
        <v>36</v>
      </c>
      <c r="AZ4">
        <f>$AY$4  +  ($CN$4 - $AP$4) / 50</f>
        <v>36</v>
      </c>
      <c r="BA4">
        <f>$AZ$4  +  ($CN$4 - $AP$4) / 50</f>
        <v>36</v>
      </c>
      <c r="BB4">
        <f>$BA$4  +  ($CN$4 - $AP$4) / 50</f>
        <v>36</v>
      </c>
      <c r="BC4">
        <f>$BB$4  +  ($CN$4 - $AP$4) / 50</f>
        <v>36</v>
      </c>
      <c r="BD4">
        <f>$BC$4  +  ($CN$4 - $AP$4) / 50</f>
        <v>36</v>
      </c>
      <c r="BE4">
        <f>$BD$4  +  ($CN$4 - $AP$4) / 50</f>
        <v>36</v>
      </c>
      <c r="BF4">
        <f>$BE$4  +  ($CN$4 - $AP$4) / 50</f>
        <v>36</v>
      </c>
      <c r="BG4">
        <f>$BF$4  +  ($CN$4 - $AP$4) / 50</f>
        <v>36</v>
      </c>
      <c r="BH4">
        <f>$BG$4  +  ($CN$4 - $AP$4) / 50</f>
        <v>36</v>
      </c>
      <c r="BI4">
        <f>$BH$4  +  ($CN$4 - $AP$4) / 50</f>
        <v>36</v>
      </c>
      <c r="BJ4">
        <f>$BI$4  +  ($CN$4 - $AP$4) / 50</f>
        <v>36</v>
      </c>
      <c r="BK4">
        <f>$BJ$4  +  ($CN$4 - $AP$4) / 50</f>
        <v>36</v>
      </c>
      <c r="BL4">
        <f>$BK$4  +  ($CN$4 - $AP$4) / 50</f>
        <v>36</v>
      </c>
      <c r="BM4">
        <f>$BL$4  +  ($CN$4 - $AP$4) / 50</f>
        <v>36</v>
      </c>
      <c r="BN4">
        <f>$BM$4  +  ($CN$4 - $AP$4) / 50</f>
        <v>36</v>
      </c>
      <c r="BO4">
        <f>$BN$4  +  ($CN$4 - $AP$4) / 50</f>
        <v>36</v>
      </c>
      <c r="BP4">
        <f>$BO$4  +  ($CN$4 - $AP$4) / 50</f>
        <v>36</v>
      </c>
      <c r="BQ4">
        <f>$BP$4  +  ($CN$4 - $AP$4) / 50</f>
        <v>36</v>
      </c>
      <c r="BR4">
        <f>$BQ$4  +  ($CN$4 - $AP$4) / 50</f>
        <v>36</v>
      </c>
      <c r="BS4">
        <f>$BR$4  +  ($CN$4 - $AP$4) / 50</f>
        <v>36</v>
      </c>
      <c r="BT4">
        <f>$BS$4  +  ($CN$4 - $AP$4) / 50</f>
        <v>36</v>
      </c>
      <c r="BU4">
        <f>$BT$4  +  ($CN$4 - $AP$4) / 50</f>
        <v>36</v>
      </c>
      <c r="BV4">
        <f>$BU$4  +  ($CN$4 - $AP$4) / 50</f>
        <v>36</v>
      </c>
      <c r="BW4">
        <f>$BV$4  +  ($CN$4 - $AP$4) / 50</f>
        <v>36</v>
      </c>
      <c r="BX4">
        <f>$BW$4  +  ($CN$4 - $AP$4) / 50</f>
        <v>36</v>
      </c>
      <c r="BY4">
        <f>$BX$4  +  ($CN$4 - $AP$4) / 50</f>
        <v>36</v>
      </c>
      <c r="BZ4">
        <f>$BY$4  +  ($CN$4 - $AP$4) / 50</f>
        <v>36</v>
      </c>
      <c r="CA4">
        <f>$BZ$4  +  ($CN$4 - $AP$4) / 50</f>
        <v>36</v>
      </c>
      <c r="CB4">
        <f>$CA$4  +  ($CN$4 - $AP$4) / 50</f>
        <v>36</v>
      </c>
      <c r="CC4">
        <f>$CB$4  +  ($CN$4 - $AP$4) / 50</f>
        <v>36</v>
      </c>
      <c r="CD4">
        <f>$CC$4  +  ($CN$4 - $AP$4) / 50</f>
        <v>36</v>
      </c>
      <c r="CE4">
        <f>$CD$4  +  ($CN$4 - $AP$4) / 50</f>
        <v>36</v>
      </c>
      <c r="CF4">
        <f>$CE$4  +  ($CN$4 - $AP$4) / 50</f>
        <v>36</v>
      </c>
      <c r="CG4">
        <f>$CF$4  +  ($CN$4 - $AP$4) / 50</f>
        <v>36</v>
      </c>
      <c r="CH4">
        <f>$CG$4  +  ($CN$4 - $AP$4) / 50</f>
        <v>36</v>
      </c>
      <c r="CI4">
        <f>$CH$4  +  ($CN$4 - $AP$4) / 50</f>
        <v>36</v>
      </c>
      <c r="CJ4">
        <f>$CI$4  +  ($CN$4 - $AP$4) / 50</f>
        <v>36</v>
      </c>
      <c r="CK4">
        <f>$CJ$4  +  ($CN$4 - $AP$4) / 50</f>
        <v>36</v>
      </c>
      <c r="CL4">
        <f>$CK$4  +  ($CN$4 - $AP$4) / 50</f>
        <v>36</v>
      </c>
      <c r="CM4">
        <f>$CL$4  +  ($CN$4 - $AP$4) / 50</f>
        <v>36</v>
      </c>
      <c r="CN4" s="4">
        <v>36</v>
      </c>
    </row>
    <row r="5" spans="1:92" x14ac:dyDescent="0.3">
      <c r="A5" s="3" t="s">
        <v>76</v>
      </c>
      <c r="B5">
        <v>0</v>
      </c>
      <c r="C5">
        <f>$B$5  +  ($M$5 - $B$5) / 11</f>
        <v>0</v>
      </c>
      <c r="D5">
        <f>$C$5  +  ($M$5 - $B$5) / 11</f>
        <v>0</v>
      </c>
      <c r="E5">
        <f>$D$5  +  ($M$5 - $B$5) / 11</f>
        <v>0</v>
      </c>
      <c r="F5">
        <f>$E$5  +  ($M$5 - $B$5) / 11</f>
        <v>0</v>
      </c>
      <c r="G5">
        <f>$F$5  +  ($M$5 - $B$5) / 11</f>
        <v>0</v>
      </c>
      <c r="H5">
        <f>$G$5  +  ($M$5 - $B$5) / 11</f>
        <v>0</v>
      </c>
      <c r="I5">
        <f>$H$5  +  ($M$5 - $B$5) / 11</f>
        <v>0</v>
      </c>
      <c r="J5">
        <f>$I$5  +  ($M$5 - $B$5) / 11</f>
        <v>0</v>
      </c>
      <c r="K5">
        <f>$J$5  +  ($M$5 - $B$5) / 11</f>
        <v>0</v>
      </c>
      <c r="L5">
        <f>$K$5  +  ($M$5 - $B$5) / 11</f>
        <v>0</v>
      </c>
      <c r="M5" s="3">
        <v>0</v>
      </c>
      <c r="N5" s="3">
        <v>0</v>
      </c>
      <c r="O5" s="3">
        <v>0</v>
      </c>
      <c r="P5" s="3">
        <v>0</v>
      </c>
      <c r="Q5">
        <v>0</v>
      </c>
      <c r="R5">
        <f>$Q$5  +  ($V$5 - $Q$5) / 5</f>
        <v>0.4</v>
      </c>
      <c r="S5">
        <f>$R$5  +  ($V$5 - $Q$5) / 5</f>
        <v>0.8</v>
      </c>
      <c r="T5">
        <f>$S$5  +  ($V$5 - $Q$5) / 5</f>
        <v>1.2000000000000002</v>
      </c>
      <c r="U5">
        <f>$T$5  +  ($V$5 - $Q$5) / 5</f>
        <v>1.6</v>
      </c>
      <c r="V5">
        <v>2</v>
      </c>
      <c r="W5">
        <f>$V$5  +  ($AF$5 - $V$5) / 10</f>
        <v>3</v>
      </c>
      <c r="X5">
        <f>$W$5  +  ($AF$5 - $V$5) / 10</f>
        <v>4</v>
      </c>
      <c r="Y5">
        <f>$X$5  +  ($AF$5 - $V$5) / 10</f>
        <v>5</v>
      </c>
      <c r="Z5">
        <f>$Y$5  +  ($AF$5 - $V$5) / 10</f>
        <v>6</v>
      </c>
      <c r="AA5">
        <f>$Z$5  +  ($AF$5 - $V$5) / 10</f>
        <v>7</v>
      </c>
      <c r="AB5">
        <f>$AA$5  +  ($AF$5 - $V$5) / 10</f>
        <v>8</v>
      </c>
      <c r="AC5">
        <f>$AB$5  +  ($AF$5 - $V$5) / 10</f>
        <v>9</v>
      </c>
      <c r="AD5">
        <f>$AC$5  +  ($AF$5 - $V$5) / 10</f>
        <v>10</v>
      </c>
      <c r="AE5">
        <f>$AD$5  +  ($AF$5 - $V$5) / 10</f>
        <v>11</v>
      </c>
      <c r="AF5">
        <v>12</v>
      </c>
      <c r="AG5">
        <f>$AF$5  +  ($AP$5 - $AF$5) / 10</f>
        <v>12.8</v>
      </c>
      <c r="AH5">
        <f>$AG$5  +  ($AP$5 - $AF$5) / 10</f>
        <v>13.600000000000001</v>
      </c>
      <c r="AI5">
        <f>$AH$5  +  ($AP$5 - $AF$5) / 10</f>
        <v>14.400000000000002</v>
      </c>
      <c r="AJ5">
        <f>$AI$5  +  ($AP$5 - $AF$5) / 10</f>
        <v>15.200000000000003</v>
      </c>
      <c r="AK5">
        <f>$AJ$5  +  ($AP$5 - $AF$5) / 10</f>
        <v>16.000000000000004</v>
      </c>
      <c r="AL5">
        <f>$AK$5  +  ($AP$5 - $AF$5) / 10</f>
        <v>16.800000000000004</v>
      </c>
      <c r="AM5">
        <f>$AL$5  +  ($AP$5 - $AF$5) / 10</f>
        <v>17.600000000000005</v>
      </c>
      <c r="AN5">
        <f>$AM$5  +  ($AP$5 - $AF$5) / 10</f>
        <v>18.400000000000006</v>
      </c>
      <c r="AO5">
        <f>$AN$5  +  ($AP$5 - $AF$5) / 10</f>
        <v>19.200000000000006</v>
      </c>
      <c r="AP5">
        <v>20</v>
      </c>
      <c r="AQ5">
        <f>$AP$5  +  ($CN$5 - $AP$5) / 50</f>
        <v>20</v>
      </c>
      <c r="AR5">
        <f>$AQ$5  +  ($CN$5 - $AP$5) / 50</f>
        <v>20</v>
      </c>
      <c r="AS5">
        <f>$AR$5  +  ($CN$5 - $AP$5) / 50</f>
        <v>20</v>
      </c>
      <c r="AT5">
        <f>$AS$5  +  ($CN$5 - $AP$5) / 50</f>
        <v>20</v>
      </c>
      <c r="AU5">
        <f>$AT$5  +  ($CN$5 - $AP$5) / 50</f>
        <v>20</v>
      </c>
      <c r="AV5">
        <f>$AU$5  +  ($CN$5 - $AP$5) / 50</f>
        <v>20</v>
      </c>
      <c r="AW5">
        <f>$AV$5  +  ($CN$5 - $AP$5) / 50</f>
        <v>20</v>
      </c>
      <c r="AX5">
        <f>$AW$5  +  ($CN$5 - $AP$5) / 50</f>
        <v>20</v>
      </c>
      <c r="AY5">
        <f>$AX$5  +  ($CN$5 - $AP$5) / 50</f>
        <v>20</v>
      </c>
      <c r="AZ5">
        <f>$AY$5  +  ($CN$5 - $AP$5) / 50</f>
        <v>20</v>
      </c>
      <c r="BA5">
        <f>$AZ$5  +  ($CN$5 - $AP$5) / 50</f>
        <v>20</v>
      </c>
      <c r="BB5">
        <f>$BA$5  +  ($CN$5 - $AP$5) / 50</f>
        <v>20</v>
      </c>
      <c r="BC5">
        <f>$BB$5  +  ($CN$5 - $AP$5) / 50</f>
        <v>20</v>
      </c>
      <c r="BD5">
        <f>$BC$5  +  ($CN$5 - $AP$5) / 50</f>
        <v>20</v>
      </c>
      <c r="BE5">
        <f>$BD$5  +  ($CN$5 - $AP$5) / 50</f>
        <v>20</v>
      </c>
      <c r="BF5">
        <f>$BE$5  +  ($CN$5 - $AP$5) / 50</f>
        <v>20</v>
      </c>
      <c r="BG5">
        <f>$BF$5  +  ($CN$5 - $AP$5) / 50</f>
        <v>20</v>
      </c>
      <c r="BH5">
        <f>$BG$5  +  ($CN$5 - $AP$5) / 50</f>
        <v>20</v>
      </c>
      <c r="BI5">
        <f>$BH$5  +  ($CN$5 - $AP$5) / 50</f>
        <v>20</v>
      </c>
      <c r="BJ5">
        <f>$BI$5  +  ($CN$5 - $AP$5) / 50</f>
        <v>20</v>
      </c>
      <c r="BK5">
        <f>$BJ$5  +  ($CN$5 - $AP$5) / 50</f>
        <v>20</v>
      </c>
      <c r="BL5">
        <f>$BK$5  +  ($CN$5 - $AP$5) / 50</f>
        <v>20</v>
      </c>
      <c r="BM5">
        <f>$BL$5  +  ($CN$5 - $AP$5) / 50</f>
        <v>20</v>
      </c>
      <c r="BN5">
        <f>$BM$5  +  ($CN$5 - $AP$5) / 50</f>
        <v>20</v>
      </c>
      <c r="BO5">
        <f>$BN$5  +  ($CN$5 - $AP$5) / 50</f>
        <v>20</v>
      </c>
      <c r="BP5">
        <f>$BO$5  +  ($CN$5 - $AP$5) / 50</f>
        <v>20</v>
      </c>
      <c r="BQ5">
        <f>$BP$5  +  ($CN$5 - $AP$5) / 50</f>
        <v>20</v>
      </c>
      <c r="BR5">
        <f>$BQ$5  +  ($CN$5 - $AP$5) / 50</f>
        <v>20</v>
      </c>
      <c r="BS5">
        <f>$BR$5  +  ($CN$5 - $AP$5) / 50</f>
        <v>20</v>
      </c>
      <c r="BT5">
        <f>$BS$5  +  ($CN$5 - $AP$5) / 50</f>
        <v>20</v>
      </c>
      <c r="BU5">
        <f>$BT$5  +  ($CN$5 - $AP$5) / 50</f>
        <v>20</v>
      </c>
      <c r="BV5">
        <f>$BU$5  +  ($CN$5 - $AP$5) / 50</f>
        <v>20</v>
      </c>
      <c r="BW5">
        <f>$BV$5  +  ($CN$5 - $AP$5) / 50</f>
        <v>20</v>
      </c>
      <c r="BX5">
        <f>$BW$5  +  ($CN$5 - $AP$5) / 50</f>
        <v>20</v>
      </c>
      <c r="BY5">
        <f>$BX$5  +  ($CN$5 - $AP$5) / 50</f>
        <v>20</v>
      </c>
      <c r="BZ5">
        <f>$BY$5  +  ($CN$5 - $AP$5) / 50</f>
        <v>20</v>
      </c>
      <c r="CA5">
        <f>$BZ$5  +  ($CN$5 - $AP$5) / 50</f>
        <v>20</v>
      </c>
      <c r="CB5">
        <f>$CA$5  +  ($CN$5 - $AP$5) / 50</f>
        <v>20</v>
      </c>
      <c r="CC5">
        <f>$CB$5  +  ($CN$5 - $AP$5) / 50</f>
        <v>20</v>
      </c>
      <c r="CD5">
        <f>$CC$5  +  ($CN$5 - $AP$5) / 50</f>
        <v>20</v>
      </c>
      <c r="CE5">
        <f>$CD$5  +  ($CN$5 - $AP$5) / 50</f>
        <v>20</v>
      </c>
      <c r="CF5">
        <f>$CE$5  +  ($CN$5 - $AP$5) / 50</f>
        <v>20</v>
      </c>
      <c r="CG5">
        <f>$CF$5  +  ($CN$5 - $AP$5) / 50</f>
        <v>20</v>
      </c>
      <c r="CH5">
        <f>$CG$5  +  ($CN$5 - $AP$5) / 50</f>
        <v>20</v>
      </c>
      <c r="CI5">
        <f>$CH$5  +  ($CN$5 - $AP$5) / 50</f>
        <v>20</v>
      </c>
      <c r="CJ5">
        <f>$CI$5  +  ($CN$5 - $AP$5) / 50</f>
        <v>20</v>
      </c>
      <c r="CK5">
        <f>$CJ$5  +  ($CN$5 - $AP$5) / 50</f>
        <v>20</v>
      </c>
      <c r="CL5">
        <f>$CK$5  +  ($CN$5 - $AP$5) / 50</f>
        <v>20</v>
      </c>
      <c r="CM5">
        <f>$CL$5  +  ($CN$5 - $AP$5) / 50</f>
        <v>20</v>
      </c>
      <c r="CN5" s="4">
        <v>20</v>
      </c>
    </row>
    <row r="14" spans="1:92" x14ac:dyDescent="0.3">
      <c r="E14" s="2"/>
      <c r="F14" s="2"/>
      <c r="G14" s="2"/>
      <c r="H14" s="2"/>
    </row>
    <row r="15" spans="1:92" x14ac:dyDescent="0.3">
      <c r="E15" s="4"/>
      <c r="F15" s="4"/>
      <c r="G15" s="4"/>
      <c r="H15" s="4"/>
    </row>
    <row r="16" spans="1:92" x14ac:dyDescent="0.3">
      <c r="E16" s="3"/>
      <c r="F16" s="4"/>
      <c r="G16" s="4"/>
      <c r="H16" s="4"/>
    </row>
    <row r="17" spans="5:8" x14ac:dyDescent="0.3">
      <c r="E17" s="3"/>
      <c r="F17" s="3"/>
      <c r="G17" s="4"/>
      <c r="H17" s="4"/>
    </row>
    <row r="18" spans="5:8" x14ac:dyDescent="0.3">
      <c r="E18" s="3"/>
      <c r="F18" s="4"/>
      <c r="G18" s="4"/>
      <c r="H1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826B-235B-46F6-8D67-993433E14238}">
  <sheetPr>
    <tabColor theme="2"/>
  </sheetPr>
  <dimension ref="A1:AP73"/>
  <sheetViews>
    <sheetView workbookViewId="0">
      <selection activeCell="L8" sqref="L8"/>
    </sheetView>
  </sheetViews>
  <sheetFormatPr defaultRowHeight="15.75" x14ac:dyDescent="0.3"/>
  <sheetData>
    <row r="1" spans="1:42" x14ac:dyDescent="0.3">
      <c r="A1" t="s">
        <v>0</v>
      </c>
    </row>
    <row r="2" spans="1:42" x14ac:dyDescent="0.3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3">
      <c r="A3" t="s">
        <v>2</v>
      </c>
      <c r="B3">
        <v>0</v>
      </c>
      <c r="C3">
        <v>4.7189459999999999E-3</v>
      </c>
      <c r="D3">
        <v>4.4102259999999997E-3</v>
      </c>
      <c r="E3">
        <v>4.0350639999999997E-3</v>
      </c>
      <c r="F3">
        <v>3.6650839999999999E-3</v>
      </c>
      <c r="G3">
        <v>3.5193680000000001E-3</v>
      </c>
      <c r="H3">
        <v>3.1493179999999999E-3</v>
      </c>
      <c r="I3">
        <v>2.9475819999999998E-3</v>
      </c>
      <c r="J3">
        <v>2.6677509999999999E-3</v>
      </c>
      <c r="K3">
        <v>2.423761E-3</v>
      </c>
      <c r="L3">
        <v>2.1095200000000001E-3</v>
      </c>
      <c r="M3">
        <v>2.1606529999999998E-3</v>
      </c>
      <c r="N3">
        <v>1.9752010000000002E-3</v>
      </c>
      <c r="O3">
        <v>1.8611980000000001E-3</v>
      </c>
      <c r="P3">
        <v>1.81609E-3</v>
      </c>
      <c r="Q3">
        <v>1.735243E-3</v>
      </c>
      <c r="R3">
        <v>1.6596040000000001E-3</v>
      </c>
      <c r="S3">
        <v>1.58745E-3</v>
      </c>
      <c r="T3">
        <v>1.511456E-3</v>
      </c>
      <c r="U3">
        <v>1.43312E-3</v>
      </c>
      <c r="V3">
        <v>1.382262E-3</v>
      </c>
      <c r="W3">
        <v>1.3417399999999999E-3</v>
      </c>
      <c r="X3">
        <v>1.302412E-3</v>
      </c>
      <c r="Y3">
        <v>1.2642599999999999E-3</v>
      </c>
      <c r="Z3">
        <v>1.227248E-3</v>
      </c>
      <c r="AA3">
        <v>1.193972E-3</v>
      </c>
      <c r="AB3">
        <v>1.1604499999999999E-3</v>
      </c>
      <c r="AC3">
        <v>1.127891E-3</v>
      </c>
      <c r="AD3">
        <v>1.096271E-3</v>
      </c>
      <c r="AE3">
        <v>1.065559E-3</v>
      </c>
      <c r="AF3">
        <v>1.0377839999999999E-3</v>
      </c>
      <c r="AG3">
        <v>1.014907E-3</v>
      </c>
      <c r="AH3">
        <v>9.9256299999999991E-4</v>
      </c>
      <c r="AI3">
        <v>9.7073700000000005E-4</v>
      </c>
      <c r="AJ3">
        <v>9.49415E-4</v>
      </c>
      <c r="AK3">
        <v>9.28337E-4</v>
      </c>
      <c r="AL3">
        <v>9.0824700000000005E-4</v>
      </c>
      <c r="AM3">
        <v>8.8845700000000005E-4</v>
      </c>
      <c r="AN3">
        <v>8.69077E-4</v>
      </c>
      <c r="AO3">
        <v>8.50113E-4</v>
      </c>
      <c r="AP3">
        <v>8.31611E-4</v>
      </c>
    </row>
    <row r="4" spans="1:42" x14ac:dyDescent="0.3">
      <c r="A4" t="s">
        <v>3</v>
      </c>
      <c r="B4">
        <v>0</v>
      </c>
      <c r="C4">
        <v>1.1380450000000001E-3</v>
      </c>
      <c r="D4">
        <v>1.142435E-3</v>
      </c>
      <c r="E4">
        <v>1.1018619999999999E-3</v>
      </c>
      <c r="F4">
        <v>1.064539E-3</v>
      </c>
      <c r="G4">
        <v>1.0109089999999999E-3</v>
      </c>
      <c r="H4">
        <v>9.6099599999999999E-4</v>
      </c>
      <c r="I4">
        <v>9.1235100000000005E-4</v>
      </c>
      <c r="J4">
        <v>8.5330699999999998E-4</v>
      </c>
      <c r="K4">
        <v>7.8332200000000003E-4</v>
      </c>
      <c r="L4">
        <v>7.0911300000000004E-4</v>
      </c>
      <c r="M4">
        <v>7.1078799999999996E-4</v>
      </c>
      <c r="N4">
        <v>6.5804999999999998E-4</v>
      </c>
      <c r="O4">
        <v>6.3055299999999995E-4</v>
      </c>
      <c r="P4">
        <v>6.2043700000000005E-4</v>
      </c>
      <c r="Q4">
        <v>5.9729800000000001E-4</v>
      </c>
      <c r="R4">
        <v>5.7596199999999996E-4</v>
      </c>
      <c r="S4">
        <v>5.5584199999999997E-4</v>
      </c>
      <c r="T4">
        <v>5.3584800000000001E-4</v>
      </c>
      <c r="U4">
        <v>5.1455200000000004E-4</v>
      </c>
      <c r="V4">
        <v>5.0218300000000001E-4</v>
      </c>
      <c r="W4">
        <v>4.9242399999999999E-4</v>
      </c>
      <c r="X4">
        <v>4.83215E-4</v>
      </c>
      <c r="Y4">
        <v>4.7427400000000001E-4</v>
      </c>
      <c r="Z4">
        <v>4.6559200000000002E-4</v>
      </c>
      <c r="AA4">
        <v>4.5703699999999998E-4</v>
      </c>
      <c r="AB4">
        <v>4.4811900000000002E-4</v>
      </c>
      <c r="AC4">
        <v>4.3945200000000001E-4</v>
      </c>
      <c r="AD4">
        <v>4.3102899999999998E-4</v>
      </c>
      <c r="AE4">
        <v>4.2284000000000001E-4</v>
      </c>
      <c r="AF4">
        <v>4.15079E-4</v>
      </c>
      <c r="AG4">
        <v>4.0925100000000002E-4</v>
      </c>
      <c r="AH4">
        <v>4.0346700000000002E-4</v>
      </c>
      <c r="AI4">
        <v>3.9773E-4</v>
      </c>
      <c r="AJ4">
        <v>3.9204799999999998E-4</v>
      </c>
      <c r="AK4">
        <v>3.8648699999999997E-4</v>
      </c>
      <c r="AL4">
        <v>3.8223499999999997E-4</v>
      </c>
      <c r="AM4">
        <v>3.7806999999999999E-4</v>
      </c>
      <c r="AN4">
        <v>3.73994E-4</v>
      </c>
      <c r="AO4">
        <v>3.70004E-4</v>
      </c>
      <c r="AP4">
        <v>3.6614900000000002E-4</v>
      </c>
    </row>
    <row r="5" spans="1:42" x14ac:dyDescent="0.3">
      <c r="A5" t="s">
        <v>4</v>
      </c>
      <c r="B5">
        <v>0</v>
      </c>
      <c r="C5">
        <v>4.1400157E-2</v>
      </c>
      <c r="D5">
        <v>3.9280532999999999E-2</v>
      </c>
      <c r="E5">
        <v>3.7269969999999999E-2</v>
      </c>
      <c r="F5">
        <v>3.5363215000000003E-2</v>
      </c>
      <c r="G5">
        <v>3.3555162999999999E-2</v>
      </c>
      <c r="H5">
        <v>3.2018620999999997E-2</v>
      </c>
      <c r="I5">
        <v>3.0545973000000001E-2</v>
      </c>
      <c r="J5">
        <v>2.9135233E-2</v>
      </c>
      <c r="K5">
        <v>2.7032227999999998E-2</v>
      </c>
      <c r="L5">
        <v>2.5274616E-2</v>
      </c>
      <c r="M5">
        <v>2.588292E-2</v>
      </c>
      <c r="N5">
        <v>2.353189E-2</v>
      </c>
      <c r="O5">
        <v>2.2939047000000001E-2</v>
      </c>
      <c r="P5">
        <v>2.2464085000000002E-2</v>
      </c>
      <c r="Q5">
        <v>2.1635465E-2</v>
      </c>
      <c r="R5">
        <v>2.0861978E-2</v>
      </c>
      <c r="S5">
        <v>2.0056201999999999E-2</v>
      </c>
      <c r="T5">
        <v>1.9183282999999999E-2</v>
      </c>
      <c r="U5">
        <v>1.8274404000000001E-2</v>
      </c>
      <c r="V5">
        <v>1.7691999999999999E-2</v>
      </c>
      <c r="W5">
        <v>1.7244704E-2</v>
      </c>
      <c r="X5">
        <v>1.6811281000000001E-2</v>
      </c>
      <c r="Y5">
        <v>1.6391433E-2</v>
      </c>
      <c r="Z5">
        <v>1.5984759000000001E-2</v>
      </c>
      <c r="AA5">
        <v>1.5634993E-2</v>
      </c>
      <c r="AB5">
        <v>1.5238827E-2</v>
      </c>
      <c r="AC5">
        <v>1.4854904E-2</v>
      </c>
      <c r="AD5">
        <v>1.4482851E-2</v>
      </c>
      <c r="AE5">
        <v>1.4122200999999999E-2</v>
      </c>
      <c r="AF5">
        <v>1.3803421999999999E-2</v>
      </c>
      <c r="AG5">
        <v>1.3526866E-2</v>
      </c>
      <c r="AH5">
        <v>1.3257365E-2</v>
      </c>
      <c r="AI5">
        <v>1.2994722E-2</v>
      </c>
      <c r="AJ5">
        <v>1.2738749000000001E-2</v>
      </c>
      <c r="AK5">
        <v>1.2488401999999999E-2</v>
      </c>
      <c r="AL5">
        <v>1.2248291E-2</v>
      </c>
      <c r="AM5">
        <v>1.2014128000000001E-2</v>
      </c>
      <c r="AN5">
        <v>1.1785782E-2</v>
      </c>
      <c r="AO5">
        <v>1.1563108000000001E-2</v>
      </c>
      <c r="AP5">
        <v>1.1339679E-2</v>
      </c>
    </row>
    <row r="6" spans="1:42" x14ac:dyDescent="0.3">
      <c r="A6" t="s">
        <v>5</v>
      </c>
      <c r="B6">
        <v>0</v>
      </c>
      <c r="C6">
        <v>1.3592140000000001E-3</v>
      </c>
      <c r="D6">
        <v>1.189884E-3</v>
      </c>
      <c r="E6">
        <v>1.1115350000000001E-3</v>
      </c>
      <c r="F6">
        <v>1.0401449999999999E-3</v>
      </c>
      <c r="G6">
        <v>9.8826699999999992E-4</v>
      </c>
      <c r="H6">
        <v>8.9512100000000002E-4</v>
      </c>
      <c r="I6">
        <v>8.4245299999999995E-4</v>
      </c>
      <c r="J6">
        <v>7.7851400000000001E-4</v>
      </c>
      <c r="K6">
        <v>7.2868300000000004E-4</v>
      </c>
      <c r="L6">
        <v>7.0097699999999998E-4</v>
      </c>
      <c r="M6">
        <v>7.2150800000000005E-4</v>
      </c>
      <c r="N6">
        <v>6.7357099999999998E-4</v>
      </c>
      <c r="O6">
        <v>6.2200899999999997E-4</v>
      </c>
      <c r="P6">
        <v>6.0360700000000004E-4</v>
      </c>
      <c r="Q6">
        <v>5.73637E-4</v>
      </c>
      <c r="R6">
        <v>5.4641499999999996E-4</v>
      </c>
      <c r="S6">
        <v>5.2019900000000005E-4</v>
      </c>
      <c r="T6">
        <v>4.9383499999999998E-4</v>
      </c>
      <c r="U6">
        <v>4.6691799999999998E-4</v>
      </c>
      <c r="V6">
        <v>4.4940399999999998E-4</v>
      </c>
      <c r="W6">
        <v>4.4081900000000001E-4</v>
      </c>
      <c r="X6">
        <v>4.3245099999999998E-4</v>
      </c>
      <c r="Y6">
        <v>4.2429700000000002E-4</v>
      </c>
      <c r="Z6">
        <v>4.1634300000000001E-4</v>
      </c>
      <c r="AA6">
        <v>4.08906E-4</v>
      </c>
      <c r="AB6">
        <v>4.0061300000000002E-4</v>
      </c>
      <c r="AC6">
        <v>3.9254300000000003E-4</v>
      </c>
      <c r="AD6">
        <v>3.8468999999999998E-4</v>
      </c>
      <c r="AE6">
        <v>3.7704699999999998E-4</v>
      </c>
      <c r="AF6">
        <v>3.6970999999999998E-4</v>
      </c>
      <c r="AG6">
        <v>3.6162299999999999E-4</v>
      </c>
      <c r="AH6">
        <v>3.5375000000000001E-4</v>
      </c>
      <c r="AI6">
        <v>3.4608799999999998E-4</v>
      </c>
      <c r="AJ6">
        <v>3.3862900000000001E-4</v>
      </c>
      <c r="AK6">
        <v>3.31336E-4</v>
      </c>
      <c r="AL6">
        <v>3.2434299999999999E-4</v>
      </c>
      <c r="AM6">
        <v>3.1753599999999999E-4</v>
      </c>
      <c r="AN6">
        <v>3.1091000000000002E-4</v>
      </c>
      <c r="AO6">
        <v>3.0446100000000001E-4</v>
      </c>
      <c r="AP6">
        <v>2.9816E-4</v>
      </c>
    </row>
    <row r="7" spans="1:42" x14ac:dyDescent="0.3">
      <c r="A7" t="s">
        <v>6</v>
      </c>
      <c r="B7">
        <v>0</v>
      </c>
      <c r="C7">
        <v>9.7639979999999994E-3</v>
      </c>
      <c r="D7">
        <v>9.1510099999999994E-3</v>
      </c>
      <c r="E7">
        <v>8.5766309999999995E-3</v>
      </c>
      <c r="F7">
        <v>8.0385070000000003E-3</v>
      </c>
      <c r="G7">
        <v>7.5344059999999996E-3</v>
      </c>
      <c r="H7">
        <v>7.1016339999999999E-3</v>
      </c>
      <c r="I7">
        <v>6.6923039999999996E-3</v>
      </c>
      <c r="J7">
        <v>6.3053060000000001E-3</v>
      </c>
      <c r="K7">
        <v>5.8316490000000004E-3</v>
      </c>
      <c r="L7">
        <v>5.4496199999999996E-3</v>
      </c>
      <c r="M7">
        <v>5.9079509999999998E-3</v>
      </c>
      <c r="N7">
        <v>5.5963540000000004E-3</v>
      </c>
      <c r="O7">
        <v>4.6686690000000003E-3</v>
      </c>
      <c r="P7">
        <v>4.5810740000000001E-3</v>
      </c>
      <c r="Q7">
        <v>4.4113939999999999E-3</v>
      </c>
      <c r="R7">
        <v>4.2514800000000002E-3</v>
      </c>
      <c r="S7">
        <v>4.0933819999999996E-3</v>
      </c>
      <c r="T7">
        <v>3.9322580000000001E-3</v>
      </c>
      <c r="U7">
        <v>3.7623209999999999E-3</v>
      </c>
      <c r="V7">
        <v>3.6626089999999998E-3</v>
      </c>
      <c r="W7">
        <v>3.5886220000000001E-3</v>
      </c>
      <c r="X7">
        <v>3.516464E-3</v>
      </c>
      <c r="Y7">
        <v>3.4461489999999999E-3</v>
      </c>
      <c r="Z7">
        <v>3.3776600000000002E-3</v>
      </c>
      <c r="AA7">
        <v>3.3108859999999999E-3</v>
      </c>
      <c r="AB7">
        <v>3.2370649999999999E-3</v>
      </c>
      <c r="AC7">
        <v>3.1651700000000001E-3</v>
      </c>
      <c r="AD7">
        <v>3.09516E-3</v>
      </c>
      <c r="AE7">
        <v>3.0269659999999999E-3</v>
      </c>
      <c r="AF7">
        <v>2.958259E-3</v>
      </c>
      <c r="AG7">
        <v>2.8955449999999998E-3</v>
      </c>
      <c r="AH7">
        <v>2.834409E-3</v>
      </c>
      <c r="AI7">
        <v>2.7748149999999999E-3</v>
      </c>
      <c r="AJ7">
        <v>2.7167250000000001E-3</v>
      </c>
      <c r="AK7">
        <v>2.6589370000000001E-3</v>
      </c>
      <c r="AL7">
        <v>2.611066E-3</v>
      </c>
      <c r="AM7">
        <v>2.564368E-3</v>
      </c>
      <c r="AN7">
        <v>2.5188160000000001E-3</v>
      </c>
      <c r="AO7">
        <v>2.4743830000000001E-3</v>
      </c>
      <c r="AP7">
        <v>2.4318590000000002E-3</v>
      </c>
    </row>
    <row r="8" spans="1:42" x14ac:dyDescent="0.3">
      <c r="A8" t="s">
        <v>7</v>
      </c>
      <c r="B8">
        <v>0</v>
      </c>
      <c r="C8">
        <v>1.2825591000000001E-2</v>
      </c>
      <c r="D8">
        <v>1.173809E-2</v>
      </c>
      <c r="E8">
        <v>1.0742956E-2</v>
      </c>
      <c r="F8">
        <v>9.8324369999999994E-3</v>
      </c>
      <c r="G8">
        <v>8.9993980000000005E-3</v>
      </c>
      <c r="H8">
        <v>8.2832619999999996E-3</v>
      </c>
      <c r="I8">
        <v>7.6224989999999996E-3</v>
      </c>
      <c r="J8">
        <v>7.0130449999999999E-3</v>
      </c>
      <c r="K8">
        <v>6.2389710000000003E-3</v>
      </c>
      <c r="L8">
        <v>4.8185060000000002E-3</v>
      </c>
      <c r="M8">
        <v>4.3547789999999996E-3</v>
      </c>
      <c r="N8">
        <v>4.274992E-3</v>
      </c>
      <c r="O8">
        <v>4.610912E-3</v>
      </c>
      <c r="P8">
        <v>4.4738599999999996E-3</v>
      </c>
      <c r="Q8">
        <v>4.261641E-3</v>
      </c>
      <c r="R8">
        <v>4.0701699999999997E-3</v>
      </c>
      <c r="S8">
        <v>3.8813580000000001E-3</v>
      </c>
      <c r="T8">
        <v>3.6836310000000001E-3</v>
      </c>
      <c r="U8">
        <v>3.4821460000000002E-3</v>
      </c>
      <c r="V8">
        <v>3.352449E-3</v>
      </c>
      <c r="W8">
        <v>3.2523489999999999E-3</v>
      </c>
      <c r="X8">
        <v>3.156556E-3</v>
      </c>
      <c r="Y8">
        <v>3.064186E-3</v>
      </c>
      <c r="Z8">
        <v>2.97511E-3</v>
      </c>
      <c r="AA8">
        <v>2.8933729999999999E-3</v>
      </c>
      <c r="AB8">
        <v>2.808615E-3</v>
      </c>
      <c r="AC8">
        <v>2.7267720000000001E-3</v>
      </c>
      <c r="AD8">
        <v>2.6477459999999999E-3</v>
      </c>
      <c r="AE8">
        <v>2.5714240000000001E-3</v>
      </c>
      <c r="AF8">
        <v>2.5014080000000001E-3</v>
      </c>
      <c r="AG8">
        <v>2.4426040000000001E-3</v>
      </c>
      <c r="AH8">
        <v>2.3854940000000002E-3</v>
      </c>
      <c r="AI8">
        <v>2.3300259999999998E-3</v>
      </c>
      <c r="AJ8">
        <v>2.276152E-3</v>
      </c>
      <c r="AK8">
        <v>2.2231730000000002E-3</v>
      </c>
      <c r="AL8">
        <v>2.1724019999999999E-3</v>
      </c>
      <c r="AM8">
        <v>2.1230789999999999E-3</v>
      </c>
      <c r="AN8">
        <v>2.0751659999999998E-3</v>
      </c>
      <c r="AO8">
        <v>2.028625E-3</v>
      </c>
      <c r="AP8">
        <v>1.9827339999999999E-3</v>
      </c>
    </row>
    <row r="9" spans="1:42" x14ac:dyDescent="0.3">
      <c r="A9" t="s">
        <v>8</v>
      </c>
      <c r="B9">
        <v>0</v>
      </c>
      <c r="C9">
        <v>8.7462200000000003E-4</v>
      </c>
      <c r="D9">
        <v>8.2152899999999999E-4</v>
      </c>
      <c r="E9">
        <v>7.4109600000000001E-4</v>
      </c>
      <c r="F9">
        <v>7.8357299999999997E-4</v>
      </c>
      <c r="G9">
        <v>1.0301360000000001E-3</v>
      </c>
      <c r="H9">
        <v>1.0922690000000001E-3</v>
      </c>
      <c r="I9">
        <v>1.1093819999999999E-3</v>
      </c>
      <c r="J9">
        <v>1.198934E-3</v>
      </c>
      <c r="K9">
        <v>1.1949350000000001E-3</v>
      </c>
      <c r="L9">
        <v>1.5068460000000001E-3</v>
      </c>
      <c r="M9">
        <v>2.052089E-3</v>
      </c>
      <c r="N9">
        <v>2.0304590000000001E-3</v>
      </c>
      <c r="O9">
        <v>2.0656369999999999E-3</v>
      </c>
      <c r="P9">
        <v>2.0234889999999998E-3</v>
      </c>
      <c r="Q9">
        <v>2.0446700000000002E-3</v>
      </c>
      <c r="R9">
        <v>2.0710120000000001E-3</v>
      </c>
      <c r="S9">
        <v>2.0984459999999999E-3</v>
      </c>
      <c r="T9">
        <v>2.1224289999999999E-3</v>
      </c>
      <c r="U9">
        <v>2.1385890000000002E-3</v>
      </c>
      <c r="V9">
        <v>2.1922399999999998E-3</v>
      </c>
      <c r="W9">
        <v>2.264912E-3</v>
      </c>
      <c r="X9">
        <v>2.3405320000000002E-3</v>
      </c>
      <c r="Y9">
        <v>2.4192609999999998E-3</v>
      </c>
      <c r="Z9">
        <v>2.5012419999999999E-3</v>
      </c>
      <c r="AA9">
        <v>2.5871290000000001E-3</v>
      </c>
      <c r="AB9">
        <v>2.672111E-3</v>
      </c>
      <c r="AC9">
        <v>2.7605220000000001E-3</v>
      </c>
      <c r="AD9">
        <v>2.8525320000000001E-3</v>
      </c>
      <c r="AE9">
        <v>2.9482969999999999E-3</v>
      </c>
      <c r="AF9">
        <v>3.0474370000000001E-3</v>
      </c>
      <c r="AG9">
        <v>3.1625049999999999E-3</v>
      </c>
      <c r="AH9">
        <v>3.282578E-3</v>
      </c>
      <c r="AI9">
        <v>3.407902E-3</v>
      </c>
      <c r="AJ9">
        <v>3.5387349999999999E-3</v>
      </c>
      <c r="AK9">
        <v>3.674741E-3</v>
      </c>
      <c r="AL9">
        <v>3.8163260000000001E-3</v>
      </c>
      <c r="AM9">
        <v>3.9641370000000004E-3</v>
      </c>
      <c r="AN9">
        <v>4.1184780000000001E-3</v>
      </c>
      <c r="AO9">
        <v>4.279672E-3</v>
      </c>
      <c r="AP9">
        <v>4.4483880000000002E-3</v>
      </c>
    </row>
    <row r="10" spans="1:42" x14ac:dyDescent="0.3">
      <c r="A10" t="s">
        <v>9</v>
      </c>
      <c r="B10">
        <v>0</v>
      </c>
      <c r="C10">
        <v>1.3945984999999999E-2</v>
      </c>
      <c r="D10">
        <v>1.3355258E-2</v>
      </c>
      <c r="E10">
        <v>1.2477861999999999E-2</v>
      </c>
      <c r="F10">
        <v>1.1661739000000001E-2</v>
      </c>
      <c r="G10">
        <v>1.098478E-2</v>
      </c>
      <c r="H10">
        <v>1.0328258E-2</v>
      </c>
      <c r="I10">
        <v>9.8869089999999993E-3</v>
      </c>
      <c r="J10">
        <v>9.3136450000000006E-3</v>
      </c>
      <c r="K10">
        <v>8.495028E-3</v>
      </c>
      <c r="L10">
        <v>7.3207039999999999E-3</v>
      </c>
      <c r="M10">
        <v>7.5326170000000001E-3</v>
      </c>
      <c r="N10">
        <v>7.0054949999999996E-3</v>
      </c>
      <c r="O10">
        <v>6.6634270000000004E-3</v>
      </c>
      <c r="P10">
        <v>6.4962910000000004E-3</v>
      </c>
      <c r="Q10">
        <v>6.1982069999999998E-3</v>
      </c>
      <c r="R10">
        <v>5.9269220000000003E-3</v>
      </c>
      <c r="S10">
        <v>5.6593939999999999E-3</v>
      </c>
      <c r="T10">
        <v>5.3875590000000001E-3</v>
      </c>
      <c r="U10">
        <v>5.1084600000000004E-3</v>
      </c>
      <c r="V10">
        <v>4.9246660000000003E-3</v>
      </c>
      <c r="W10">
        <v>4.7897269999999997E-3</v>
      </c>
      <c r="X10">
        <v>4.6590360000000001E-3</v>
      </c>
      <c r="Y10">
        <v>4.5324500000000004E-3</v>
      </c>
      <c r="Z10">
        <v>4.4098389999999996E-3</v>
      </c>
      <c r="AA10">
        <v>4.304871E-3</v>
      </c>
      <c r="AB10">
        <v>4.2027460000000003E-3</v>
      </c>
      <c r="AC10">
        <v>4.1035170000000001E-3</v>
      </c>
      <c r="AD10">
        <v>4.007109E-3</v>
      </c>
      <c r="AE10">
        <v>3.9134189999999996E-3</v>
      </c>
      <c r="AF10">
        <v>3.8275259999999999E-3</v>
      </c>
      <c r="AG10">
        <v>3.7604840000000001E-3</v>
      </c>
      <c r="AH10">
        <v>3.694938E-3</v>
      </c>
      <c r="AI10">
        <v>3.630852E-3</v>
      </c>
      <c r="AJ10">
        <v>3.568196E-3</v>
      </c>
      <c r="AK10">
        <v>3.5104989999999998E-3</v>
      </c>
      <c r="AL10">
        <v>3.4532159999999998E-3</v>
      </c>
      <c r="AM10">
        <v>3.3972329999999999E-3</v>
      </c>
      <c r="AN10">
        <v>3.3425389999999998E-3</v>
      </c>
      <c r="AO10">
        <v>3.2891119999999999E-3</v>
      </c>
      <c r="AP10">
        <v>3.2400910000000001E-3</v>
      </c>
    </row>
    <row r="11" spans="1:42" x14ac:dyDescent="0.3">
      <c r="A11" t="s">
        <v>10</v>
      </c>
      <c r="B11">
        <v>0</v>
      </c>
      <c r="C11">
        <v>1.34499E-4</v>
      </c>
      <c r="D11">
        <v>1.3097900000000001E-4</v>
      </c>
      <c r="E11">
        <v>1.3249E-4</v>
      </c>
      <c r="F11">
        <v>1.3034400000000001E-4</v>
      </c>
      <c r="G11">
        <v>1.2342200000000001E-4</v>
      </c>
      <c r="H11">
        <v>1.17625E-4</v>
      </c>
      <c r="I11">
        <v>1.10963E-4</v>
      </c>
      <c r="J11">
        <v>1.04979E-4</v>
      </c>
      <c r="K11" s="1">
        <v>9.76647E-5</v>
      </c>
      <c r="L11" s="1">
        <v>8.6371899999999999E-5</v>
      </c>
      <c r="M11" s="1">
        <v>8.46727E-5</v>
      </c>
      <c r="N11" s="1">
        <v>8.03217E-5</v>
      </c>
      <c r="O11" s="1">
        <v>7.7855200000000006E-5</v>
      </c>
      <c r="P11" s="1">
        <v>7.6919299999999994E-5</v>
      </c>
      <c r="Q11" s="1">
        <v>7.4407300000000002E-5</v>
      </c>
      <c r="R11" s="1">
        <v>7.2116699999999993E-5</v>
      </c>
      <c r="S11" s="1">
        <v>6.9941E-5</v>
      </c>
      <c r="T11" s="1">
        <v>6.7724800000000006E-5</v>
      </c>
      <c r="U11" s="1">
        <v>6.5323399999999999E-5</v>
      </c>
      <c r="V11" s="1">
        <v>6.4115600000000007E-5</v>
      </c>
      <c r="W11" s="1">
        <v>6.3613000000000002E-5</v>
      </c>
      <c r="X11" s="1">
        <v>6.3127199999999994E-5</v>
      </c>
      <c r="Y11" s="1">
        <v>6.2658500000000003E-5</v>
      </c>
      <c r="Z11" s="1">
        <v>6.2206599999999995E-5</v>
      </c>
      <c r="AA11" s="1">
        <v>6.1769700000000006E-5</v>
      </c>
      <c r="AB11" s="1">
        <v>6.1166000000000004E-5</v>
      </c>
      <c r="AC11" s="1">
        <v>6.0578999999999997E-5</v>
      </c>
      <c r="AD11" s="1">
        <v>6.00085E-5</v>
      </c>
      <c r="AE11" s="1">
        <v>5.9453600000000003E-5</v>
      </c>
      <c r="AF11" s="1">
        <v>5.8910699999999998E-5</v>
      </c>
      <c r="AG11" s="1">
        <v>5.8485300000000001E-5</v>
      </c>
      <c r="AH11" s="1">
        <v>5.8071300000000001E-5</v>
      </c>
      <c r="AI11" s="1">
        <v>5.7668199999999998E-5</v>
      </c>
      <c r="AJ11" s="1">
        <v>5.7275999999999998E-5</v>
      </c>
      <c r="AK11" s="1">
        <v>5.68905E-5</v>
      </c>
      <c r="AL11" s="1">
        <v>5.6364599999999999E-5</v>
      </c>
      <c r="AM11" s="1">
        <v>5.5851499999999999E-5</v>
      </c>
      <c r="AN11" s="1">
        <v>5.5350799999999999E-5</v>
      </c>
      <c r="AO11" s="1">
        <v>5.4862199999999998E-5</v>
      </c>
      <c r="AP11" s="1">
        <v>5.4382699999999997E-5</v>
      </c>
    </row>
    <row r="12" spans="1:42" x14ac:dyDescent="0.3">
      <c r="A12" t="s">
        <v>11</v>
      </c>
      <c r="B12">
        <v>0</v>
      </c>
      <c r="C12">
        <v>9.1732029999999996E-3</v>
      </c>
      <c r="D12">
        <v>9.2108229999999999E-3</v>
      </c>
      <c r="E12">
        <v>9.2487309999999996E-3</v>
      </c>
      <c r="F12">
        <v>9.2870309999999994E-3</v>
      </c>
      <c r="G12">
        <v>9.3258109999999998E-3</v>
      </c>
      <c r="H12">
        <v>9.4174189999999998E-3</v>
      </c>
      <c r="I12">
        <v>9.5079150000000005E-3</v>
      </c>
      <c r="J12">
        <v>9.5973619999999999E-3</v>
      </c>
      <c r="K12">
        <v>9.2491750000000001E-3</v>
      </c>
      <c r="L12">
        <v>9.0559860000000002E-3</v>
      </c>
      <c r="M12">
        <v>9.2993710000000007E-3</v>
      </c>
      <c r="N12">
        <v>9.2981090000000006E-3</v>
      </c>
      <c r="O12">
        <v>1.0030419E-2</v>
      </c>
      <c r="P12">
        <v>9.8207599999999996E-3</v>
      </c>
      <c r="Q12">
        <v>9.3988639999999998E-3</v>
      </c>
      <c r="R12">
        <v>9.0228270000000006E-3</v>
      </c>
      <c r="S12">
        <v>8.6644930000000005E-3</v>
      </c>
      <c r="T12">
        <v>8.2594150000000009E-3</v>
      </c>
      <c r="U12">
        <v>7.8418089999999999E-3</v>
      </c>
      <c r="V12">
        <v>7.5661890000000001E-3</v>
      </c>
      <c r="W12">
        <v>7.328139E-3</v>
      </c>
      <c r="X12">
        <v>7.0904490000000004E-3</v>
      </c>
      <c r="Y12">
        <v>6.8550970000000001E-3</v>
      </c>
      <c r="Z12">
        <v>6.6219490000000002E-3</v>
      </c>
      <c r="AA12">
        <v>6.4075429999999999E-3</v>
      </c>
      <c r="AB12">
        <v>6.2202050000000004E-3</v>
      </c>
      <c r="AC12">
        <v>6.0386900000000002E-3</v>
      </c>
      <c r="AD12">
        <v>5.8628079999999997E-3</v>
      </c>
      <c r="AE12">
        <v>5.6923360000000001E-3</v>
      </c>
      <c r="AF12">
        <v>5.5473179999999999E-3</v>
      </c>
      <c r="AG12">
        <v>5.4332829999999997E-3</v>
      </c>
      <c r="AH12">
        <v>5.3214869999999997E-3</v>
      </c>
      <c r="AI12">
        <v>5.2118429999999999E-3</v>
      </c>
      <c r="AJ12">
        <v>5.104272E-3</v>
      </c>
      <c r="AK12">
        <v>5.0046320000000002E-3</v>
      </c>
      <c r="AL12">
        <v>4.904879E-3</v>
      </c>
      <c r="AM12">
        <v>4.8068579999999998E-3</v>
      </c>
      <c r="AN12">
        <v>4.7105669999999997E-3</v>
      </c>
      <c r="AO12">
        <v>4.616022E-3</v>
      </c>
      <c r="AP12">
        <v>4.5228000000000004E-3</v>
      </c>
    </row>
    <row r="13" spans="1:42" x14ac:dyDescent="0.3">
      <c r="A13" t="s">
        <v>12</v>
      </c>
      <c r="B13">
        <v>0</v>
      </c>
      <c r="C13">
        <v>4.0647859999999999E-3</v>
      </c>
      <c r="D13">
        <v>3.5988019999999999E-3</v>
      </c>
      <c r="E13">
        <v>3.7220999999999999E-3</v>
      </c>
      <c r="F13">
        <v>3.7412309999999998E-3</v>
      </c>
      <c r="G13">
        <v>3.327408E-3</v>
      </c>
      <c r="H13">
        <v>3.3599760000000002E-3</v>
      </c>
      <c r="I13">
        <v>3.114239E-3</v>
      </c>
      <c r="J13">
        <v>3.1505029999999998E-3</v>
      </c>
      <c r="K13">
        <v>2.8887750000000001E-3</v>
      </c>
      <c r="L13">
        <v>2.5176339999999999E-3</v>
      </c>
      <c r="M13">
        <v>2.5849359999999999E-3</v>
      </c>
      <c r="N13">
        <v>2.4396769999999999E-3</v>
      </c>
      <c r="O13">
        <v>2.3384529999999999E-3</v>
      </c>
      <c r="P13">
        <v>2.28874E-3</v>
      </c>
      <c r="Q13">
        <v>2.191082E-3</v>
      </c>
      <c r="R13">
        <v>2.0969869999999998E-3</v>
      </c>
      <c r="S13">
        <v>2.0078930000000002E-3</v>
      </c>
      <c r="T13">
        <v>1.9120509999999999E-3</v>
      </c>
      <c r="U13">
        <v>1.8135E-3</v>
      </c>
      <c r="V13">
        <v>1.748973E-3</v>
      </c>
      <c r="W13">
        <v>1.6934299999999999E-3</v>
      </c>
      <c r="X13">
        <v>1.639944E-3</v>
      </c>
      <c r="Y13">
        <v>1.5884269999999999E-3</v>
      </c>
      <c r="Z13">
        <v>1.5388050000000001E-3</v>
      </c>
      <c r="AA13">
        <v>1.493191E-3</v>
      </c>
      <c r="AB13">
        <v>1.4526579999999999E-3</v>
      </c>
      <c r="AC13">
        <v>1.413381E-3</v>
      </c>
      <c r="AD13">
        <v>1.375334E-3</v>
      </c>
      <c r="AE13">
        <v>1.3384779999999999E-3</v>
      </c>
      <c r="AF13">
        <v>1.3038710000000001E-3</v>
      </c>
      <c r="AG13">
        <v>1.2776479999999999E-3</v>
      </c>
      <c r="AH13">
        <v>1.2520879999999999E-3</v>
      </c>
      <c r="AI13">
        <v>1.2271739999999999E-3</v>
      </c>
      <c r="AJ13">
        <v>1.202891E-3</v>
      </c>
      <c r="AK13">
        <v>1.178204E-3</v>
      </c>
      <c r="AL13">
        <v>1.156387E-3</v>
      </c>
      <c r="AM13">
        <v>1.1351130000000001E-3</v>
      </c>
      <c r="AN13">
        <v>1.1143710000000001E-3</v>
      </c>
      <c r="AO13">
        <v>1.094147E-3</v>
      </c>
      <c r="AP13">
        <v>1.0738220000000001E-3</v>
      </c>
    </row>
    <row r="14" spans="1:42" x14ac:dyDescent="0.3">
      <c r="A14" t="s">
        <v>13</v>
      </c>
      <c r="B14">
        <v>0</v>
      </c>
      <c r="C14">
        <v>1.4503039999999999E-3</v>
      </c>
      <c r="D14">
        <v>1.380287E-3</v>
      </c>
      <c r="E14">
        <v>1.307601E-3</v>
      </c>
      <c r="F14">
        <v>1.243542E-3</v>
      </c>
      <c r="G14">
        <v>1.178375E-3</v>
      </c>
      <c r="H14">
        <v>1.122683E-3</v>
      </c>
      <c r="I14">
        <v>1.0905279999999999E-3</v>
      </c>
      <c r="J14">
        <v>1.0365890000000001E-3</v>
      </c>
      <c r="K14">
        <v>9.5800900000000001E-4</v>
      </c>
      <c r="L14">
        <v>8.3146100000000003E-4</v>
      </c>
      <c r="M14">
        <v>8.4389600000000001E-4</v>
      </c>
      <c r="N14">
        <v>7.9875400000000004E-4</v>
      </c>
      <c r="O14">
        <v>7.6369800000000005E-4</v>
      </c>
      <c r="P14">
        <v>7.4516100000000004E-4</v>
      </c>
      <c r="Q14">
        <v>7.1114099999999999E-4</v>
      </c>
      <c r="R14">
        <v>6.7948800000000001E-4</v>
      </c>
      <c r="S14">
        <v>6.4958400000000003E-4</v>
      </c>
      <c r="T14">
        <v>6.1782299999999998E-4</v>
      </c>
      <c r="U14">
        <v>5.8531900000000005E-4</v>
      </c>
      <c r="V14">
        <v>5.6396300000000001E-4</v>
      </c>
      <c r="W14">
        <v>5.4747400000000005E-4</v>
      </c>
      <c r="X14">
        <v>5.3156700000000004E-4</v>
      </c>
      <c r="Y14">
        <v>5.1622799999999998E-4</v>
      </c>
      <c r="Z14">
        <v>5.0143599999999996E-4</v>
      </c>
      <c r="AA14">
        <v>4.8756800000000002E-4</v>
      </c>
      <c r="AB14">
        <v>4.73568E-4</v>
      </c>
      <c r="AC14">
        <v>4.6004299999999999E-4</v>
      </c>
      <c r="AD14">
        <v>4.4697900000000002E-4</v>
      </c>
      <c r="AE14">
        <v>4.34356E-4</v>
      </c>
      <c r="AF14">
        <v>4.2236999999999998E-4</v>
      </c>
      <c r="AG14">
        <v>4.1246799999999998E-4</v>
      </c>
      <c r="AH14">
        <v>4.0285100000000002E-4</v>
      </c>
      <c r="AI14">
        <v>3.93509E-4</v>
      </c>
      <c r="AJ14">
        <v>3.8443499999999997E-4</v>
      </c>
      <c r="AK14">
        <v>3.7570399999999998E-4</v>
      </c>
      <c r="AL14">
        <v>3.6716100000000002E-4</v>
      </c>
      <c r="AM14">
        <v>3.5886099999999998E-4</v>
      </c>
      <c r="AN14">
        <v>3.5079600000000001E-4</v>
      </c>
      <c r="AO14">
        <v>3.4295899999999999E-4</v>
      </c>
      <c r="AP14">
        <v>3.3545500000000002E-4</v>
      </c>
    </row>
    <row r="15" spans="1:42" x14ac:dyDescent="0.3">
      <c r="A15" t="s">
        <v>14</v>
      </c>
      <c r="B15">
        <v>0</v>
      </c>
      <c r="C15">
        <v>5.8352600000000001E-4</v>
      </c>
      <c r="D15">
        <v>5.7372499999999997E-4</v>
      </c>
      <c r="E15">
        <v>5.4750299999999997E-4</v>
      </c>
      <c r="F15">
        <v>5.0596699999999996E-4</v>
      </c>
      <c r="G15">
        <v>4.6249600000000001E-4</v>
      </c>
      <c r="H15">
        <v>4.3654300000000001E-4</v>
      </c>
      <c r="I15">
        <v>4.23032E-4</v>
      </c>
      <c r="J15">
        <v>3.9645400000000002E-4</v>
      </c>
      <c r="K15">
        <v>3.6118000000000001E-4</v>
      </c>
      <c r="L15">
        <v>3.2734099999999998E-4</v>
      </c>
      <c r="M15">
        <v>3.24591E-4</v>
      </c>
      <c r="N15">
        <v>2.9556999999999999E-4</v>
      </c>
      <c r="O15">
        <v>2.8144699999999999E-4</v>
      </c>
      <c r="P15">
        <v>2.7304299999999999E-4</v>
      </c>
      <c r="Q15">
        <v>2.5951300000000001E-4</v>
      </c>
      <c r="R15">
        <v>2.4735000000000002E-4</v>
      </c>
      <c r="S15">
        <v>2.3590800000000001E-4</v>
      </c>
      <c r="T15">
        <v>2.24157E-4</v>
      </c>
      <c r="U15">
        <v>2.1214699999999999E-4</v>
      </c>
      <c r="V15">
        <v>2.0464600000000001E-4</v>
      </c>
      <c r="W15">
        <v>1.99118E-4</v>
      </c>
      <c r="X15">
        <v>1.93766E-4</v>
      </c>
      <c r="Y15">
        <v>1.8858699999999999E-4</v>
      </c>
      <c r="Z15">
        <v>1.83578E-4</v>
      </c>
      <c r="AA15">
        <v>1.7885399999999999E-4</v>
      </c>
      <c r="AB15">
        <v>1.74277E-4</v>
      </c>
      <c r="AC15">
        <v>1.6983100000000001E-4</v>
      </c>
      <c r="AD15">
        <v>1.65515E-4</v>
      </c>
      <c r="AE15">
        <v>1.6132599999999999E-4</v>
      </c>
      <c r="AF15">
        <v>1.57212E-4</v>
      </c>
      <c r="AG15">
        <v>1.53721E-4</v>
      </c>
      <c r="AH15">
        <v>1.5032899999999999E-4</v>
      </c>
      <c r="AI15">
        <v>1.4703399999999999E-4</v>
      </c>
      <c r="AJ15">
        <v>1.4383199999999999E-4</v>
      </c>
      <c r="AK15">
        <v>1.4062300000000001E-4</v>
      </c>
      <c r="AL15">
        <v>1.37405E-4</v>
      </c>
      <c r="AM15">
        <v>1.34282E-4</v>
      </c>
      <c r="AN15">
        <v>1.3124999999999999E-4</v>
      </c>
      <c r="AO15">
        <v>1.2830799999999999E-4</v>
      </c>
      <c r="AP15">
        <v>1.2542299999999999E-4</v>
      </c>
    </row>
    <row r="16" spans="1:42" x14ac:dyDescent="0.3">
      <c r="A16" t="s">
        <v>15</v>
      </c>
      <c r="B16">
        <v>0</v>
      </c>
      <c r="C16">
        <v>2.8466979999999999E-3</v>
      </c>
      <c r="D16">
        <v>2.678237E-3</v>
      </c>
      <c r="E16">
        <v>2.5264459999999999E-3</v>
      </c>
      <c r="F16">
        <v>2.4067139999999999E-3</v>
      </c>
      <c r="G16">
        <v>2.282339E-3</v>
      </c>
      <c r="H16">
        <v>2.2576269999999999E-3</v>
      </c>
      <c r="I16">
        <v>2.13803E-3</v>
      </c>
      <c r="J16">
        <v>2.0003949999999999E-3</v>
      </c>
      <c r="K16">
        <v>1.843092E-3</v>
      </c>
      <c r="L16">
        <v>1.6538869999999999E-3</v>
      </c>
      <c r="M16">
        <v>1.6601809999999999E-3</v>
      </c>
      <c r="N16">
        <v>1.5484870000000001E-3</v>
      </c>
      <c r="O16">
        <v>1.4853679999999999E-3</v>
      </c>
      <c r="P16">
        <v>1.457718E-3</v>
      </c>
      <c r="Q16">
        <v>1.4013929999999999E-3</v>
      </c>
      <c r="R16">
        <v>1.348262E-3</v>
      </c>
      <c r="S16">
        <v>1.298095E-3</v>
      </c>
      <c r="T16">
        <v>1.247593E-3</v>
      </c>
      <c r="U16">
        <v>1.1943800000000001E-3</v>
      </c>
      <c r="V16">
        <v>1.164916E-3</v>
      </c>
      <c r="W16">
        <v>1.144653E-3</v>
      </c>
      <c r="X16">
        <v>1.124929E-3</v>
      </c>
      <c r="Y16">
        <v>1.1057549999999999E-3</v>
      </c>
      <c r="Z16">
        <v>1.087115E-3</v>
      </c>
      <c r="AA16">
        <v>1.0677880000000001E-3</v>
      </c>
      <c r="AB16">
        <v>1.0466410000000001E-3</v>
      </c>
      <c r="AC16">
        <v>1.0260849999999999E-3</v>
      </c>
      <c r="AD16">
        <v>1.006105E-3</v>
      </c>
      <c r="AE16">
        <v>9.8667799999999995E-4</v>
      </c>
      <c r="AF16">
        <v>9.6772799999999995E-4</v>
      </c>
      <c r="AG16">
        <v>9.5202600000000002E-4</v>
      </c>
      <c r="AH16">
        <v>9.3672099999999995E-4</v>
      </c>
      <c r="AI16">
        <v>9.2180400000000003E-4</v>
      </c>
      <c r="AJ16">
        <v>9.0726399999999997E-4</v>
      </c>
      <c r="AK16">
        <v>8.9283199999999998E-4</v>
      </c>
      <c r="AL16">
        <v>8.7766899999999998E-4</v>
      </c>
      <c r="AM16">
        <v>8.6289600000000004E-4</v>
      </c>
      <c r="AN16">
        <v>8.4850300000000002E-4</v>
      </c>
      <c r="AO16">
        <v>8.3447899999999995E-4</v>
      </c>
      <c r="AP16">
        <v>8.2043999999999997E-4</v>
      </c>
    </row>
    <row r="17" spans="1:42" x14ac:dyDescent="0.3">
      <c r="A17" t="s">
        <v>16</v>
      </c>
      <c r="B17">
        <v>0</v>
      </c>
      <c r="C17">
        <v>1.7857540000000002E-2</v>
      </c>
      <c r="D17">
        <v>1.6359763999999999E-2</v>
      </c>
      <c r="E17">
        <v>1.4987828E-2</v>
      </c>
      <c r="F17">
        <v>1.3731292000000001E-2</v>
      </c>
      <c r="G17">
        <v>1.2580533E-2</v>
      </c>
      <c r="H17">
        <v>1.1591037E-2</v>
      </c>
      <c r="I17">
        <v>1.0677107999999999E-2</v>
      </c>
      <c r="J17">
        <v>9.8332750000000007E-3</v>
      </c>
      <c r="K17">
        <v>9.1796320000000001E-3</v>
      </c>
      <c r="L17">
        <v>8.2145010000000008E-3</v>
      </c>
      <c r="M17">
        <v>8.2475389999999999E-3</v>
      </c>
      <c r="N17">
        <v>6.966295E-3</v>
      </c>
      <c r="O17">
        <v>6.4976319999999997E-3</v>
      </c>
      <c r="P17">
        <v>6.2953460000000003E-3</v>
      </c>
      <c r="Q17">
        <v>5.993801E-3</v>
      </c>
      <c r="R17">
        <v>5.7229050000000004E-3</v>
      </c>
      <c r="S17">
        <v>5.4598770000000001E-3</v>
      </c>
      <c r="T17">
        <v>5.2121340000000002E-3</v>
      </c>
      <c r="U17">
        <v>4.9550009999999997E-3</v>
      </c>
      <c r="V17">
        <v>4.7905140000000001E-3</v>
      </c>
      <c r="W17">
        <v>4.672631E-3</v>
      </c>
      <c r="X17">
        <v>4.5585410000000002E-3</v>
      </c>
      <c r="Y17">
        <v>4.4481210000000002E-3</v>
      </c>
      <c r="Z17">
        <v>4.341246E-3</v>
      </c>
      <c r="AA17">
        <v>4.2374489999999999E-3</v>
      </c>
      <c r="AB17">
        <v>4.1331989999999997E-3</v>
      </c>
      <c r="AC17">
        <v>4.0321949999999997E-3</v>
      </c>
      <c r="AD17">
        <v>3.9343399999999997E-3</v>
      </c>
      <c r="AE17">
        <v>3.839514E-3</v>
      </c>
      <c r="AF17">
        <v>3.7474069999999999E-3</v>
      </c>
      <c r="AG17">
        <v>3.6675470000000002E-3</v>
      </c>
      <c r="AH17">
        <v>3.5899E-3</v>
      </c>
      <c r="AI17">
        <v>3.5144E-3</v>
      </c>
      <c r="AJ17">
        <v>3.4409839999999998E-3</v>
      </c>
      <c r="AK17">
        <v>3.369581E-3</v>
      </c>
      <c r="AL17">
        <v>3.296762E-3</v>
      </c>
      <c r="AM17">
        <v>3.225978E-3</v>
      </c>
      <c r="AN17">
        <v>3.1571709999999998E-3</v>
      </c>
      <c r="AO17">
        <v>3.090284E-3</v>
      </c>
      <c r="AP17">
        <v>3.0252780000000002E-3</v>
      </c>
    </row>
    <row r="18" spans="1:42" x14ac:dyDescent="0.3">
      <c r="A18" t="s">
        <v>17</v>
      </c>
      <c r="B18">
        <v>0</v>
      </c>
      <c r="C18">
        <v>3.0948899999999999E-3</v>
      </c>
      <c r="D18">
        <v>2.92435E-3</v>
      </c>
      <c r="E18">
        <v>2.6939199999999998E-3</v>
      </c>
      <c r="F18">
        <v>2.6083899999999999E-3</v>
      </c>
      <c r="G18">
        <v>2.5447849999999999E-3</v>
      </c>
      <c r="H18">
        <v>2.3800179999999998E-3</v>
      </c>
      <c r="I18">
        <v>2.3170949999999999E-3</v>
      </c>
      <c r="J18">
        <v>2.3170170000000002E-3</v>
      </c>
      <c r="K18">
        <v>2.173726E-3</v>
      </c>
      <c r="L18">
        <v>2.0883640000000001E-3</v>
      </c>
      <c r="M18">
        <v>2.1120660000000001E-3</v>
      </c>
      <c r="N18">
        <v>1.9150759999999999E-3</v>
      </c>
      <c r="O18">
        <v>1.7693139999999999E-3</v>
      </c>
      <c r="P18">
        <v>1.741586E-3</v>
      </c>
      <c r="Q18">
        <v>1.6738160000000001E-3</v>
      </c>
      <c r="R18">
        <v>1.6116539999999999E-3</v>
      </c>
      <c r="S18">
        <v>1.5501950000000001E-3</v>
      </c>
      <c r="T18">
        <v>1.485707E-3</v>
      </c>
      <c r="U18">
        <v>1.418239E-3</v>
      </c>
      <c r="V18">
        <v>1.3767919999999999E-3</v>
      </c>
      <c r="W18">
        <v>1.3475360000000001E-3</v>
      </c>
      <c r="X18">
        <v>1.3191100000000001E-3</v>
      </c>
      <c r="Y18">
        <v>1.2915279999999999E-3</v>
      </c>
      <c r="Z18">
        <v>1.2647699999999999E-3</v>
      </c>
      <c r="AA18">
        <v>1.237354E-3</v>
      </c>
      <c r="AB18">
        <v>1.2087420000000001E-3</v>
      </c>
      <c r="AC18">
        <v>1.1809769999999999E-3</v>
      </c>
      <c r="AD18">
        <v>1.15405E-3</v>
      </c>
      <c r="AE18">
        <v>1.127926E-3</v>
      </c>
      <c r="AF18">
        <v>1.1011319999999999E-3</v>
      </c>
      <c r="AG18">
        <v>1.079219E-3</v>
      </c>
      <c r="AH18">
        <v>1.0578849999999999E-3</v>
      </c>
      <c r="AI18">
        <v>1.0371099999999999E-3</v>
      </c>
      <c r="AJ18">
        <v>1.01688E-3</v>
      </c>
      <c r="AK18">
        <v>9.9732899999999992E-4</v>
      </c>
      <c r="AL18">
        <v>9.7762700000000001E-4</v>
      </c>
      <c r="AM18">
        <v>9.5844400000000003E-4</v>
      </c>
      <c r="AN18">
        <v>9.3976400000000005E-4</v>
      </c>
      <c r="AO18">
        <v>9.2157399999999998E-4</v>
      </c>
      <c r="AP18">
        <v>9.0370999999999995E-4</v>
      </c>
    </row>
    <row r="19" spans="1:42" x14ac:dyDescent="0.3">
      <c r="A19" t="s">
        <v>18</v>
      </c>
      <c r="B19">
        <v>0</v>
      </c>
      <c r="C19">
        <v>2.5025500000000001E-4</v>
      </c>
      <c r="D19">
        <v>2.4300799999999999E-4</v>
      </c>
      <c r="E19">
        <v>2.32022E-4</v>
      </c>
      <c r="F19">
        <v>2.1650200000000001E-4</v>
      </c>
      <c r="G19">
        <v>2.0033200000000001E-4</v>
      </c>
      <c r="H19">
        <v>1.83246E-4</v>
      </c>
      <c r="I19">
        <v>1.74926E-4</v>
      </c>
      <c r="J19">
        <v>1.6615299999999999E-4</v>
      </c>
      <c r="K19">
        <v>1.56055E-4</v>
      </c>
      <c r="L19">
        <v>1.5519000000000001E-4</v>
      </c>
      <c r="M19">
        <v>1.59748E-4</v>
      </c>
      <c r="N19">
        <v>1.43294E-4</v>
      </c>
      <c r="O19">
        <v>1.32149E-4</v>
      </c>
      <c r="P19">
        <v>1.2871599999999999E-4</v>
      </c>
      <c r="Q19">
        <v>1.2264700000000001E-4</v>
      </c>
      <c r="R19">
        <v>1.17018E-4</v>
      </c>
      <c r="S19">
        <v>1.1171300000000001E-4</v>
      </c>
      <c r="T19">
        <v>1.06351E-4</v>
      </c>
      <c r="U19">
        <v>1.0084100000000001E-4</v>
      </c>
      <c r="V19" s="1">
        <v>9.7259899999999994E-5</v>
      </c>
      <c r="W19" s="1">
        <v>9.4480400000000004E-5</v>
      </c>
      <c r="X19" s="1">
        <v>9.1793900000000002E-5</v>
      </c>
      <c r="Y19" s="1">
        <v>8.9198399999999996E-5</v>
      </c>
      <c r="Z19" s="1">
        <v>8.66906E-5</v>
      </c>
      <c r="AA19" s="1">
        <v>8.42217E-5</v>
      </c>
      <c r="AB19" s="1">
        <v>8.1625000000000005E-5</v>
      </c>
      <c r="AC19" s="1">
        <v>7.9120200000000002E-5</v>
      </c>
      <c r="AD19" s="1">
        <v>7.6704000000000003E-5</v>
      </c>
      <c r="AE19" s="1">
        <v>7.4372800000000001E-5</v>
      </c>
      <c r="AF19" s="1">
        <v>7.2074400000000002E-5</v>
      </c>
      <c r="AG19" s="1">
        <v>7.0060099999999997E-5</v>
      </c>
      <c r="AH19" s="1">
        <v>6.8111800000000001E-5</v>
      </c>
      <c r="AI19" s="1">
        <v>6.6227099999999995E-5</v>
      </c>
      <c r="AJ19" s="1">
        <v>6.4403899999999995E-5</v>
      </c>
      <c r="AK19" s="1">
        <v>6.2623299999999994E-5</v>
      </c>
      <c r="AL19" s="1">
        <v>6.0853400000000003E-5</v>
      </c>
      <c r="AM19" s="1">
        <v>5.9142199999999998E-5</v>
      </c>
      <c r="AN19" s="1">
        <v>5.7487600000000002E-5</v>
      </c>
      <c r="AO19" s="1">
        <v>5.5887599999999997E-5</v>
      </c>
      <c r="AP19" s="1">
        <v>5.43349E-5</v>
      </c>
    </row>
    <row r="20" spans="1:42" x14ac:dyDescent="0.3">
      <c r="A20" t="s">
        <v>19</v>
      </c>
      <c r="B20">
        <v>0</v>
      </c>
      <c r="C20">
        <v>1.0535300000000001E-4</v>
      </c>
      <c r="D20" s="1">
        <v>9.6560599999999998E-5</v>
      </c>
      <c r="E20" s="1">
        <v>8.4824699999999994E-5</v>
      </c>
      <c r="F20" s="1">
        <v>7.9535099999999997E-5</v>
      </c>
      <c r="G20" s="1">
        <v>7.4644199999999999E-5</v>
      </c>
      <c r="H20" s="1">
        <v>7.5358099999999999E-5</v>
      </c>
      <c r="I20" s="1">
        <v>7.1225599999999998E-5</v>
      </c>
      <c r="J20" s="1">
        <v>6.6662199999999993E-5</v>
      </c>
      <c r="K20" s="1">
        <v>6.2106499999999999E-5</v>
      </c>
      <c r="L20" s="1">
        <v>6.03052E-5</v>
      </c>
      <c r="M20" s="1">
        <v>5.9434200000000001E-5</v>
      </c>
      <c r="N20" s="1">
        <v>5.3461400000000003E-5</v>
      </c>
      <c r="O20" s="1">
        <v>4.8743299999999998E-5</v>
      </c>
      <c r="P20" s="1">
        <v>4.78478E-5</v>
      </c>
      <c r="Q20" s="1">
        <v>4.5989100000000003E-5</v>
      </c>
      <c r="R20" s="1">
        <v>4.4086399999999999E-5</v>
      </c>
      <c r="S20" s="1">
        <v>4.2291299999999999E-5</v>
      </c>
      <c r="T20" s="1">
        <v>4.0494400000000003E-5</v>
      </c>
      <c r="U20" s="1">
        <v>3.86234E-5</v>
      </c>
      <c r="V20" s="1">
        <v>3.74892E-5</v>
      </c>
      <c r="W20" s="1">
        <v>3.6893700000000002E-5</v>
      </c>
      <c r="X20" s="1">
        <v>3.6315400000000001E-5</v>
      </c>
      <c r="Y20" s="1">
        <v>3.5754099999999997E-5</v>
      </c>
      <c r="Z20" s="1">
        <v>3.5209400000000002E-5</v>
      </c>
      <c r="AA20" s="1">
        <v>3.4681699999999997E-5</v>
      </c>
      <c r="AB20" s="1">
        <v>3.4233100000000003E-5</v>
      </c>
      <c r="AC20" s="1">
        <v>3.3796600000000001E-5</v>
      </c>
      <c r="AD20" s="1">
        <v>3.3372199999999999E-5</v>
      </c>
      <c r="AE20" s="1">
        <v>3.2959200000000001E-5</v>
      </c>
      <c r="AF20" s="1">
        <v>3.2558400000000003E-5</v>
      </c>
      <c r="AG20" s="1">
        <v>3.2121700000000001E-5</v>
      </c>
      <c r="AH20" s="1">
        <v>3.1695800000000002E-5</v>
      </c>
      <c r="AI20" s="1">
        <v>3.12805E-5</v>
      </c>
      <c r="AJ20" s="1">
        <v>3.0875399999999999E-5</v>
      </c>
      <c r="AK20" s="1">
        <v>3.0479799999999999E-5</v>
      </c>
      <c r="AL20" s="1">
        <v>3.0055600000000001E-5</v>
      </c>
      <c r="AM20" s="1">
        <v>2.9642099999999999E-5</v>
      </c>
      <c r="AN20" s="1">
        <v>2.9238899999999999E-5</v>
      </c>
      <c r="AO20" s="1">
        <v>2.8845900000000001E-5</v>
      </c>
      <c r="AP20" s="1">
        <v>2.8461100000000001E-5</v>
      </c>
    </row>
    <row r="21" spans="1:42" x14ac:dyDescent="0.3">
      <c r="A21" t="s">
        <v>20</v>
      </c>
      <c r="B21">
        <v>0</v>
      </c>
      <c r="C21">
        <v>2.32189E-4</v>
      </c>
      <c r="D21">
        <v>2.41981E-4</v>
      </c>
      <c r="E21">
        <v>2.3048400000000001E-4</v>
      </c>
      <c r="F21">
        <v>2.23573E-4</v>
      </c>
      <c r="G21">
        <v>2.07307E-4</v>
      </c>
      <c r="H21">
        <v>1.9013400000000001E-4</v>
      </c>
      <c r="I21">
        <v>1.8277500000000001E-4</v>
      </c>
      <c r="J21">
        <v>1.7197299999999999E-4</v>
      </c>
      <c r="K21">
        <v>1.62573E-4</v>
      </c>
      <c r="L21">
        <v>1.61886E-4</v>
      </c>
      <c r="M21">
        <v>1.6451599999999999E-4</v>
      </c>
      <c r="N21">
        <v>1.51368E-4</v>
      </c>
      <c r="O21">
        <v>1.40805E-4</v>
      </c>
      <c r="P21">
        <v>1.3937300000000001E-4</v>
      </c>
      <c r="Q21">
        <v>1.3505799999999999E-4</v>
      </c>
      <c r="R21">
        <v>1.2984800000000001E-4</v>
      </c>
      <c r="S21">
        <v>1.2491100000000001E-4</v>
      </c>
      <c r="T21">
        <v>1.19739E-4</v>
      </c>
      <c r="U21">
        <v>1.14335E-4</v>
      </c>
      <c r="V21">
        <v>1.1112000000000001E-4</v>
      </c>
      <c r="W21">
        <v>1.0776399999999999E-4</v>
      </c>
      <c r="X21">
        <v>1.04529E-4</v>
      </c>
      <c r="Y21">
        <v>1.0141000000000001E-4</v>
      </c>
      <c r="Z21" s="1">
        <v>9.8404600000000003E-5</v>
      </c>
      <c r="AA21" s="1">
        <v>9.5445600000000007E-5</v>
      </c>
      <c r="AB21" s="1">
        <v>9.2612499999999995E-5</v>
      </c>
      <c r="AC21" s="1">
        <v>8.9880400000000001E-5</v>
      </c>
      <c r="AD21" s="1">
        <v>8.7245500000000003E-5</v>
      </c>
      <c r="AE21" s="1">
        <v>8.47037E-5</v>
      </c>
      <c r="AF21" s="1">
        <v>8.2216E-5</v>
      </c>
      <c r="AG21" s="1">
        <v>7.9965100000000005E-5</v>
      </c>
      <c r="AH21" s="1">
        <v>7.7787799999999994E-5</v>
      </c>
      <c r="AI21" s="1">
        <v>7.5681500000000004E-5</v>
      </c>
      <c r="AJ21" s="1">
        <v>7.3643600000000001E-5</v>
      </c>
      <c r="AK21" s="1">
        <v>7.1658199999999998E-5</v>
      </c>
      <c r="AL21" s="1">
        <v>6.9699100000000005E-5</v>
      </c>
      <c r="AM21" s="1">
        <v>6.7804400000000004E-5</v>
      </c>
      <c r="AN21" s="1">
        <v>6.5971700000000004E-5</v>
      </c>
      <c r="AO21" s="1">
        <v>6.4199E-5</v>
      </c>
      <c r="AP21" s="1">
        <v>6.2472500000000002E-5</v>
      </c>
    </row>
    <row r="22" spans="1:42" x14ac:dyDescent="0.3">
      <c r="A22" t="s">
        <v>21</v>
      </c>
      <c r="B22">
        <v>0</v>
      </c>
      <c r="C22">
        <v>5.2357900000000004E-4</v>
      </c>
      <c r="D22">
        <v>5.3583000000000005E-4</v>
      </c>
      <c r="E22">
        <v>4.9620700000000003E-4</v>
      </c>
      <c r="F22">
        <v>4.8351999999999998E-4</v>
      </c>
      <c r="G22">
        <v>4.6711700000000002E-4</v>
      </c>
      <c r="H22">
        <v>4.4048399999999999E-4</v>
      </c>
      <c r="I22">
        <v>4.0946899999999998E-4</v>
      </c>
      <c r="J22">
        <v>3.8193199999999997E-4</v>
      </c>
      <c r="K22">
        <v>3.6100800000000001E-4</v>
      </c>
      <c r="L22">
        <v>3.60594E-4</v>
      </c>
      <c r="M22">
        <v>3.6131100000000001E-4</v>
      </c>
      <c r="N22">
        <v>3.3017399999999997E-4</v>
      </c>
      <c r="O22">
        <v>3.0432199999999999E-4</v>
      </c>
      <c r="P22">
        <v>2.9580299999999997E-4</v>
      </c>
      <c r="Q22">
        <v>2.8112200000000002E-4</v>
      </c>
      <c r="R22">
        <v>2.6691399999999999E-4</v>
      </c>
      <c r="S22">
        <v>2.5339299999999998E-4</v>
      </c>
      <c r="T22">
        <v>2.3977699999999999E-4</v>
      </c>
      <c r="U22">
        <v>2.25944E-4</v>
      </c>
      <c r="V22">
        <v>2.1633899999999999E-4</v>
      </c>
      <c r="W22">
        <v>2.08987E-4</v>
      </c>
      <c r="X22">
        <v>2.01907E-4</v>
      </c>
      <c r="Y22">
        <v>1.9509200000000001E-4</v>
      </c>
      <c r="Z22">
        <v>1.88531E-4</v>
      </c>
      <c r="AA22">
        <v>1.82134E-4</v>
      </c>
      <c r="AB22">
        <v>1.76248E-4</v>
      </c>
      <c r="AC22">
        <v>1.7057899999999999E-4</v>
      </c>
      <c r="AD22">
        <v>1.65117E-4</v>
      </c>
      <c r="AE22">
        <v>1.59853E-4</v>
      </c>
      <c r="AF22">
        <v>1.5470800000000001E-4</v>
      </c>
      <c r="AG22">
        <v>1.5044099999999999E-4</v>
      </c>
      <c r="AH22">
        <v>1.46312E-4</v>
      </c>
      <c r="AI22">
        <v>1.42316E-4</v>
      </c>
      <c r="AJ22">
        <v>1.38448E-4</v>
      </c>
      <c r="AK22">
        <v>1.34692E-4</v>
      </c>
      <c r="AL22">
        <v>1.30865E-4</v>
      </c>
      <c r="AM22">
        <v>1.27164E-4</v>
      </c>
      <c r="AN22">
        <v>1.2358599999999999E-4</v>
      </c>
      <c r="AO22">
        <v>1.2012599999999999E-4</v>
      </c>
      <c r="AP22">
        <v>1.16721E-4</v>
      </c>
    </row>
    <row r="23" spans="1:42" x14ac:dyDescent="0.3">
      <c r="A23" t="s">
        <v>22</v>
      </c>
      <c r="B23">
        <v>0</v>
      </c>
      <c r="C23">
        <v>1.9669119999999999E-3</v>
      </c>
      <c r="D23">
        <v>1.803603E-3</v>
      </c>
      <c r="E23">
        <v>1.7078410000000001E-3</v>
      </c>
      <c r="F23">
        <v>1.6644540000000001E-3</v>
      </c>
      <c r="G23">
        <v>1.6022829999999999E-3</v>
      </c>
      <c r="H23">
        <v>1.5049149999999999E-3</v>
      </c>
      <c r="I23">
        <v>1.3652219999999999E-3</v>
      </c>
      <c r="J23">
        <v>1.291403E-3</v>
      </c>
      <c r="K23">
        <v>1.208392E-3</v>
      </c>
      <c r="L23">
        <v>1.1730040000000001E-3</v>
      </c>
      <c r="M23">
        <v>1.2042680000000001E-3</v>
      </c>
      <c r="N23">
        <v>1.109119E-3</v>
      </c>
      <c r="O23">
        <v>1.0173630000000001E-3</v>
      </c>
      <c r="P23">
        <v>1.001107E-3</v>
      </c>
      <c r="Q23">
        <v>9.6471000000000002E-4</v>
      </c>
      <c r="R23">
        <v>9.3205100000000004E-4</v>
      </c>
      <c r="S23">
        <v>9.0143500000000002E-4</v>
      </c>
      <c r="T23">
        <v>8.6877600000000003E-4</v>
      </c>
      <c r="U23">
        <v>8.3397099999999997E-4</v>
      </c>
      <c r="V23">
        <v>8.1398099999999997E-4</v>
      </c>
      <c r="W23">
        <v>7.9931999999999996E-4</v>
      </c>
      <c r="X23">
        <v>7.8502300000000004E-4</v>
      </c>
      <c r="Y23">
        <v>7.7108799999999996E-4</v>
      </c>
      <c r="Z23">
        <v>7.5750800000000005E-4</v>
      </c>
      <c r="AA23">
        <v>7.4310800000000003E-4</v>
      </c>
      <c r="AB23">
        <v>7.2564999999999999E-4</v>
      </c>
      <c r="AC23">
        <v>7.0868500000000002E-4</v>
      </c>
      <c r="AD23">
        <v>6.9220000000000002E-4</v>
      </c>
      <c r="AE23">
        <v>6.7617899999999995E-4</v>
      </c>
      <c r="AF23">
        <v>6.5970199999999997E-4</v>
      </c>
      <c r="AG23">
        <v>6.4517100000000005E-4</v>
      </c>
      <c r="AH23">
        <v>6.3103300000000003E-4</v>
      </c>
      <c r="AI23">
        <v>6.1727600000000004E-4</v>
      </c>
      <c r="AJ23">
        <v>6.03887E-4</v>
      </c>
      <c r="AK23">
        <v>5.9097399999999997E-4</v>
      </c>
      <c r="AL23">
        <v>5.7869499999999995E-4</v>
      </c>
      <c r="AM23">
        <v>5.6673100000000001E-4</v>
      </c>
      <c r="AN23">
        <v>5.55073E-4</v>
      </c>
      <c r="AO23">
        <v>5.4371200000000001E-4</v>
      </c>
      <c r="AP23">
        <v>5.3281699999999999E-4</v>
      </c>
    </row>
    <row r="24" spans="1:42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3">
      <c r="A25" t="s">
        <v>24</v>
      </c>
      <c r="B25">
        <v>0</v>
      </c>
      <c r="C25">
        <v>5.04733E-3</v>
      </c>
      <c r="D25">
        <v>4.8983389999999998E-3</v>
      </c>
      <c r="E25">
        <v>4.7538149999999998E-3</v>
      </c>
      <c r="F25">
        <v>4.6136720000000001E-3</v>
      </c>
      <c r="G25">
        <v>4.4778149999999996E-3</v>
      </c>
      <c r="H25">
        <v>4.3704E-3</v>
      </c>
      <c r="I25">
        <v>4.2646589999999996E-3</v>
      </c>
      <c r="J25">
        <v>4.1606439999999998E-3</v>
      </c>
      <c r="K25">
        <v>4.083148E-3</v>
      </c>
      <c r="L25">
        <v>3.9068970000000003E-3</v>
      </c>
      <c r="M25">
        <v>4.0303830000000002E-3</v>
      </c>
      <c r="N25">
        <v>3.9155040000000002E-3</v>
      </c>
      <c r="O25">
        <v>3.6675520000000001E-3</v>
      </c>
      <c r="P25">
        <v>3.6249530000000002E-3</v>
      </c>
      <c r="Q25">
        <v>3.5098820000000002E-3</v>
      </c>
      <c r="R25">
        <v>3.3979909999999999E-3</v>
      </c>
      <c r="S25">
        <v>3.2883980000000001E-3</v>
      </c>
      <c r="T25">
        <v>3.1703510000000001E-3</v>
      </c>
      <c r="U25">
        <v>3.044288E-3</v>
      </c>
      <c r="V25">
        <v>2.9720359999999999E-3</v>
      </c>
      <c r="W25">
        <v>2.9077830000000002E-3</v>
      </c>
      <c r="X25">
        <v>2.8538000000000001E-3</v>
      </c>
      <c r="Y25">
        <v>2.8011569999999999E-3</v>
      </c>
      <c r="Z25">
        <v>2.7498409999999998E-3</v>
      </c>
      <c r="AA25">
        <v>2.6960759999999999E-3</v>
      </c>
      <c r="AB25">
        <v>2.6365659999999999E-3</v>
      </c>
      <c r="AC25">
        <v>2.5785769999999999E-3</v>
      </c>
      <c r="AD25">
        <v>2.5221000000000002E-3</v>
      </c>
      <c r="AE25">
        <v>2.4670989999999999E-3</v>
      </c>
      <c r="AF25">
        <v>2.4091949999999998E-3</v>
      </c>
      <c r="AG25">
        <v>2.3538890000000001E-3</v>
      </c>
      <c r="AH25">
        <v>2.3001219999999999E-3</v>
      </c>
      <c r="AI25">
        <v>2.2478530000000002E-3</v>
      </c>
      <c r="AJ25">
        <v>2.1970420000000002E-3</v>
      </c>
      <c r="AK25">
        <v>2.1456140000000001E-3</v>
      </c>
      <c r="AL25">
        <v>2.091543E-3</v>
      </c>
      <c r="AM25">
        <v>2.0391139999999999E-3</v>
      </c>
      <c r="AN25">
        <v>1.9882760000000002E-3</v>
      </c>
      <c r="AO25">
        <v>1.9389780000000001E-3</v>
      </c>
      <c r="AP25">
        <v>1.890182E-3</v>
      </c>
    </row>
    <row r="26" spans="1:42" x14ac:dyDescent="0.3">
      <c r="A26" t="s">
        <v>25</v>
      </c>
      <c r="B26">
        <v>0</v>
      </c>
      <c r="C26">
        <v>5.2599400000000001E-4</v>
      </c>
      <c r="D26">
        <v>4.78171E-4</v>
      </c>
      <c r="E26">
        <v>4.3856899999999998E-4</v>
      </c>
      <c r="F26">
        <v>4.2147099999999998E-4</v>
      </c>
      <c r="G26">
        <v>3.7460599999999998E-4</v>
      </c>
      <c r="H26">
        <v>3.44199E-4</v>
      </c>
      <c r="I26">
        <v>3.2564999999999997E-4</v>
      </c>
      <c r="J26">
        <v>2.9688000000000002E-4</v>
      </c>
      <c r="K26">
        <v>2.7726500000000001E-4</v>
      </c>
      <c r="L26">
        <v>2.6791100000000002E-4</v>
      </c>
      <c r="M26">
        <v>2.7384300000000001E-4</v>
      </c>
      <c r="N26">
        <v>2.5477600000000002E-4</v>
      </c>
      <c r="O26">
        <v>2.34582E-4</v>
      </c>
      <c r="P26">
        <v>2.3013299999999999E-4</v>
      </c>
      <c r="Q26">
        <v>2.20962E-4</v>
      </c>
      <c r="R26">
        <v>2.1217499999999999E-4</v>
      </c>
      <c r="S26">
        <v>2.03826E-4</v>
      </c>
      <c r="T26">
        <v>1.9533699999999999E-4</v>
      </c>
      <c r="U26">
        <v>1.86453E-4</v>
      </c>
      <c r="V26">
        <v>1.80781E-4</v>
      </c>
      <c r="W26">
        <v>1.7641600000000001E-4</v>
      </c>
      <c r="X26">
        <v>1.7218100000000001E-4</v>
      </c>
      <c r="Y26">
        <v>1.68073E-4</v>
      </c>
      <c r="Z26">
        <v>1.6408800000000001E-4</v>
      </c>
      <c r="AA26">
        <v>1.6001599999999999E-4</v>
      </c>
      <c r="AB26">
        <v>1.5585499999999999E-4</v>
      </c>
      <c r="AC26">
        <v>1.51824E-4</v>
      </c>
      <c r="AD26">
        <v>1.47918E-4</v>
      </c>
      <c r="AE26">
        <v>1.4413300000000001E-4</v>
      </c>
      <c r="AF26">
        <v>1.4025600000000001E-4</v>
      </c>
      <c r="AG26">
        <v>1.3713399999999999E-4</v>
      </c>
      <c r="AH26">
        <v>1.3410000000000001E-4</v>
      </c>
      <c r="AI26">
        <v>1.3114999999999999E-4</v>
      </c>
      <c r="AJ26">
        <v>1.28281E-4</v>
      </c>
      <c r="AK26">
        <v>1.25446E-4</v>
      </c>
      <c r="AL26">
        <v>1.2259200000000001E-4</v>
      </c>
      <c r="AM26">
        <v>1.19819E-4</v>
      </c>
      <c r="AN26">
        <v>1.17124E-4</v>
      </c>
      <c r="AO26">
        <v>1.14504E-4</v>
      </c>
      <c r="AP26">
        <v>1.11975E-4</v>
      </c>
    </row>
    <row r="27" spans="1:42" x14ac:dyDescent="0.3">
      <c r="A27" t="s">
        <v>26</v>
      </c>
      <c r="B27">
        <v>0</v>
      </c>
      <c r="C27">
        <v>1.008412E-3</v>
      </c>
      <c r="D27">
        <v>1.0004180000000001E-3</v>
      </c>
      <c r="E27">
        <v>9.1474099999999995E-4</v>
      </c>
      <c r="F27">
        <v>8.8734700000000003E-4</v>
      </c>
      <c r="G27">
        <v>8.6815299999999998E-4</v>
      </c>
      <c r="H27">
        <v>8.2454100000000003E-4</v>
      </c>
      <c r="I27">
        <v>7.68908E-4</v>
      </c>
      <c r="J27">
        <v>7.2135099999999996E-4</v>
      </c>
      <c r="K27">
        <v>6.6806700000000005E-4</v>
      </c>
      <c r="L27">
        <v>6.4451000000000005E-4</v>
      </c>
      <c r="M27">
        <v>6.4253400000000005E-4</v>
      </c>
      <c r="N27">
        <v>5.7583700000000005E-4</v>
      </c>
      <c r="O27">
        <v>5.2421300000000004E-4</v>
      </c>
      <c r="P27">
        <v>5.14329E-4</v>
      </c>
      <c r="Q27">
        <v>4.9357600000000002E-4</v>
      </c>
      <c r="R27">
        <v>4.7526699999999997E-4</v>
      </c>
      <c r="S27">
        <v>4.57754E-4</v>
      </c>
      <c r="T27">
        <v>4.3937499999999999E-4</v>
      </c>
      <c r="U27">
        <v>4.2008600000000002E-4</v>
      </c>
      <c r="V27">
        <v>4.0876999999999998E-4</v>
      </c>
      <c r="W27">
        <v>3.9880599999999998E-4</v>
      </c>
      <c r="X27">
        <v>3.8912400000000002E-4</v>
      </c>
      <c r="Y27">
        <v>3.7971899999999999E-4</v>
      </c>
      <c r="Z27">
        <v>3.7058700000000002E-4</v>
      </c>
      <c r="AA27">
        <v>3.6159799999999998E-4</v>
      </c>
      <c r="AB27">
        <v>3.5137500000000002E-4</v>
      </c>
      <c r="AC27">
        <v>3.4148099999999998E-4</v>
      </c>
      <c r="AD27">
        <v>3.3190599999999998E-4</v>
      </c>
      <c r="AE27">
        <v>3.2264000000000001E-4</v>
      </c>
      <c r="AF27">
        <v>3.1349600000000002E-4</v>
      </c>
      <c r="AG27">
        <v>3.0476100000000002E-4</v>
      </c>
      <c r="AH27">
        <v>2.96297E-4</v>
      </c>
      <c r="AI27">
        <v>2.8809300000000001E-4</v>
      </c>
      <c r="AJ27">
        <v>2.8014400000000002E-4</v>
      </c>
      <c r="AK27">
        <v>2.7241100000000002E-4</v>
      </c>
      <c r="AL27">
        <v>2.6464199999999999E-4</v>
      </c>
      <c r="AM27">
        <v>2.5712800000000002E-4</v>
      </c>
      <c r="AN27">
        <v>2.4986000000000002E-4</v>
      </c>
      <c r="AO27">
        <v>2.4282899999999999E-4</v>
      </c>
      <c r="AP27">
        <v>2.35985E-4</v>
      </c>
    </row>
    <row r="28" spans="1:42" x14ac:dyDescent="0.3">
      <c r="A28" t="s">
        <v>27</v>
      </c>
      <c r="B28">
        <v>0</v>
      </c>
      <c r="C28">
        <v>7.5383199999999996E-4</v>
      </c>
      <c r="D28">
        <v>7.2785099999999995E-4</v>
      </c>
      <c r="E28">
        <v>6.7482700000000002E-4</v>
      </c>
      <c r="F28">
        <v>6.9052000000000002E-4</v>
      </c>
      <c r="G28">
        <v>6.7407299999999997E-4</v>
      </c>
      <c r="H28">
        <v>6.6209500000000002E-4</v>
      </c>
      <c r="I28">
        <v>6.25922E-4</v>
      </c>
      <c r="J28">
        <v>5.6696100000000005E-4</v>
      </c>
      <c r="K28">
        <v>5.4316900000000003E-4</v>
      </c>
      <c r="L28">
        <v>5.3919500000000002E-4</v>
      </c>
      <c r="M28">
        <v>5.5590399999999997E-4</v>
      </c>
      <c r="N28">
        <v>5.1578300000000002E-4</v>
      </c>
      <c r="O28">
        <v>4.8719200000000001E-4</v>
      </c>
      <c r="P28">
        <v>4.7892600000000002E-4</v>
      </c>
      <c r="Q28">
        <v>4.5945600000000001E-4</v>
      </c>
      <c r="R28">
        <v>4.4012899999999999E-4</v>
      </c>
      <c r="S28">
        <v>4.2178000000000002E-4</v>
      </c>
      <c r="T28">
        <v>4.0172100000000001E-4</v>
      </c>
      <c r="U28">
        <v>3.8075000000000001E-4</v>
      </c>
      <c r="V28">
        <v>3.67115E-4</v>
      </c>
      <c r="W28">
        <v>3.5609500000000001E-4</v>
      </c>
      <c r="X28">
        <v>3.4537599999999999E-4</v>
      </c>
      <c r="Y28">
        <v>3.3501100000000002E-4</v>
      </c>
      <c r="Z28">
        <v>3.2499299999999998E-4</v>
      </c>
      <c r="AA28">
        <v>3.1533400000000001E-4</v>
      </c>
      <c r="AB28">
        <v>3.0531999999999998E-4</v>
      </c>
      <c r="AC28">
        <v>2.9564599999999999E-4</v>
      </c>
      <c r="AD28">
        <v>2.86309E-4</v>
      </c>
      <c r="AE28">
        <v>2.7729600000000001E-4</v>
      </c>
      <c r="AF28">
        <v>2.6853199999999998E-4</v>
      </c>
      <c r="AG28">
        <v>2.6109899999999999E-4</v>
      </c>
      <c r="AH28">
        <v>2.5389599999999998E-4</v>
      </c>
      <c r="AI28">
        <v>2.4691600000000002E-4</v>
      </c>
      <c r="AJ28">
        <v>2.4015199999999999E-4</v>
      </c>
      <c r="AK28">
        <v>2.3355199999999999E-4</v>
      </c>
      <c r="AL28">
        <v>2.27214E-4</v>
      </c>
      <c r="AM28">
        <v>2.21067E-4</v>
      </c>
      <c r="AN28">
        <v>2.1510299999999999E-4</v>
      </c>
      <c r="AO28">
        <v>2.09316E-4</v>
      </c>
      <c r="AP28">
        <v>2.0364100000000001E-4</v>
      </c>
    </row>
    <row r="29" spans="1:42" x14ac:dyDescent="0.3">
      <c r="A29" t="s">
        <v>28</v>
      </c>
      <c r="B29">
        <v>0</v>
      </c>
      <c r="C29">
        <v>1.8160069999999999E-3</v>
      </c>
      <c r="D29">
        <v>1.7393689999999999E-3</v>
      </c>
      <c r="E29">
        <v>1.8359540000000001E-3</v>
      </c>
      <c r="F29">
        <v>1.70644E-3</v>
      </c>
      <c r="G29">
        <v>1.703768E-3</v>
      </c>
      <c r="H29">
        <v>1.683812E-3</v>
      </c>
      <c r="I29">
        <v>1.692699E-3</v>
      </c>
      <c r="J29">
        <v>1.5907409999999999E-3</v>
      </c>
      <c r="K29">
        <v>1.5257809999999999E-3</v>
      </c>
      <c r="L29">
        <v>1.513288E-3</v>
      </c>
      <c r="M29">
        <v>1.566925E-3</v>
      </c>
      <c r="N29">
        <v>1.4752159999999999E-3</v>
      </c>
      <c r="O29">
        <v>1.3917650000000001E-3</v>
      </c>
      <c r="P29">
        <v>1.3727629999999999E-3</v>
      </c>
      <c r="Q29">
        <v>1.324516E-3</v>
      </c>
      <c r="R29">
        <v>1.277956E-3</v>
      </c>
      <c r="S29">
        <v>1.2336269999999999E-3</v>
      </c>
      <c r="T29">
        <v>1.1870120000000001E-3</v>
      </c>
      <c r="U29">
        <v>1.1375479999999999E-3</v>
      </c>
      <c r="V29">
        <v>1.1091E-3</v>
      </c>
      <c r="W29">
        <v>1.084135E-3</v>
      </c>
      <c r="X29">
        <v>1.059768E-3</v>
      </c>
      <c r="Y29">
        <v>1.036007E-3</v>
      </c>
      <c r="Z29">
        <v>1.0128540000000001E-3</v>
      </c>
      <c r="AA29">
        <v>9.8812100000000001E-4</v>
      </c>
      <c r="AB29">
        <v>9.6175799999999995E-4</v>
      </c>
      <c r="AC29">
        <v>9.3615799999999998E-4</v>
      </c>
      <c r="AD29">
        <v>9.1132099999999998E-4</v>
      </c>
      <c r="AE29">
        <v>8.87235E-4</v>
      </c>
      <c r="AF29">
        <v>8.63059E-4</v>
      </c>
      <c r="AG29">
        <v>8.4104999999999998E-4</v>
      </c>
      <c r="AH29">
        <v>8.1972100000000003E-4</v>
      </c>
      <c r="AI29">
        <v>7.9904900000000003E-4</v>
      </c>
      <c r="AJ29">
        <v>7.79016E-4</v>
      </c>
      <c r="AK29">
        <v>7.5952500000000004E-4</v>
      </c>
      <c r="AL29">
        <v>7.3922500000000004E-4</v>
      </c>
      <c r="AM29">
        <v>7.1957900000000003E-4</v>
      </c>
      <c r="AN29">
        <v>7.0056800000000005E-4</v>
      </c>
      <c r="AO29">
        <v>6.8216900000000005E-4</v>
      </c>
      <c r="AP29">
        <v>6.6431200000000002E-4</v>
      </c>
    </row>
    <row r="30" spans="1:42" x14ac:dyDescent="0.3">
      <c r="A30" t="s">
        <v>29</v>
      </c>
      <c r="B30">
        <v>0</v>
      </c>
      <c r="C30">
        <v>1.5851190000000001E-3</v>
      </c>
      <c r="D30">
        <v>1.569972E-3</v>
      </c>
      <c r="E30">
        <v>1.4961270000000001E-3</v>
      </c>
      <c r="F30">
        <v>1.4034850000000001E-3</v>
      </c>
      <c r="G30">
        <v>1.291417E-3</v>
      </c>
      <c r="H30">
        <v>1.187991E-3</v>
      </c>
      <c r="I30">
        <v>1.1283560000000001E-3</v>
      </c>
      <c r="J30">
        <v>1.0487579999999999E-3</v>
      </c>
      <c r="K30">
        <v>9.57919E-4</v>
      </c>
      <c r="L30">
        <v>8.8250100000000005E-4</v>
      </c>
      <c r="M30">
        <v>8.8252000000000003E-4</v>
      </c>
      <c r="N30">
        <v>8.2046300000000001E-4</v>
      </c>
      <c r="O30">
        <v>7.9522000000000002E-4</v>
      </c>
      <c r="P30">
        <v>7.6600500000000005E-4</v>
      </c>
      <c r="Q30">
        <v>7.2072300000000005E-4</v>
      </c>
      <c r="R30">
        <v>6.7900999999999997E-4</v>
      </c>
      <c r="S30">
        <v>6.3999100000000002E-4</v>
      </c>
      <c r="T30">
        <v>6.0308200000000001E-4</v>
      </c>
      <c r="U30">
        <v>5.6596100000000002E-4</v>
      </c>
      <c r="V30">
        <v>5.40103E-4</v>
      </c>
      <c r="W30">
        <v>5.1923400000000004E-4</v>
      </c>
      <c r="X30">
        <v>4.9916399999999997E-4</v>
      </c>
      <c r="Y30">
        <v>4.7988700000000002E-4</v>
      </c>
      <c r="Z30">
        <v>4.6138E-4</v>
      </c>
      <c r="AA30">
        <v>4.43731E-4</v>
      </c>
      <c r="AB30">
        <v>4.2603600000000003E-4</v>
      </c>
      <c r="AC30">
        <v>4.0907500000000001E-4</v>
      </c>
      <c r="AD30">
        <v>3.9281800000000002E-4</v>
      </c>
      <c r="AE30">
        <v>3.7724600000000003E-4</v>
      </c>
      <c r="AF30">
        <v>3.6232199999999999E-4</v>
      </c>
      <c r="AG30">
        <v>3.4936E-4</v>
      </c>
      <c r="AH30">
        <v>3.3690199999999998E-4</v>
      </c>
      <c r="AI30">
        <v>3.2493000000000002E-4</v>
      </c>
      <c r="AJ30">
        <v>3.1342700000000002E-4</v>
      </c>
      <c r="AK30">
        <v>3.0237999999999999E-4</v>
      </c>
      <c r="AL30">
        <v>2.9177599999999999E-4</v>
      </c>
      <c r="AM30">
        <v>2.8154599999999998E-4</v>
      </c>
      <c r="AN30">
        <v>2.7181200000000002E-4</v>
      </c>
      <c r="AO30">
        <v>2.62463E-4</v>
      </c>
      <c r="AP30">
        <v>2.5347E-4</v>
      </c>
    </row>
    <row r="31" spans="1:42" x14ac:dyDescent="0.3">
      <c r="A31" t="s">
        <v>30</v>
      </c>
      <c r="B31">
        <v>0</v>
      </c>
      <c r="C31">
        <v>7.3132999999999998E-4</v>
      </c>
      <c r="D31">
        <v>6.8985800000000001E-4</v>
      </c>
      <c r="E31">
        <v>6.3354899999999996E-4</v>
      </c>
      <c r="F31">
        <v>5.73892E-4</v>
      </c>
      <c r="G31">
        <v>5.1173500000000003E-4</v>
      </c>
      <c r="H31">
        <v>4.6636300000000002E-4</v>
      </c>
      <c r="I31">
        <v>4.3072E-4</v>
      </c>
      <c r="J31">
        <v>3.8636299999999997E-4</v>
      </c>
      <c r="K31">
        <v>3.4586099999999999E-4</v>
      </c>
      <c r="L31">
        <v>3.0134500000000001E-4</v>
      </c>
      <c r="M31">
        <v>2.8719299999999999E-4</v>
      </c>
      <c r="N31">
        <v>2.6831899999999999E-4</v>
      </c>
      <c r="O31">
        <v>2.5358100000000001E-4</v>
      </c>
      <c r="P31">
        <v>2.5974499999999997E-4</v>
      </c>
      <c r="Q31">
        <v>2.5957999999999998E-4</v>
      </c>
      <c r="R31">
        <v>2.6027899999999998E-4</v>
      </c>
      <c r="S31">
        <v>2.6025000000000001E-4</v>
      </c>
      <c r="T31">
        <v>2.6062900000000001E-4</v>
      </c>
      <c r="U31">
        <v>2.5949000000000002E-4</v>
      </c>
      <c r="V31">
        <v>2.6162100000000002E-4</v>
      </c>
      <c r="W31">
        <v>2.6383100000000002E-4</v>
      </c>
      <c r="X31">
        <v>2.6737199999999999E-4</v>
      </c>
      <c r="Y31">
        <v>2.6977000000000001E-4</v>
      </c>
      <c r="Z31">
        <v>2.71525E-4</v>
      </c>
      <c r="AA31">
        <v>2.7312000000000001E-4</v>
      </c>
      <c r="AB31">
        <v>2.7396000000000001E-4</v>
      </c>
      <c r="AC31">
        <v>2.7393099999999999E-4</v>
      </c>
      <c r="AD31">
        <v>2.7357899999999998E-4</v>
      </c>
      <c r="AE31">
        <v>2.7292700000000001E-4</v>
      </c>
      <c r="AF31">
        <v>2.7186099999999998E-4</v>
      </c>
      <c r="AG31">
        <v>2.71425E-4</v>
      </c>
      <c r="AH31">
        <v>2.7051700000000001E-4</v>
      </c>
      <c r="AI31">
        <v>2.6927500000000003E-4</v>
      </c>
      <c r="AJ31">
        <v>2.6771999999999999E-4</v>
      </c>
      <c r="AK31">
        <v>2.6587699999999998E-4</v>
      </c>
      <c r="AL31">
        <v>2.6377099999999999E-4</v>
      </c>
      <c r="AM31">
        <v>2.6142500000000003E-4</v>
      </c>
      <c r="AN31">
        <v>2.58862E-4</v>
      </c>
      <c r="AO31">
        <v>2.5610500000000002E-4</v>
      </c>
      <c r="AP31">
        <v>2.5317500000000001E-4</v>
      </c>
    </row>
    <row r="32" spans="1:42" x14ac:dyDescent="0.3">
      <c r="A32" t="s">
        <v>31</v>
      </c>
      <c r="B32">
        <v>0</v>
      </c>
      <c r="C32" s="1">
        <v>1.2701899999999999E-5</v>
      </c>
      <c r="D32" s="1">
        <v>1.17619E-5</v>
      </c>
      <c r="E32" s="1">
        <v>1.0863899999999999E-5</v>
      </c>
      <c r="F32" s="1">
        <v>1.02026E-5</v>
      </c>
      <c r="G32" s="1">
        <v>9.3409799999999995E-6</v>
      </c>
      <c r="H32" s="1">
        <v>8.68683E-6</v>
      </c>
      <c r="I32" s="1">
        <v>8.0042200000000001E-6</v>
      </c>
      <c r="J32" s="1">
        <v>7.4042199999999999E-6</v>
      </c>
      <c r="K32" s="1">
        <v>6.5872999999999996E-6</v>
      </c>
      <c r="L32" s="1">
        <v>5.4960100000000003E-6</v>
      </c>
      <c r="M32" s="1">
        <v>5.4343699999999996E-6</v>
      </c>
      <c r="N32" s="1">
        <v>5.0230500000000001E-6</v>
      </c>
      <c r="O32" s="1">
        <v>4.69373E-6</v>
      </c>
      <c r="P32" s="1">
        <v>4.3541499999999996E-6</v>
      </c>
      <c r="Q32" s="1">
        <v>3.9546000000000002E-6</v>
      </c>
      <c r="R32" s="1">
        <v>3.6001699999999999E-6</v>
      </c>
      <c r="S32" s="1">
        <v>3.27962E-6</v>
      </c>
      <c r="T32" s="1">
        <v>2.98315E-6</v>
      </c>
      <c r="U32" s="1">
        <v>2.7029500000000001E-6</v>
      </c>
      <c r="V32" s="1">
        <v>2.4922399999999999E-6</v>
      </c>
      <c r="W32" s="1">
        <v>2.3151300000000001E-6</v>
      </c>
      <c r="X32" s="1">
        <v>2.1511099999999999E-6</v>
      </c>
      <c r="Y32" s="1">
        <v>1.99919E-6</v>
      </c>
      <c r="Z32" s="1">
        <v>1.85842E-6</v>
      </c>
      <c r="AA32" s="1">
        <v>1.72783E-6</v>
      </c>
      <c r="AB32" s="1">
        <v>1.6039400000000001E-6</v>
      </c>
      <c r="AC32" s="1">
        <v>1.4892099999999999E-6</v>
      </c>
      <c r="AD32" s="1">
        <v>1.38295E-6</v>
      </c>
      <c r="AE32" s="1">
        <v>1.2844299999999999E-6</v>
      </c>
      <c r="AF32" s="1">
        <v>1.19306E-6</v>
      </c>
      <c r="AG32" s="1">
        <v>1.1124999999999999E-6</v>
      </c>
      <c r="AH32" s="1">
        <v>1.0375499999999999E-6</v>
      </c>
      <c r="AI32" s="1">
        <v>9.6780299999999995E-7</v>
      </c>
      <c r="AJ32" s="1">
        <v>9.0290099999999999E-7</v>
      </c>
      <c r="AK32" s="1">
        <v>8.4249100000000005E-7</v>
      </c>
      <c r="AL32" s="1">
        <v>7.86258E-7</v>
      </c>
      <c r="AM32" s="1">
        <v>7.3390399999999998E-7</v>
      </c>
      <c r="AN32" s="1">
        <v>6.8515400000000002E-7</v>
      </c>
      <c r="AO32" s="1">
        <v>6.3975200000000005E-7</v>
      </c>
      <c r="AP32" s="1">
        <v>5.9746399999999996E-7</v>
      </c>
    </row>
    <row r="33" spans="1:42" x14ac:dyDescent="0.3">
      <c r="A33" t="s">
        <v>32</v>
      </c>
      <c r="B33">
        <v>0</v>
      </c>
      <c r="C33">
        <v>2.84694E-4</v>
      </c>
      <c r="D33">
        <v>2.5399100000000001E-4</v>
      </c>
      <c r="E33">
        <v>2.3862699999999999E-4</v>
      </c>
      <c r="F33">
        <v>2.1491899999999999E-4</v>
      </c>
      <c r="G33">
        <v>2.09027E-4</v>
      </c>
      <c r="H33">
        <v>1.9807000000000001E-4</v>
      </c>
      <c r="I33">
        <v>1.7904600000000001E-4</v>
      </c>
      <c r="J33">
        <v>1.6356500000000001E-4</v>
      </c>
      <c r="K33">
        <v>1.52702E-4</v>
      </c>
      <c r="L33">
        <v>1.4543600000000001E-4</v>
      </c>
      <c r="M33">
        <v>1.49538E-4</v>
      </c>
      <c r="N33">
        <v>1.3890699999999999E-4</v>
      </c>
      <c r="O33">
        <v>1.2842499999999999E-4</v>
      </c>
      <c r="P33">
        <v>1.2526200000000001E-4</v>
      </c>
      <c r="Q33">
        <v>1.19602E-4</v>
      </c>
      <c r="R33">
        <v>1.14435E-4</v>
      </c>
      <c r="S33">
        <v>1.09514E-4</v>
      </c>
      <c r="T33">
        <v>1.0447599999999999E-4</v>
      </c>
      <c r="U33" s="1">
        <v>9.9253000000000007E-5</v>
      </c>
      <c r="V33" s="1">
        <v>9.5922999999999996E-5</v>
      </c>
      <c r="W33" s="1">
        <v>9.3858900000000004E-5</v>
      </c>
      <c r="X33" s="1">
        <v>9.1856799999999998E-5</v>
      </c>
      <c r="Y33" s="1">
        <v>8.9912699999999997E-5</v>
      </c>
      <c r="Z33" s="1">
        <v>8.8024300000000004E-5</v>
      </c>
      <c r="AA33" s="1">
        <v>8.6229499999999998E-5</v>
      </c>
      <c r="AB33" s="1">
        <v>8.4766399999999995E-5</v>
      </c>
      <c r="AC33" s="1">
        <v>8.3338199999999994E-5</v>
      </c>
      <c r="AD33" s="1">
        <v>8.1943700000000006E-5</v>
      </c>
      <c r="AE33" s="1">
        <v>8.0580499999999999E-5</v>
      </c>
      <c r="AF33" s="1">
        <v>7.9257899999999999E-5</v>
      </c>
      <c r="AG33" s="1">
        <v>7.7899399999999995E-5</v>
      </c>
      <c r="AH33" s="1">
        <v>7.6570999999999996E-5</v>
      </c>
      <c r="AI33" s="1">
        <v>7.5273799999999997E-5</v>
      </c>
      <c r="AJ33" s="1">
        <v>7.4007500000000006E-5</v>
      </c>
      <c r="AK33" s="1">
        <v>7.2764700000000005E-5</v>
      </c>
      <c r="AL33" s="1">
        <v>7.1475099999999996E-5</v>
      </c>
      <c r="AM33" s="1">
        <v>7.0216700000000001E-5</v>
      </c>
      <c r="AN33" s="1">
        <v>6.8988599999999999E-5</v>
      </c>
      <c r="AO33" s="1">
        <v>6.779E-5</v>
      </c>
      <c r="AP33" s="1">
        <v>6.6610099999999994E-5</v>
      </c>
    </row>
    <row r="34" spans="1:42" x14ac:dyDescent="0.3">
      <c r="A34" t="s">
        <v>33</v>
      </c>
      <c r="B34">
        <v>0</v>
      </c>
      <c r="C34">
        <v>6.9433189999999999E-3</v>
      </c>
      <c r="D34">
        <v>6.482359E-3</v>
      </c>
      <c r="E34">
        <v>6.3961560000000001E-3</v>
      </c>
      <c r="F34">
        <v>6.2572269999999998E-3</v>
      </c>
      <c r="G34">
        <v>6.6189309999999998E-3</v>
      </c>
      <c r="H34">
        <v>6.335973E-3</v>
      </c>
      <c r="I34">
        <v>6.3897290000000002E-3</v>
      </c>
      <c r="J34">
        <v>6.5603370000000003E-3</v>
      </c>
      <c r="K34">
        <v>6.0348010000000002E-3</v>
      </c>
      <c r="L34">
        <v>5.6759180000000003E-3</v>
      </c>
      <c r="M34">
        <v>5.6260030000000001E-3</v>
      </c>
      <c r="N34">
        <v>5.4964389999999997E-3</v>
      </c>
      <c r="O34">
        <v>5.4168480000000001E-3</v>
      </c>
      <c r="P34">
        <v>5.0600080000000004E-3</v>
      </c>
      <c r="Q34">
        <v>4.6304989999999997E-3</v>
      </c>
      <c r="R34">
        <v>4.2455720000000004E-3</v>
      </c>
      <c r="S34">
        <v>3.893381E-3</v>
      </c>
      <c r="T34">
        <v>3.564078E-3</v>
      </c>
      <c r="U34">
        <v>3.2496880000000001E-3</v>
      </c>
      <c r="V34">
        <v>3.0149679999999998E-3</v>
      </c>
      <c r="W34">
        <v>2.8182609999999999E-3</v>
      </c>
      <c r="X34">
        <v>2.6347570000000002E-3</v>
      </c>
      <c r="Y34">
        <v>2.4636049999999998E-3</v>
      </c>
      <c r="Z34">
        <v>2.303963E-3</v>
      </c>
      <c r="AA34">
        <v>2.1548779999999998E-3</v>
      </c>
      <c r="AB34">
        <v>2.0122709999999999E-3</v>
      </c>
      <c r="AC34">
        <v>1.879407E-3</v>
      </c>
      <c r="AD34">
        <v>1.7556150000000001E-3</v>
      </c>
      <c r="AE34">
        <v>1.6402599999999999E-3</v>
      </c>
      <c r="AF34">
        <v>1.5326719999999999E-3</v>
      </c>
      <c r="AG34">
        <v>1.4375410000000001E-3</v>
      </c>
      <c r="AH34">
        <v>1.3485280000000001E-3</v>
      </c>
      <c r="AI34">
        <v>1.2652539999999999E-3</v>
      </c>
      <c r="AJ34">
        <v>1.187324E-3</v>
      </c>
      <c r="AK34">
        <v>1.1143819999999999E-3</v>
      </c>
      <c r="AL34">
        <v>1.0461050000000001E-3</v>
      </c>
      <c r="AM34">
        <v>9.82185E-4</v>
      </c>
      <c r="AN34">
        <v>9.2233199999999999E-4</v>
      </c>
      <c r="AO34">
        <v>8.6628200000000001E-4</v>
      </c>
      <c r="AP34">
        <v>8.1379E-4</v>
      </c>
    </row>
    <row r="35" spans="1:42" x14ac:dyDescent="0.3">
      <c r="A35" t="s">
        <v>34</v>
      </c>
      <c r="B35">
        <v>0</v>
      </c>
      <c r="C35">
        <v>1.2242700000000001E-4</v>
      </c>
      <c r="D35">
        <v>1.1084800000000001E-4</v>
      </c>
      <c r="E35" s="1">
        <v>9.6393799999999999E-5</v>
      </c>
      <c r="F35" s="1">
        <v>8.7205499999999997E-5</v>
      </c>
      <c r="G35" s="1">
        <v>8.0942399999999999E-5</v>
      </c>
      <c r="H35" s="1">
        <v>7.4213400000000003E-5</v>
      </c>
      <c r="I35" s="1">
        <v>6.5522800000000002E-5</v>
      </c>
      <c r="J35" s="1">
        <v>5.7744999999999997E-5</v>
      </c>
      <c r="K35" s="1">
        <v>5.32251E-5</v>
      </c>
      <c r="L35" s="1">
        <v>5.1269700000000001E-5</v>
      </c>
      <c r="M35" s="1">
        <v>5.0313599999999999E-5</v>
      </c>
      <c r="N35" s="1">
        <v>4.54501E-5</v>
      </c>
      <c r="O35" s="1">
        <v>4.1579699999999998E-5</v>
      </c>
      <c r="P35" s="1">
        <v>4.1885899999999998E-5</v>
      </c>
      <c r="Q35" s="1">
        <v>4.1285200000000002E-5</v>
      </c>
      <c r="R35" s="1">
        <v>4.0776699999999999E-5</v>
      </c>
      <c r="S35" s="1">
        <v>4.0266599999999998E-5</v>
      </c>
      <c r="T35" s="1">
        <v>3.9665400000000001E-5</v>
      </c>
      <c r="U35" s="1">
        <v>3.8906099999999997E-5</v>
      </c>
      <c r="V35" s="1">
        <v>3.8776399999999997E-5</v>
      </c>
      <c r="W35" s="1">
        <v>3.8807100000000003E-5</v>
      </c>
      <c r="X35" s="1">
        <v>3.8876199999999999E-5</v>
      </c>
      <c r="Y35" s="1">
        <v>3.8902500000000002E-5</v>
      </c>
      <c r="Z35" s="1">
        <v>3.8866099999999997E-5</v>
      </c>
      <c r="AA35" s="1">
        <v>3.8858400000000001E-5</v>
      </c>
      <c r="AB35" s="1">
        <v>3.8762900000000001E-5</v>
      </c>
      <c r="AC35" s="1">
        <v>3.8643200000000003E-5</v>
      </c>
      <c r="AD35" s="1">
        <v>3.8482799999999997E-5</v>
      </c>
      <c r="AE35" s="1">
        <v>3.82958E-5</v>
      </c>
      <c r="AF35" s="1">
        <v>3.8084299999999997E-5</v>
      </c>
      <c r="AG35" s="1">
        <v>3.79989E-5</v>
      </c>
      <c r="AH35" s="1">
        <v>3.7870300000000002E-5</v>
      </c>
      <c r="AI35" s="1">
        <v>3.7722100000000003E-5</v>
      </c>
      <c r="AJ35" s="1">
        <v>3.7555799999999997E-5</v>
      </c>
      <c r="AK35" s="1">
        <v>3.7373100000000003E-5</v>
      </c>
      <c r="AL35" s="1">
        <v>3.7175499999999997E-5</v>
      </c>
      <c r="AM35" s="1">
        <v>3.6964100000000001E-5</v>
      </c>
      <c r="AN35" s="1">
        <v>3.6739899999999997E-5</v>
      </c>
      <c r="AO35" s="1">
        <v>3.6503900000000001E-5</v>
      </c>
      <c r="AP35" s="1">
        <v>3.6257000000000002E-5</v>
      </c>
    </row>
    <row r="36" spans="1:42" x14ac:dyDescent="0.3">
      <c r="A36" t="s">
        <v>35</v>
      </c>
      <c r="B36">
        <v>0</v>
      </c>
      <c r="C36">
        <v>9.0752371999999998E-2</v>
      </c>
      <c r="D36">
        <v>8.8228932999999996E-2</v>
      </c>
      <c r="E36">
        <v>8.5776900000000003E-2</v>
      </c>
      <c r="F36">
        <v>8.3395130999999997E-2</v>
      </c>
      <c r="G36">
        <v>8.1082283000000005E-2</v>
      </c>
      <c r="H36">
        <v>7.9276941000000004E-2</v>
      </c>
      <c r="I36">
        <v>7.7495390999999997E-2</v>
      </c>
      <c r="J36">
        <v>7.5738737E-2</v>
      </c>
      <c r="K36">
        <v>6.8926715999999999E-2</v>
      </c>
      <c r="L36">
        <v>6.6807933999999999E-2</v>
      </c>
      <c r="M36">
        <v>6.8437862000000002E-2</v>
      </c>
      <c r="N36">
        <v>6.7204824999999996E-2</v>
      </c>
      <c r="O36">
        <v>6.7353971999999998E-2</v>
      </c>
      <c r="P36">
        <v>6.6231820999999996E-2</v>
      </c>
      <c r="Q36">
        <v>6.3891842000000004E-2</v>
      </c>
      <c r="R36">
        <v>6.1807570999999999E-2</v>
      </c>
      <c r="S36">
        <v>5.9805286999999999E-2</v>
      </c>
      <c r="T36">
        <v>5.7792850999999999E-2</v>
      </c>
      <c r="U36">
        <v>5.5628377E-2</v>
      </c>
      <c r="V36">
        <v>5.4487918000000003E-2</v>
      </c>
      <c r="W36">
        <v>5.3770484E-2</v>
      </c>
      <c r="X36">
        <v>5.3070762E-2</v>
      </c>
      <c r="Y36">
        <v>5.2388872000000003E-2</v>
      </c>
      <c r="Z36">
        <v>5.1724394E-2</v>
      </c>
      <c r="AA36">
        <v>5.1072715999999997E-2</v>
      </c>
      <c r="AB36">
        <v>5.0346135E-2</v>
      </c>
      <c r="AC36">
        <v>4.9636413999999997E-2</v>
      </c>
      <c r="AD36">
        <v>4.8943273000000002E-2</v>
      </c>
      <c r="AE36">
        <v>4.8266090999999997E-2</v>
      </c>
      <c r="AF36">
        <v>4.7601854999999998E-2</v>
      </c>
      <c r="AG36">
        <v>4.7007817E-2</v>
      </c>
      <c r="AH36">
        <v>4.6425796999999998E-2</v>
      </c>
      <c r="AI36">
        <v>4.585554E-2</v>
      </c>
      <c r="AJ36">
        <v>4.5296810999999999E-2</v>
      </c>
      <c r="AK36">
        <v>4.4749262999999997E-2</v>
      </c>
      <c r="AL36">
        <v>4.4212885E-2</v>
      </c>
      <c r="AM36">
        <v>4.3687426000000001E-2</v>
      </c>
      <c r="AN36">
        <v>4.3172671000000003E-2</v>
      </c>
      <c r="AO36">
        <v>4.2668432999999999E-2</v>
      </c>
      <c r="AP36">
        <v>4.2174746999999999E-2</v>
      </c>
    </row>
    <row r="37" spans="1:42" x14ac:dyDescent="0.3">
      <c r="A37" t="s">
        <v>36</v>
      </c>
      <c r="B37">
        <v>0</v>
      </c>
      <c r="C37">
        <v>2.7274168000000001E-2</v>
      </c>
      <c r="D37">
        <v>2.5882019999999999E-2</v>
      </c>
      <c r="E37">
        <v>2.4561286000000002E-2</v>
      </c>
      <c r="F37">
        <v>2.3308539E-2</v>
      </c>
      <c r="G37">
        <v>2.2120449E-2</v>
      </c>
      <c r="H37">
        <v>2.1110983E-2</v>
      </c>
      <c r="I37">
        <v>2.0143320999999999E-2</v>
      </c>
      <c r="J37">
        <v>1.9216171000000001E-2</v>
      </c>
      <c r="K37">
        <v>1.6829324999999999E-2</v>
      </c>
      <c r="L37">
        <v>1.6429002000000002E-2</v>
      </c>
      <c r="M37">
        <v>1.6170680999999999E-2</v>
      </c>
      <c r="N37">
        <v>1.5982641999999998E-2</v>
      </c>
      <c r="O37">
        <v>1.5141889E-2</v>
      </c>
      <c r="P37">
        <v>1.4835914E-2</v>
      </c>
      <c r="Q37">
        <v>1.4195727E-2</v>
      </c>
      <c r="R37">
        <v>1.3557245000000001E-2</v>
      </c>
      <c r="S37">
        <v>1.2943575000000001E-2</v>
      </c>
      <c r="T37">
        <v>1.2370483E-2</v>
      </c>
      <c r="U37">
        <v>1.1770595999999999E-2</v>
      </c>
      <c r="V37">
        <v>1.1369644999999999E-2</v>
      </c>
      <c r="W37">
        <v>1.1105923E-2</v>
      </c>
      <c r="X37">
        <v>1.0846634000000001E-2</v>
      </c>
      <c r="Y37">
        <v>1.0592709E-2</v>
      </c>
      <c r="Z37">
        <v>1.034407E-2</v>
      </c>
      <c r="AA37">
        <v>1.0099812E-2</v>
      </c>
      <c r="AB37">
        <v>9.847738E-3</v>
      </c>
      <c r="AC37">
        <v>9.6011359999999997E-3</v>
      </c>
      <c r="AD37">
        <v>9.3599500000000006E-3</v>
      </c>
      <c r="AE37">
        <v>9.1240590000000003E-3</v>
      </c>
      <c r="AF37">
        <v>8.8928960000000008E-3</v>
      </c>
      <c r="AG37">
        <v>8.7182660000000006E-3</v>
      </c>
      <c r="AH37">
        <v>8.5472169999999993E-3</v>
      </c>
      <c r="AI37">
        <v>8.3796909999999999E-3</v>
      </c>
      <c r="AJ37">
        <v>8.2156320000000005E-3</v>
      </c>
      <c r="AK37">
        <v>8.0549630000000001E-3</v>
      </c>
      <c r="AL37">
        <v>7.897668E-3</v>
      </c>
      <c r="AM37">
        <v>7.7436880000000003E-3</v>
      </c>
      <c r="AN37">
        <v>7.5929680000000003E-3</v>
      </c>
      <c r="AO37">
        <v>7.4454580000000003E-3</v>
      </c>
      <c r="AP37">
        <v>7.301147E-3</v>
      </c>
    </row>
    <row r="38" spans="1:42" x14ac:dyDescent="0.3">
      <c r="A38" t="s">
        <v>37</v>
      </c>
      <c r="B38">
        <v>0</v>
      </c>
      <c r="C38">
        <v>1.0567145999999999E-2</v>
      </c>
      <c r="D38">
        <v>1.0180900999999999E-2</v>
      </c>
      <c r="E38">
        <v>9.8089160000000009E-3</v>
      </c>
      <c r="F38">
        <v>9.4507629999999992E-3</v>
      </c>
      <c r="G38">
        <v>9.105999E-3</v>
      </c>
      <c r="H38">
        <v>8.8231569999999999E-3</v>
      </c>
      <c r="I38">
        <v>8.5472910000000003E-3</v>
      </c>
      <c r="J38">
        <v>8.2783949999999992E-3</v>
      </c>
      <c r="K38">
        <v>7.4013270000000001E-3</v>
      </c>
      <c r="L38">
        <v>6.8120250000000002E-3</v>
      </c>
      <c r="M38">
        <v>6.9991029999999996E-3</v>
      </c>
      <c r="N38">
        <v>7.1703280000000001E-3</v>
      </c>
      <c r="O38">
        <v>7.0366949999999999E-3</v>
      </c>
      <c r="P38">
        <v>6.8950180000000002E-3</v>
      </c>
      <c r="Q38">
        <v>6.6247390000000001E-3</v>
      </c>
      <c r="R38">
        <v>6.3704709999999999E-3</v>
      </c>
      <c r="S38">
        <v>6.1265110000000003E-3</v>
      </c>
      <c r="T38">
        <v>5.8861670000000003E-3</v>
      </c>
      <c r="U38">
        <v>5.6327149999999999E-3</v>
      </c>
      <c r="V38">
        <v>5.4847630000000001E-3</v>
      </c>
      <c r="W38">
        <v>5.3794519999999998E-3</v>
      </c>
      <c r="X38">
        <v>5.2830009999999998E-3</v>
      </c>
      <c r="Y38">
        <v>5.1913300000000001E-3</v>
      </c>
      <c r="Z38">
        <v>5.1022990000000002E-3</v>
      </c>
      <c r="AA38">
        <v>5.015416E-3</v>
      </c>
      <c r="AB38">
        <v>4.9230599999999999E-3</v>
      </c>
      <c r="AC38">
        <v>4.8332430000000001E-3</v>
      </c>
      <c r="AD38">
        <v>4.7459010000000003E-3</v>
      </c>
      <c r="AE38">
        <v>4.6609370000000004E-3</v>
      </c>
      <c r="AF38">
        <v>4.5780259999999998E-3</v>
      </c>
      <c r="AG38">
        <v>4.5032520000000001E-3</v>
      </c>
      <c r="AH38">
        <v>4.4302710000000004E-3</v>
      </c>
      <c r="AI38">
        <v>4.3590360000000002E-3</v>
      </c>
      <c r="AJ38">
        <v>4.2895030000000001E-3</v>
      </c>
      <c r="AK38">
        <v>4.2216190000000002E-3</v>
      </c>
      <c r="AL38">
        <v>4.1553639999999999E-3</v>
      </c>
      <c r="AM38">
        <v>4.0906930000000003E-3</v>
      </c>
      <c r="AN38">
        <v>4.0275670000000001E-3</v>
      </c>
      <c r="AO38">
        <v>3.9659509999999997E-3</v>
      </c>
      <c r="AP38">
        <v>3.9058299999999999E-3</v>
      </c>
    </row>
    <row r="39" spans="1:42" x14ac:dyDescent="0.3">
      <c r="A39" t="s">
        <v>38</v>
      </c>
      <c r="B39">
        <v>0</v>
      </c>
      <c r="C39">
        <v>1.5334420000000001E-3</v>
      </c>
      <c r="D39">
        <v>1.5050490000000001E-3</v>
      </c>
      <c r="E39">
        <v>1.4609460000000001E-3</v>
      </c>
      <c r="F39">
        <v>1.4244279999999999E-3</v>
      </c>
      <c r="G39">
        <v>1.3983890000000001E-3</v>
      </c>
      <c r="H39">
        <v>1.375668E-3</v>
      </c>
      <c r="I39">
        <v>1.359961E-3</v>
      </c>
      <c r="J39">
        <v>1.3381910000000001E-3</v>
      </c>
      <c r="K39">
        <v>1.251397E-3</v>
      </c>
      <c r="L39">
        <v>1.234691E-3</v>
      </c>
      <c r="M39">
        <v>1.2569910000000001E-3</v>
      </c>
      <c r="N39">
        <v>1.2712349999999999E-3</v>
      </c>
      <c r="O39">
        <v>1.2548469999999999E-3</v>
      </c>
      <c r="P39">
        <v>1.2460209999999999E-3</v>
      </c>
      <c r="Q39">
        <v>1.2115369999999999E-3</v>
      </c>
      <c r="R39">
        <v>1.1812190000000001E-3</v>
      </c>
      <c r="S39">
        <v>1.152145E-3</v>
      </c>
      <c r="T39">
        <v>1.1246170000000001E-3</v>
      </c>
      <c r="U39">
        <v>1.0928730000000001E-3</v>
      </c>
      <c r="V39">
        <v>1.0793619999999999E-3</v>
      </c>
      <c r="W39">
        <v>1.0727239999999999E-3</v>
      </c>
      <c r="X39">
        <v>1.0660859999999999E-3</v>
      </c>
      <c r="Y39">
        <v>1.0595089999999999E-3</v>
      </c>
      <c r="Z39">
        <v>1.053039E-3</v>
      </c>
      <c r="AA39">
        <v>1.0466010000000001E-3</v>
      </c>
      <c r="AB39">
        <v>1.038502E-3</v>
      </c>
      <c r="AC39">
        <v>1.0305259999999999E-3</v>
      </c>
      <c r="AD39">
        <v>1.022668E-3</v>
      </c>
      <c r="AE39">
        <v>1.01494E-3</v>
      </c>
      <c r="AF39">
        <v>1.007289E-3</v>
      </c>
      <c r="AG39">
        <v>9.9614400000000002E-4</v>
      </c>
      <c r="AH39">
        <v>9.8519899999999997E-4</v>
      </c>
      <c r="AI39">
        <v>9.7445400000000003E-4</v>
      </c>
      <c r="AJ39">
        <v>9.6390899999999999E-4</v>
      </c>
      <c r="AK39">
        <v>9.5356E-4</v>
      </c>
      <c r="AL39">
        <v>9.4341100000000001E-4</v>
      </c>
      <c r="AM39">
        <v>9.3346E-4</v>
      </c>
      <c r="AN39">
        <v>9.2370400000000002E-4</v>
      </c>
      <c r="AO39">
        <v>9.1414299999999997E-4</v>
      </c>
      <c r="AP39">
        <v>9.0477999999999999E-4</v>
      </c>
    </row>
    <row r="40" spans="1:42" x14ac:dyDescent="0.3">
      <c r="A40" t="s">
        <v>39</v>
      </c>
      <c r="B40">
        <v>0</v>
      </c>
      <c r="C40">
        <v>2.5757200000000002E-4</v>
      </c>
      <c r="D40">
        <v>2.5949300000000002E-4</v>
      </c>
      <c r="E40">
        <v>2.7754100000000002E-4</v>
      </c>
      <c r="F40">
        <v>2.8843400000000001E-4</v>
      </c>
      <c r="G40">
        <v>2.8928200000000003E-4</v>
      </c>
      <c r="H40">
        <v>2.9653399999999999E-4</v>
      </c>
      <c r="I40">
        <v>2.9656399999999997E-4</v>
      </c>
      <c r="J40">
        <v>3.0247599999999998E-4</v>
      </c>
      <c r="K40">
        <v>2.8847600000000002E-4</v>
      </c>
      <c r="L40">
        <v>2.8799700000000001E-4</v>
      </c>
      <c r="M40">
        <v>2.9618E-4</v>
      </c>
      <c r="N40">
        <v>3.02739E-4</v>
      </c>
      <c r="O40">
        <v>3.0458500000000001E-4</v>
      </c>
      <c r="P40">
        <v>3.0340500000000003E-4</v>
      </c>
      <c r="Q40">
        <v>2.9600699999999999E-4</v>
      </c>
      <c r="R40">
        <v>2.8987300000000001E-4</v>
      </c>
      <c r="S40">
        <v>2.8384800000000001E-4</v>
      </c>
      <c r="T40">
        <v>2.7948300000000002E-4</v>
      </c>
      <c r="U40">
        <v>2.7361200000000001E-4</v>
      </c>
      <c r="V40">
        <v>2.7145499999999998E-4</v>
      </c>
      <c r="W40">
        <v>2.7020700000000001E-4</v>
      </c>
      <c r="X40">
        <v>2.6880900000000001E-4</v>
      </c>
      <c r="Y40">
        <v>2.6729500000000002E-4</v>
      </c>
      <c r="Z40">
        <v>2.6571400000000001E-4</v>
      </c>
      <c r="AA40">
        <v>2.6405800000000001E-4</v>
      </c>
      <c r="AB40">
        <v>2.6193899999999999E-4</v>
      </c>
      <c r="AC40">
        <v>2.5978600000000002E-4</v>
      </c>
      <c r="AD40">
        <v>2.57602E-4</v>
      </c>
      <c r="AE40">
        <v>2.5540200000000001E-4</v>
      </c>
      <c r="AF40">
        <v>2.5317900000000002E-4</v>
      </c>
      <c r="AG40">
        <v>2.5075400000000001E-4</v>
      </c>
      <c r="AH40">
        <v>2.4834199999999997E-4</v>
      </c>
      <c r="AI40">
        <v>2.4594800000000001E-4</v>
      </c>
      <c r="AJ40">
        <v>2.4357400000000001E-4</v>
      </c>
      <c r="AK40">
        <v>2.4122299999999999E-4</v>
      </c>
      <c r="AL40">
        <v>2.38898E-4</v>
      </c>
      <c r="AM40">
        <v>2.3660099999999999E-4</v>
      </c>
      <c r="AN40">
        <v>2.3433300000000001E-4</v>
      </c>
      <c r="AO40">
        <v>2.3209700000000001E-4</v>
      </c>
      <c r="AP40">
        <v>2.29893E-4</v>
      </c>
    </row>
    <row r="41" spans="1:42" x14ac:dyDescent="0.3">
      <c r="A41" t="s">
        <v>40</v>
      </c>
      <c r="B41">
        <v>0</v>
      </c>
      <c r="C41">
        <v>3.7047708999999998E-2</v>
      </c>
      <c r="D41">
        <v>3.5307116E-2</v>
      </c>
      <c r="E41">
        <v>3.3648786999999999E-2</v>
      </c>
      <c r="F41">
        <v>3.2069161999999998E-2</v>
      </c>
      <c r="G41">
        <v>3.0564741999999999E-2</v>
      </c>
      <c r="H41">
        <v>2.9294730000000001E-2</v>
      </c>
      <c r="I41">
        <v>2.8071546999999999E-2</v>
      </c>
      <c r="J41">
        <v>2.6894061E-2</v>
      </c>
      <c r="K41">
        <v>2.5224118E-2</v>
      </c>
      <c r="L41">
        <v>2.3261061999999999E-2</v>
      </c>
      <c r="M41">
        <v>2.4447711E-2</v>
      </c>
      <c r="N41">
        <v>2.4843535999999999E-2</v>
      </c>
      <c r="O41">
        <v>2.1649147000000001E-2</v>
      </c>
      <c r="P41">
        <v>2.1250327999999999E-2</v>
      </c>
      <c r="Q41">
        <v>2.0451206999999999E-2</v>
      </c>
      <c r="R41">
        <v>1.9726367000000002E-2</v>
      </c>
      <c r="S41">
        <v>1.9036581E-2</v>
      </c>
      <c r="T41">
        <v>1.8316973E-2</v>
      </c>
      <c r="U41">
        <v>1.7554805E-2</v>
      </c>
      <c r="V41">
        <v>1.7144889999999999E-2</v>
      </c>
      <c r="W41">
        <v>1.6887243E-2</v>
      </c>
      <c r="X41">
        <v>1.6634181000000001E-2</v>
      </c>
      <c r="Y41">
        <v>1.6387577E-2</v>
      </c>
      <c r="Z41">
        <v>1.6147292000000001E-2</v>
      </c>
      <c r="AA41">
        <v>1.5911879E-2</v>
      </c>
      <c r="AB41">
        <v>1.5654510999999999E-2</v>
      </c>
      <c r="AC41">
        <v>1.5403526000000001E-2</v>
      </c>
      <c r="AD41">
        <v>1.5158810999999999E-2</v>
      </c>
      <c r="AE41">
        <v>1.4920152000000001E-2</v>
      </c>
      <c r="AF41">
        <v>1.4686596E-2</v>
      </c>
      <c r="AG41">
        <v>1.4489172E-2</v>
      </c>
      <c r="AH41">
        <v>1.4296247999999999E-2</v>
      </c>
      <c r="AI41">
        <v>1.4107735999999999E-2</v>
      </c>
      <c r="AJ41">
        <v>1.3923557E-2</v>
      </c>
      <c r="AK41">
        <v>1.3743596E-2</v>
      </c>
      <c r="AL41">
        <v>1.3567841000000001E-2</v>
      </c>
      <c r="AM41">
        <v>1.3396207E-2</v>
      </c>
      <c r="AN41">
        <v>1.3228619E-2</v>
      </c>
      <c r="AO41">
        <v>1.306501E-2</v>
      </c>
      <c r="AP41">
        <v>1.2905382999999999E-2</v>
      </c>
    </row>
    <row r="42" spans="1:42" x14ac:dyDescent="0.3">
      <c r="A42" t="s">
        <v>41</v>
      </c>
      <c r="B42">
        <v>0</v>
      </c>
      <c r="C42">
        <v>5.9141700000000001E-4</v>
      </c>
      <c r="D42">
        <v>5.42217E-4</v>
      </c>
      <c r="E42">
        <v>5.1078600000000005E-4</v>
      </c>
      <c r="F42">
        <v>5.2943E-4</v>
      </c>
      <c r="G42">
        <v>5.0689699999999997E-4</v>
      </c>
      <c r="H42">
        <v>5.6905200000000001E-4</v>
      </c>
      <c r="I42">
        <v>5.5784400000000005E-4</v>
      </c>
      <c r="J42">
        <v>5.3002500000000005E-4</v>
      </c>
      <c r="K42">
        <v>4.8483400000000001E-4</v>
      </c>
      <c r="L42">
        <v>5.0221100000000002E-4</v>
      </c>
      <c r="M42">
        <v>5.0719899999999995E-4</v>
      </c>
      <c r="N42">
        <v>4.9549900000000005E-4</v>
      </c>
      <c r="O42">
        <v>4.7352100000000002E-4</v>
      </c>
      <c r="P42">
        <v>4.727E-4</v>
      </c>
      <c r="Q42">
        <v>4.6196600000000002E-4</v>
      </c>
      <c r="R42">
        <v>4.5246700000000002E-4</v>
      </c>
      <c r="S42">
        <v>4.43411E-4</v>
      </c>
      <c r="T42">
        <v>4.3394499999999998E-4</v>
      </c>
      <c r="U42">
        <v>4.2299900000000002E-4</v>
      </c>
      <c r="V42">
        <v>4.1955200000000001E-4</v>
      </c>
      <c r="W42">
        <v>4.1891900000000002E-4</v>
      </c>
      <c r="X42">
        <v>4.1826E-4</v>
      </c>
      <c r="Y42">
        <v>4.1763599999999998E-4</v>
      </c>
      <c r="Z42">
        <v>4.1704200000000001E-4</v>
      </c>
      <c r="AA42">
        <v>4.1644700000000002E-4</v>
      </c>
      <c r="AB42">
        <v>4.1508300000000001E-4</v>
      </c>
      <c r="AC42">
        <v>4.1374899999999999E-4</v>
      </c>
      <c r="AD42">
        <v>4.1244799999999999E-4</v>
      </c>
      <c r="AE42">
        <v>4.1117999999999998E-4</v>
      </c>
      <c r="AF42">
        <v>4.0992399999999999E-4</v>
      </c>
      <c r="AG42">
        <v>4.09629E-4</v>
      </c>
      <c r="AH42">
        <v>4.09326E-4</v>
      </c>
      <c r="AI42">
        <v>4.0901899999999999E-4</v>
      </c>
      <c r="AJ42">
        <v>4.0871100000000002E-4</v>
      </c>
      <c r="AK42">
        <v>4.0840499999999998E-4</v>
      </c>
      <c r="AL42">
        <v>4.0810599999999999E-4</v>
      </c>
      <c r="AM42">
        <v>4.07818E-4</v>
      </c>
      <c r="AN42">
        <v>4.0754300000000001E-4</v>
      </c>
      <c r="AO42">
        <v>4.0728500000000001E-4</v>
      </c>
      <c r="AP42">
        <v>4.0704800000000002E-4</v>
      </c>
    </row>
    <row r="43" spans="1:42" x14ac:dyDescent="0.3">
      <c r="A43" t="s">
        <v>42</v>
      </c>
      <c r="B43">
        <v>0</v>
      </c>
      <c r="C43">
        <v>0.52176210700000003</v>
      </c>
      <c r="D43">
        <v>0.53849563</v>
      </c>
      <c r="E43">
        <v>0.55431339800000001</v>
      </c>
      <c r="F43">
        <v>0.56925849399999995</v>
      </c>
      <c r="G43">
        <v>0.58337214100000001</v>
      </c>
      <c r="H43">
        <v>0.59444226200000005</v>
      </c>
      <c r="I43">
        <v>0.604987842</v>
      </c>
      <c r="J43">
        <v>0.615022454</v>
      </c>
      <c r="K43">
        <v>0.64211357400000002</v>
      </c>
      <c r="L43">
        <v>0.65726498300000002</v>
      </c>
      <c r="M43">
        <v>0.64889469700000002</v>
      </c>
      <c r="N43">
        <v>0.65341470099999999</v>
      </c>
      <c r="O43">
        <v>0.65798390500000004</v>
      </c>
      <c r="P43">
        <v>0.66228975099999998</v>
      </c>
      <c r="Q43">
        <v>0.67291226699999995</v>
      </c>
      <c r="R43">
        <v>0.68265903900000002</v>
      </c>
      <c r="S43">
        <v>0.69242110899999998</v>
      </c>
      <c r="T43">
        <v>0.70100821599999996</v>
      </c>
      <c r="U43">
        <v>0.71061314200000003</v>
      </c>
      <c r="V43">
        <v>0.71641286900000001</v>
      </c>
      <c r="W43">
        <v>0.719196944</v>
      </c>
      <c r="X43">
        <v>0.72195317000000003</v>
      </c>
      <c r="Y43">
        <v>0.72467334299999997</v>
      </c>
      <c r="Z43">
        <v>0.72735563400000003</v>
      </c>
      <c r="AA43">
        <v>0.72993827</v>
      </c>
      <c r="AB43">
        <v>0.73268117700000002</v>
      </c>
      <c r="AC43">
        <v>0.73536845699999998</v>
      </c>
      <c r="AD43">
        <v>0.73799919800000002</v>
      </c>
      <c r="AE43">
        <v>0.74056724399999996</v>
      </c>
      <c r="AF43">
        <v>0.74302862000000003</v>
      </c>
      <c r="AG43">
        <v>0.74478110600000003</v>
      </c>
      <c r="AH43">
        <v>0.74647899500000003</v>
      </c>
      <c r="AI43">
        <v>0.74811928000000005</v>
      </c>
      <c r="AJ43">
        <v>0.74969913600000004</v>
      </c>
      <c r="AK43">
        <v>0.751213676</v>
      </c>
      <c r="AL43">
        <v>0.75266345800000001</v>
      </c>
      <c r="AM43">
        <v>0.75404488199999997</v>
      </c>
      <c r="AN43">
        <v>0.75535485300000005</v>
      </c>
      <c r="AO43">
        <v>0.756590494</v>
      </c>
      <c r="AP43">
        <v>0.757752804</v>
      </c>
    </row>
    <row r="44" spans="1:42" x14ac:dyDescent="0.3">
      <c r="A44" t="s">
        <v>43</v>
      </c>
      <c r="B44">
        <v>0</v>
      </c>
      <c r="C44">
        <v>2.1919966999999999E-2</v>
      </c>
      <c r="D44">
        <v>2.2113277000000001E-2</v>
      </c>
      <c r="E44">
        <v>2.2308614000000001E-2</v>
      </c>
      <c r="F44">
        <v>2.2506248E-2</v>
      </c>
      <c r="G44">
        <v>2.2706413000000002E-2</v>
      </c>
      <c r="H44">
        <v>2.3037195999999999E-2</v>
      </c>
      <c r="I44">
        <v>2.3367850999999999E-2</v>
      </c>
      <c r="J44">
        <v>2.3698515E-2</v>
      </c>
      <c r="K44">
        <v>2.4091565999999998E-2</v>
      </c>
      <c r="L44">
        <v>2.2289347000000001E-2</v>
      </c>
      <c r="M44">
        <v>2.2304727E-2</v>
      </c>
      <c r="N44">
        <v>2.3803934999999998E-2</v>
      </c>
      <c r="O44">
        <v>2.5355203999999999E-2</v>
      </c>
      <c r="P44">
        <v>2.5715701000000001E-2</v>
      </c>
      <c r="Q44">
        <v>2.5715259000000001E-2</v>
      </c>
      <c r="R44">
        <v>2.5701778000000002E-2</v>
      </c>
      <c r="S44">
        <v>2.5598585E-2</v>
      </c>
      <c r="T44">
        <v>2.5641296000000001E-2</v>
      </c>
      <c r="U44">
        <v>2.5553322E-2</v>
      </c>
      <c r="V44">
        <v>2.5333319E-2</v>
      </c>
      <c r="W44">
        <v>2.5222690999999998E-2</v>
      </c>
      <c r="X44">
        <v>2.5108657E-2</v>
      </c>
      <c r="Y44">
        <v>2.4992733999999999E-2</v>
      </c>
      <c r="Z44">
        <v>2.4875164000000002E-2</v>
      </c>
      <c r="AA44">
        <v>2.4754133000000001E-2</v>
      </c>
      <c r="AB44">
        <v>2.4579604000000001E-2</v>
      </c>
      <c r="AC44">
        <v>2.4402896E-2</v>
      </c>
      <c r="AD44">
        <v>2.4224404000000001E-2</v>
      </c>
      <c r="AE44">
        <v>2.4044328E-2</v>
      </c>
      <c r="AF44">
        <v>2.3861642999999998E-2</v>
      </c>
      <c r="AG44">
        <v>2.3673916E-2</v>
      </c>
      <c r="AH44">
        <v>2.3485835E-2</v>
      </c>
      <c r="AI44">
        <v>2.3297427999999998E-2</v>
      </c>
      <c r="AJ44">
        <v>2.3108739E-2</v>
      </c>
      <c r="AK44">
        <v>2.2919760000000001E-2</v>
      </c>
      <c r="AL44">
        <v>2.2730659E-2</v>
      </c>
      <c r="AM44">
        <v>2.2541485999999999E-2</v>
      </c>
      <c r="AN44">
        <v>2.2352317999999999E-2</v>
      </c>
      <c r="AO44">
        <v>2.2163247000000001E-2</v>
      </c>
      <c r="AP44">
        <v>2.1974489E-2</v>
      </c>
    </row>
    <row r="45" spans="1:42" x14ac:dyDescent="0.3">
      <c r="A45" t="s">
        <v>44</v>
      </c>
      <c r="B45">
        <v>0</v>
      </c>
      <c r="C45">
        <v>3.302274E-3</v>
      </c>
      <c r="D45">
        <v>3.4418069999999999E-3</v>
      </c>
      <c r="E45">
        <v>3.398004E-3</v>
      </c>
      <c r="F45">
        <v>3.4091809999999998E-3</v>
      </c>
      <c r="G45">
        <v>3.4907889999999998E-3</v>
      </c>
      <c r="H45">
        <v>3.4405450000000001E-3</v>
      </c>
      <c r="I45">
        <v>3.4783629999999999E-3</v>
      </c>
      <c r="J45">
        <v>3.524737E-3</v>
      </c>
      <c r="K45">
        <v>3.1805589999999999E-3</v>
      </c>
      <c r="L45">
        <v>2.8222870000000001E-3</v>
      </c>
      <c r="M45">
        <v>3.067663E-3</v>
      </c>
      <c r="N45">
        <v>3.5715790000000001E-3</v>
      </c>
      <c r="O45">
        <v>3.5147500000000001E-3</v>
      </c>
      <c r="P45">
        <v>3.4475230000000001E-3</v>
      </c>
      <c r="Q45">
        <v>3.3175980000000002E-3</v>
      </c>
      <c r="R45">
        <v>3.1980509999999999E-3</v>
      </c>
      <c r="S45">
        <v>3.082567E-3</v>
      </c>
      <c r="T45">
        <v>2.9634729999999999E-3</v>
      </c>
      <c r="U45">
        <v>2.8363500000000001E-3</v>
      </c>
      <c r="V45">
        <v>2.7609729999999999E-3</v>
      </c>
      <c r="W45">
        <v>2.7238119999999999E-3</v>
      </c>
      <c r="X45">
        <v>2.6875710000000001E-3</v>
      </c>
      <c r="Y45">
        <v>2.6519960000000002E-3</v>
      </c>
      <c r="Z45">
        <v>2.617075E-3</v>
      </c>
      <c r="AA45">
        <v>2.5825869999999999E-3</v>
      </c>
      <c r="AB45">
        <v>2.547101E-3</v>
      </c>
      <c r="AC45">
        <v>2.5116159999999999E-3</v>
      </c>
      <c r="AD45">
        <v>2.4762389999999999E-3</v>
      </c>
      <c r="AE45">
        <v>2.4410479999999999E-3</v>
      </c>
      <c r="AF45">
        <v>2.4059900000000002E-3</v>
      </c>
      <c r="AG45">
        <v>2.3779859999999999E-3</v>
      </c>
      <c r="AH45">
        <v>2.350132E-3</v>
      </c>
      <c r="AI45">
        <v>2.322499E-3</v>
      </c>
      <c r="AJ45">
        <v>2.2951489999999998E-3</v>
      </c>
      <c r="AK45">
        <v>2.268132E-3</v>
      </c>
      <c r="AL45">
        <v>2.2415059999999999E-3</v>
      </c>
      <c r="AM45">
        <v>2.2153120000000001E-3</v>
      </c>
      <c r="AN45">
        <v>2.1895830000000002E-3</v>
      </c>
      <c r="AO45">
        <v>2.1643500000000002E-3</v>
      </c>
      <c r="AP45">
        <v>2.1396480000000001E-3</v>
      </c>
    </row>
    <row r="46" spans="1:42" x14ac:dyDescent="0.3">
      <c r="A46" t="s">
        <v>45</v>
      </c>
      <c r="B46">
        <v>0</v>
      </c>
      <c r="C46">
        <v>1.3487325999999999E-2</v>
      </c>
      <c r="D46">
        <v>1.3406402E-2</v>
      </c>
      <c r="E46">
        <v>1.3326156E-2</v>
      </c>
      <c r="F46">
        <v>1.3246727E-2</v>
      </c>
      <c r="G46">
        <v>1.3168223999999999E-2</v>
      </c>
      <c r="H46">
        <v>1.3163806E-2</v>
      </c>
      <c r="I46">
        <v>1.3156604000000001E-2</v>
      </c>
      <c r="J46">
        <v>1.3146778E-2</v>
      </c>
      <c r="K46">
        <v>1.2825654000000001E-2</v>
      </c>
      <c r="L46">
        <v>1.2361822E-2</v>
      </c>
      <c r="M46">
        <v>1.3142979000000001E-2</v>
      </c>
      <c r="N46">
        <v>1.2698671E-2</v>
      </c>
      <c r="O46">
        <v>1.3062647E-2</v>
      </c>
      <c r="P46">
        <v>1.2760853000000001E-2</v>
      </c>
      <c r="Q46">
        <v>1.2227829000000001E-2</v>
      </c>
      <c r="R46">
        <v>1.1744091E-2</v>
      </c>
      <c r="S46">
        <v>1.1287557E-2</v>
      </c>
      <c r="T46">
        <v>1.0817554E-2</v>
      </c>
      <c r="U46">
        <v>1.0326037999999999E-2</v>
      </c>
      <c r="V46">
        <v>1.0078541E-2</v>
      </c>
      <c r="W46">
        <v>9.9610359999999995E-3</v>
      </c>
      <c r="X46">
        <v>9.8461399999999998E-3</v>
      </c>
      <c r="Y46">
        <v>9.7334850000000001E-3</v>
      </c>
      <c r="Z46">
        <v>9.6230499999999993E-3</v>
      </c>
      <c r="AA46">
        <v>9.5140309999999992E-3</v>
      </c>
      <c r="AB46">
        <v>9.3764060000000003E-3</v>
      </c>
      <c r="AC46">
        <v>9.241717E-3</v>
      </c>
      <c r="AD46">
        <v>9.1099289999999992E-3</v>
      </c>
      <c r="AE46">
        <v>8.9809460000000001E-3</v>
      </c>
      <c r="AF46">
        <v>8.8542259999999998E-3</v>
      </c>
      <c r="AG46">
        <v>8.7750640000000008E-3</v>
      </c>
      <c r="AH46">
        <v>8.6972500000000001E-3</v>
      </c>
      <c r="AI46">
        <v>8.6207699999999998E-3</v>
      </c>
      <c r="AJ46">
        <v>8.5456119999999993E-3</v>
      </c>
      <c r="AK46">
        <v>8.4717460000000005E-3</v>
      </c>
      <c r="AL46">
        <v>8.3992010000000002E-3</v>
      </c>
      <c r="AM46">
        <v>8.3279630000000007E-3</v>
      </c>
      <c r="AN46">
        <v>8.2580220000000003E-3</v>
      </c>
      <c r="AO46">
        <v>8.1893750000000005E-3</v>
      </c>
      <c r="AP46">
        <v>8.1220609999999999E-3</v>
      </c>
    </row>
    <row r="47" spans="1:42" x14ac:dyDescent="0.3">
      <c r="A47" t="s">
        <v>46</v>
      </c>
      <c r="B47">
        <v>0</v>
      </c>
      <c r="C47">
        <v>6.0551980000000004E-3</v>
      </c>
      <c r="D47">
        <v>5.6999520000000003E-3</v>
      </c>
      <c r="E47">
        <v>5.3656240000000003E-3</v>
      </c>
      <c r="F47">
        <v>5.0510340000000003E-3</v>
      </c>
      <c r="G47">
        <v>4.7550530000000004E-3</v>
      </c>
      <c r="H47">
        <v>4.5015910000000001E-3</v>
      </c>
      <c r="I47">
        <v>4.2607369999999997E-3</v>
      </c>
      <c r="J47">
        <v>4.0319639999999999E-3</v>
      </c>
      <c r="K47">
        <v>3.606284E-3</v>
      </c>
      <c r="L47">
        <v>2.7949339999999998E-3</v>
      </c>
      <c r="M47">
        <v>2.988381E-3</v>
      </c>
      <c r="N47">
        <v>3.206244E-3</v>
      </c>
      <c r="O47">
        <v>3.0514800000000001E-3</v>
      </c>
      <c r="P47">
        <v>2.9973629999999999E-3</v>
      </c>
      <c r="Q47">
        <v>2.8800700000000002E-3</v>
      </c>
      <c r="R47">
        <v>2.773087E-3</v>
      </c>
      <c r="S47">
        <v>2.6745039999999999E-3</v>
      </c>
      <c r="T47">
        <v>2.5829389999999998E-3</v>
      </c>
      <c r="U47">
        <v>2.484843E-3</v>
      </c>
      <c r="V47">
        <v>2.427879E-3</v>
      </c>
      <c r="W47">
        <v>2.3949129999999998E-3</v>
      </c>
      <c r="X47">
        <v>2.3624599999999998E-3</v>
      </c>
      <c r="Y47">
        <v>2.3306289999999999E-3</v>
      </c>
      <c r="Z47">
        <v>2.299419E-3</v>
      </c>
      <c r="AA47">
        <v>2.2686410000000001E-3</v>
      </c>
      <c r="AB47">
        <v>2.2303090000000002E-3</v>
      </c>
      <c r="AC47">
        <v>2.1929549999999999E-3</v>
      </c>
      <c r="AD47">
        <v>2.1565600000000001E-3</v>
      </c>
      <c r="AE47">
        <v>2.121089E-3</v>
      </c>
      <c r="AF47">
        <v>2.086404E-3</v>
      </c>
      <c r="AG47">
        <v>2.0614689999999998E-3</v>
      </c>
      <c r="AH47">
        <v>2.0370259999999999E-3</v>
      </c>
      <c r="AI47">
        <v>2.0130690000000001E-3</v>
      </c>
      <c r="AJ47">
        <v>1.9895910000000002E-3</v>
      </c>
      <c r="AK47">
        <v>1.9665780000000001E-3</v>
      </c>
      <c r="AL47">
        <v>1.9440359999999999E-3</v>
      </c>
      <c r="AM47">
        <v>1.9219549999999999E-3</v>
      </c>
      <c r="AN47">
        <v>1.9003290000000001E-3</v>
      </c>
      <c r="AO47">
        <v>1.879155E-3</v>
      </c>
      <c r="AP47">
        <v>1.858436E-3</v>
      </c>
    </row>
    <row r="48" spans="1:42" x14ac:dyDescent="0.3">
      <c r="A48" t="s">
        <v>47</v>
      </c>
      <c r="B48">
        <v>0</v>
      </c>
      <c r="C48">
        <v>6.2176799999999997E-4</v>
      </c>
      <c r="D48">
        <v>5.9332099999999995E-4</v>
      </c>
      <c r="E48">
        <v>5.92477E-4</v>
      </c>
      <c r="F48">
        <v>6.0691499999999997E-4</v>
      </c>
      <c r="G48">
        <v>5.9635600000000003E-4</v>
      </c>
      <c r="H48">
        <v>6.4184099999999998E-4</v>
      </c>
      <c r="I48">
        <v>6.4129200000000001E-4</v>
      </c>
      <c r="J48">
        <v>6.5870399999999997E-4</v>
      </c>
      <c r="K48">
        <v>6.0782100000000003E-4</v>
      </c>
      <c r="L48">
        <v>5.4452500000000002E-4</v>
      </c>
      <c r="M48">
        <v>6.1855999999999999E-4</v>
      </c>
      <c r="N48">
        <v>7.4996100000000005E-4</v>
      </c>
      <c r="O48">
        <v>7.4598799999999995E-4</v>
      </c>
      <c r="P48">
        <v>7.36179E-4</v>
      </c>
      <c r="Q48">
        <v>7.1248100000000005E-4</v>
      </c>
      <c r="R48">
        <v>6.9110299999999999E-4</v>
      </c>
      <c r="S48">
        <v>6.70639E-4</v>
      </c>
      <c r="T48">
        <v>6.4853299999999997E-4</v>
      </c>
      <c r="U48">
        <v>6.2463099999999995E-4</v>
      </c>
      <c r="V48">
        <v>6.1046600000000005E-4</v>
      </c>
      <c r="W48">
        <v>6.0265799999999995E-4</v>
      </c>
      <c r="X48">
        <v>5.9498999999999999E-4</v>
      </c>
      <c r="Y48">
        <v>5.8746799999999995E-4</v>
      </c>
      <c r="Z48">
        <v>5.8009000000000001E-4</v>
      </c>
      <c r="AA48">
        <v>5.7280999999999999E-4</v>
      </c>
      <c r="AB48">
        <v>5.6410599999999998E-4</v>
      </c>
      <c r="AC48">
        <v>5.5559900000000005E-4</v>
      </c>
      <c r="AD48">
        <v>5.4728600000000002E-4</v>
      </c>
      <c r="AE48">
        <v>5.3916000000000001E-4</v>
      </c>
      <c r="AF48">
        <v>5.3118800000000004E-4</v>
      </c>
      <c r="AG48">
        <v>5.2596499999999998E-4</v>
      </c>
      <c r="AH48">
        <v>5.2083399999999997E-4</v>
      </c>
      <c r="AI48">
        <v>5.1579299999999996E-4</v>
      </c>
      <c r="AJ48">
        <v>5.1084199999999996E-4</v>
      </c>
      <c r="AK48">
        <v>5.0597800000000003E-4</v>
      </c>
      <c r="AL48">
        <v>5.0120399999999999E-4</v>
      </c>
      <c r="AM48">
        <v>4.9651899999999995E-4</v>
      </c>
      <c r="AN48">
        <v>4.9192099999999998E-4</v>
      </c>
      <c r="AO48">
        <v>4.8740900000000001E-4</v>
      </c>
      <c r="AP48">
        <v>4.82988E-4</v>
      </c>
    </row>
    <row r="49" spans="1:42" x14ac:dyDescent="0.3">
      <c r="A49" t="s">
        <v>48</v>
      </c>
      <c r="B49">
        <v>0</v>
      </c>
      <c r="C49">
        <v>1.325519E-3</v>
      </c>
      <c r="D49">
        <v>1.2283089999999999E-3</v>
      </c>
      <c r="E49">
        <v>1.2869439999999999E-3</v>
      </c>
      <c r="F49">
        <v>1.27549E-3</v>
      </c>
      <c r="G49">
        <v>1.2188209999999999E-3</v>
      </c>
      <c r="H49">
        <v>1.2679220000000001E-3</v>
      </c>
      <c r="I49">
        <v>1.274224E-3</v>
      </c>
      <c r="J49">
        <v>1.2532769999999999E-3</v>
      </c>
      <c r="K49">
        <v>1.1392150000000001E-3</v>
      </c>
      <c r="L49">
        <v>1.0409690000000001E-3</v>
      </c>
      <c r="M49">
        <v>1.1895569999999999E-3</v>
      </c>
      <c r="N49">
        <v>1.3914039999999999E-3</v>
      </c>
      <c r="O49">
        <v>1.38017E-3</v>
      </c>
      <c r="P49">
        <v>1.3527960000000001E-3</v>
      </c>
      <c r="Q49">
        <v>1.300652E-3</v>
      </c>
      <c r="R49">
        <v>1.253239E-3</v>
      </c>
      <c r="S49">
        <v>1.2064160000000001E-3</v>
      </c>
      <c r="T49">
        <v>1.164673E-3</v>
      </c>
      <c r="U49">
        <v>1.1199370000000001E-3</v>
      </c>
      <c r="V49">
        <v>1.0910340000000001E-3</v>
      </c>
      <c r="W49">
        <v>1.075548E-3</v>
      </c>
      <c r="X49">
        <v>1.060404E-3</v>
      </c>
      <c r="Y49">
        <v>1.045582E-3</v>
      </c>
      <c r="Z49">
        <v>1.0310790000000001E-3</v>
      </c>
      <c r="AA49">
        <v>1.0168060000000001E-3</v>
      </c>
      <c r="AB49">
        <v>9.9982799999999991E-4</v>
      </c>
      <c r="AC49">
        <v>9.8327700000000007E-4</v>
      </c>
      <c r="AD49">
        <v>9.6714499999999998E-4</v>
      </c>
      <c r="AE49">
        <v>9.5141799999999999E-4</v>
      </c>
      <c r="AF49">
        <v>9.3603299999999996E-4</v>
      </c>
      <c r="AG49">
        <v>9.2512499999999995E-4</v>
      </c>
      <c r="AH49">
        <v>9.1444499999999995E-4</v>
      </c>
      <c r="AI49">
        <v>9.0398900000000001E-4</v>
      </c>
      <c r="AJ49">
        <v>8.9375499999999998E-4</v>
      </c>
      <c r="AK49">
        <v>8.8373599999999998E-4</v>
      </c>
      <c r="AL49">
        <v>8.7393499999999995E-4</v>
      </c>
      <c r="AM49">
        <v>8.6434599999999999E-4</v>
      </c>
      <c r="AN49">
        <v>8.54968E-4</v>
      </c>
      <c r="AO49">
        <v>8.4579800000000004E-4</v>
      </c>
      <c r="AP49">
        <v>8.3683800000000001E-4</v>
      </c>
    </row>
    <row r="50" spans="1:42" x14ac:dyDescent="0.3">
      <c r="A50" t="s">
        <v>49</v>
      </c>
      <c r="B50">
        <v>0</v>
      </c>
      <c r="C50">
        <v>2.0698066000000001E-2</v>
      </c>
      <c r="D50">
        <v>2.0381980000000001E-2</v>
      </c>
      <c r="E50">
        <v>2.0071011E-2</v>
      </c>
      <c r="F50">
        <v>1.9765287999999999E-2</v>
      </c>
      <c r="G50">
        <v>1.9464891000000002E-2</v>
      </c>
      <c r="H50">
        <v>1.9276867E-2</v>
      </c>
      <c r="I50">
        <v>1.9086618999999999E-2</v>
      </c>
      <c r="J50">
        <v>1.8894471999999999E-2</v>
      </c>
      <c r="K50">
        <v>1.8071158E-2</v>
      </c>
      <c r="L50">
        <v>1.8432537999999998E-2</v>
      </c>
      <c r="M50">
        <v>1.8352986000000002E-2</v>
      </c>
      <c r="N50">
        <v>1.8800251E-2</v>
      </c>
      <c r="O50">
        <v>1.7914211999999999E-2</v>
      </c>
      <c r="P50">
        <v>1.7676000000000001E-2</v>
      </c>
      <c r="Q50">
        <v>1.7050236E-2</v>
      </c>
      <c r="R50">
        <v>1.6707138E-2</v>
      </c>
      <c r="S50">
        <v>1.6275782999999999E-2</v>
      </c>
      <c r="T50">
        <v>1.6248275E-2</v>
      </c>
      <c r="U50">
        <v>1.6062020999999999E-2</v>
      </c>
      <c r="V50">
        <v>1.5939096E-2</v>
      </c>
      <c r="W50">
        <v>1.6330714999999999E-2</v>
      </c>
      <c r="X50">
        <v>1.6678352E-2</v>
      </c>
      <c r="Y50">
        <v>1.6991328999999999E-2</v>
      </c>
      <c r="Z50">
        <v>1.7270491999999998E-2</v>
      </c>
      <c r="AA50">
        <v>1.7516266999999999E-2</v>
      </c>
      <c r="AB50">
        <v>1.7689178999999999E-2</v>
      </c>
      <c r="AC50">
        <v>1.7831745E-2</v>
      </c>
      <c r="AD50">
        <v>1.7943455000000001E-2</v>
      </c>
      <c r="AE50">
        <v>1.8028315999999999E-2</v>
      </c>
      <c r="AF50">
        <v>1.8087253000000001E-2</v>
      </c>
      <c r="AG50">
        <v>1.8041004999999999E-2</v>
      </c>
      <c r="AH50">
        <v>1.7978968000000001E-2</v>
      </c>
      <c r="AI50">
        <v>1.7902412999999999E-2</v>
      </c>
      <c r="AJ50">
        <v>1.7812613000000001E-2</v>
      </c>
      <c r="AK50">
        <v>1.7710779999999999E-2</v>
      </c>
      <c r="AL50">
        <v>1.7598220000000001E-2</v>
      </c>
      <c r="AM50">
        <v>1.7476093000000002E-2</v>
      </c>
      <c r="AN50">
        <v>1.7345519E-2</v>
      </c>
      <c r="AO50">
        <v>1.7207561999999999E-2</v>
      </c>
      <c r="AP50">
        <v>1.7063305000000001E-2</v>
      </c>
    </row>
    <row r="51" spans="1:42" x14ac:dyDescent="0.3">
      <c r="A51" t="s">
        <v>50</v>
      </c>
      <c r="B51">
        <v>0</v>
      </c>
      <c r="C51">
        <v>2.0083501E-2</v>
      </c>
      <c r="D51">
        <v>1.9299615999999999E-2</v>
      </c>
      <c r="E51">
        <v>1.8546594E-2</v>
      </c>
      <c r="F51">
        <v>1.7823406E-2</v>
      </c>
      <c r="G51">
        <v>1.7129007000000002E-2</v>
      </c>
      <c r="H51">
        <v>1.6554241000000001E-2</v>
      </c>
      <c r="I51">
        <v>1.5995375999999999E-2</v>
      </c>
      <c r="J51">
        <v>1.5452288999999999E-2</v>
      </c>
      <c r="K51">
        <v>1.2775981E-2</v>
      </c>
      <c r="L51">
        <v>1.3764297999999999E-2</v>
      </c>
      <c r="M51">
        <v>1.4322603E-2</v>
      </c>
      <c r="N51">
        <v>1.388401E-2</v>
      </c>
      <c r="O51">
        <v>1.2966386E-2</v>
      </c>
      <c r="P51">
        <v>1.2685686E-2</v>
      </c>
      <c r="Q51">
        <v>1.2124569999999999E-2</v>
      </c>
      <c r="R51">
        <v>1.1610954E-2</v>
      </c>
      <c r="S51">
        <v>1.1122427000000001E-2</v>
      </c>
      <c r="T51">
        <v>1.1248332E-2</v>
      </c>
      <c r="U51">
        <v>1.1269858000000001E-2</v>
      </c>
      <c r="V51">
        <v>1.1289393999999999E-2</v>
      </c>
      <c r="W51">
        <v>1.1309603999999999E-2</v>
      </c>
      <c r="X51">
        <v>1.1281938E-2</v>
      </c>
      <c r="Y51">
        <v>1.1223980999999999E-2</v>
      </c>
      <c r="Z51">
        <v>1.11393E-2</v>
      </c>
      <c r="AA51">
        <v>1.1030450000000001E-2</v>
      </c>
      <c r="AB51">
        <v>1.0927156E-2</v>
      </c>
      <c r="AC51">
        <v>1.0804014000000001E-2</v>
      </c>
      <c r="AD51">
        <v>1.066255E-2</v>
      </c>
      <c r="AE51">
        <v>1.0507007E-2</v>
      </c>
      <c r="AF51">
        <v>1.0339251000000001E-2</v>
      </c>
      <c r="AG51">
        <v>1.0183556999999999E-2</v>
      </c>
      <c r="AH51">
        <v>1.0018825E-2</v>
      </c>
      <c r="AI51">
        <v>9.8469939999999995E-3</v>
      </c>
      <c r="AJ51">
        <v>9.6697529999999997E-3</v>
      </c>
      <c r="AK51">
        <v>9.4885400000000002E-3</v>
      </c>
      <c r="AL51">
        <v>9.3006019999999998E-3</v>
      </c>
      <c r="AM51">
        <v>9.1109420000000003E-3</v>
      </c>
      <c r="AN51">
        <v>8.9205280000000005E-3</v>
      </c>
      <c r="AO51">
        <v>8.7301870000000004E-3</v>
      </c>
      <c r="AP51">
        <v>8.5406670000000001E-3</v>
      </c>
    </row>
    <row r="52" spans="1:42" x14ac:dyDescent="0.3">
      <c r="A52" t="s">
        <v>51</v>
      </c>
      <c r="B52">
        <v>0</v>
      </c>
      <c r="C52">
        <v>5.8577769999999998E-3</v>
      </c>
      <c r="D52">
        <v>6.2730049999999999E-3</v>
      </c>
      <c r="E52">
        <v>6.7177640000000002E-3</v>
      </c>
      <c r="F52">
        <v>7.1942389999999998E-3</v>
      </c>
      <c r="G52">
        <v>7.7047740000000002E-3</v>
      </c>
      <c r="H52">
        <v>8.2979449999999993E-3</v>
      </c>
      <c r="I52">
        <v>8.9348929999999993E-3</v>
      </c>
      <c r="J52">
        <v>9.6188090000000007E-3</v>
      </c>
      <c r="K52">
        <v>1.0620157999999999E-2</v>
      </c>
      <c r="L52">
        <v>1.1730707999999999E-2</v>
      </c>
      <c r="M52">
        <v>1.3270772E-2</v>
      </c>
      <c r="N52">
        <v>1.3534238000000001E-2</v>
      </c>
      <c r="O52">
        <v>1.3871240999999999E-2</v>
      </c>
      <c r="P52">
        <v>1.4021677999999999E-2</v>
      </c>
      <c r="Q52">
        <v>1.3877399E-2</v>
      </c>
      <c r="R52">
        <v>1.3784368E-2</v>
      </c>
      <c r="S52">
        <v>1.3692265E-2</v>
      </c>
      <c r="T52">
        <v>1.3556917999999999E-2</v>
      </c>
      <c r="U52">
        <v>1.3350791000000001E-2</v>
      </c>
      <c r="V52">
        <v>1.3296001999999999E-2</v>
      </c>
      <c r="W52">
        <v>1.3362580000000001E-2</v>
      </c>
      <c r="X52">
        <v>1.3424567E-2</v>
      </c>
      <c r="Y52">
        <v>1.3481638000000001E-2</v>
      </c>
      <c r="Z52">
        <v>1.3534895E-2</v>
      </c>
      <c r="AA52">
        <v>1.3584225E-2</v>
      </c>
      <c r="AB52">
        <v>1.3636504000000001E-2</v>
      </c>
      <c r="AC52">
        <v>1.3686999E-2</v>
      </c>
      <c r="AD52">
        <v>1.3736195E-2</v>
      </c>
      <c r="AE52">
        <v>1.3784477E-2</v>
      </c>
      <c r="AF52">
        <v>1.3831506E-2</v>
      </c>
      <c r="AG52">
        <v>1.3935875E-2</v>
      </c>
      <c r="AH52">
        <v>1.4041755E-2</v>
      </c>
      <c r="AI52">
        <v>1.4149135E-2</v>
      </c>
      <c r="AJ52">
        <v>1.4258012E-2</v>
      </c>
      <c r="AK52">
        <v>1.4368339000000001E-2</v>
      </c>
      <c r="AL52">
        <v>1.4480176000000001E-2</v>
      </c>
      <c r="AM52">
        <v>1.4593507E-2</v>
      </c>
      <c r="AN52">
        <v>1.4708324E-2</v>
      </c>
      <c r="AO52">
        <v>1.4824627E-2</v>
      </c>
      <c r="AP52">
        <v>1.4942499E-2</v>
      </c>
    </row>
    <row r="53" spans="1:42" x14ac:dyDescent="0.3">
      <c r="A53" t="s">
        <v>52</v>
      </c>
      <c r="B53">
        <v>0</v>
      </c>
      <c r="C53">
        <v>2.1559740000000001E-2</v>
      </c>
      <c r="D53">
        <v>2.0940703000000001E-2</v>
      </c>
      <c r="E53">
        <v>2.0350117000000001E-2</v>
      </c>
      <c r="F53">
        <v>1.9786807E-2</v>
      </c>
      <c r="G53">
        <v>1.9249602000000001E-2</v>
      </c>
      <c r="H53">
        <v>1.8841944999999999E-2</v>
      </c>
      <c r="I53">
        <v>1.8448447999999999E-2</v>
      </c>
      <c r="J53">
        <v>1.8068777000000001E-2</v>
      </c>
      <c r="K53">
        <v>1.6491545999999999E-2</v>
      </c>
      <c r="L53">
        <v>1.5918100000000001E-2</v>
      </c>
      <c r="M53">
        <v>1.6672022000000002E-2</v>
      </c>
      <c r="N53">
        <v>1.6614174999999998E-2</v>
      </c>
      <c r="O53">
        <v>1.6364406000000001E-2</v>
      </c>
      <c r="P53">
        <v>1.6357582999999998E-2</v>
      </c>
      <c r="Q53">
        <v>1.6056088E-2</v>
      </c>
      <c r="R53">
        <v>1.5469803000000001E-2</v>
      </c>
      <c r="S53">
        <v>1.4727545999999999E-2</v>
      </c>
      <c r="T53">
        <v>1.4109629E-2</v>
      </c>
      <c r="U53">
        <v>1.345708E-2</v>
      </c>
      <c r="V53">
        <v>1.2773369E-2</v>
      </c>
      <c r="W53">
        <v>1.2628520000000001E-2</v>
      </c>
      <c r="X53">
        <v>1.2492155E-2</v>
      </c>
      <c r="Y53">
        <v>1.2363878E-2</v>
      </c>
      <c r="Z53">
        <v>1.2243597E-2</v>
      </c>
      <c r="AA53">
        <v>1.2130604E-2</v>
      </c>
      <c r="AB53">
        <v>1.2055941000000001E-2</v>
      </c>
      <c r="AC53">
        <v>1.1991292000000001E-2</v>
      </c>
      <c r="AD53">
        <v>1.1936252E-2</v>
      </c>
      <c r="AE53">
        <v>1.1890342E-2</v>
      </c>
      <c r="AF53">
        <v>1.185248E-2</v>
      </c>
      <c r="AG53">
        <v>1.1958513E-2</v>
      </c>
      <c r="AH53">
        <v>1.2064518E-2</v>
      </c>
      <c r="AI53">
        <v>1.2170228999999999E-2</v>
      </c>
      <c r="AJ53">
        <v>1.2275371E-2</v>
      </c>
      <c r="AK53">
        <v>1.2379637000000001E-2</v>
      </c>
      <c r="AL53">
        <v>1.2482805E-2</v>
      </c>
      <c r="AM53">
        <v>1.2584596E-2</v>
      </c>
      <c r="AN53">
        <v>1.2684746E-2</v>
      </c>
      <c r="AO53">
        <v>1.2783012999999999E-2</v>
      </c>
      <c r="AP53">
        <v>1.2879241E-2</v>
      </c>
    </row>
    <row r="54" spans="1:42" x14ac:dyDescent="0.3">
      <c r="A54" t="s">
        <v>53</v>
      </c>
      <c r="B54">
        <v>0</v>
      </c>
      <c r="C54">
        <v>1.8212786000000002E-2</v>
      </c>
      <c r="D54">
        <v>1.7715007000000001E-2</v>
      </c>
      <c r="E54">
        <v>1.6830497E-2</v>
      </c>
      <c r="F54">
        <v>1.5989007999999999E-2</v>
      </c>
      <c r="G54">
        <v>1.3494935E-2</v>
      </c>
      <c r="H54">
        <v>1.3504255999999999E-2</v>
      </c>
      <c r="I54">
        <v>1.2980749E-2</v>
      </c>
      <c r="J54">
        <v>1.2194098E-2</v>
      </c>
      <c r="K54">
        <v>1.1281486E-2</v>
      </c>
      <c r="L54">
        <v>1.0834246000000001E-2</v>
      </c>
      <c r="M54">
        <v>1.0766407E-2</v>
      </c>
      <c r="N54">
        <v>1.0720889000000001E-2</v>
      </c>
      <c r="O54">
        <v>1.0751762999999999E-2</v>
      </c>
      <c r="P54">
        <v>1.0692165999999999E-2</v>
      </c>
      <c r="Q54">
        <v>1.0409626999999999E-2</v>
      </c>
      <c r="R54">
        <v>1.0145594000000001E-2</v>
      </c>
      <c r="S54">
        <v>9.9072540000000008E-3</v>
      </c>
      <c r="T54">
        <v>9.6796729999999997E-3</v>
      </c>
      <c r="U54">
        <v>9.4175600000000002E-3</v>
      </c>
      <c r="V54">
        <v>9.3197269999999999E-3</v>
      </c>
      <c r="W54">
        <v>9.3101060000000003E-3</v>
      </c>
      <c r="X54">
        <v>9.3038730000000007E-3</v>
      </c>
      <c r="Y54">
        <v>9.2978569999999996E-3</v>
      </c>
      <c r="Z54">
        <v>9.2919249999999995E-3</v>
      </c>
      <c r="AA54">
        <v>9.2852779999999992E-3</v>
      </c>
      <c r="AB54">
        <v>9.2692590000000002E-3</v>
      </c>
      <c r="AC54">
        <v>9.2527270000000005E-3</v>
      </c>
      <c r="AD54">
        <v>9.2356710000000009E-3</v>
      </c>
      <c r="AE54">
        <v>9.2180140000000001E-3</v>
      </c>
      <c r="AF54">
        <v>9.1992150000000002E-3</v>
      </c>
      <c r="AG54">
        <v>9.2089849999999994E-3</v>
      </c>
      <c r="AH54">
        <v>9.2173099999999994E-3</v>
      </c>
      <c r="AI54">
        <v>9.2241649999999994E-3</v>
      </c>
      <c r="AJ54">
        <v>9.2295329999999998E-3</v>
      </c>
      <c r="AK54">
        <v>9.2333740000000008E-3</v>
      </c>
      <c r="AL54">
        <v>9.2357159999999997E-3</v>
      </c>
      <c r="AM54">
        <v>9.2365429999999998E-3</v>
      </c>
      <c r="AN54">
        <v>9.2358460000000007E-3</v>
      </c>
      <c r="AO54">
        <v>9.2336220000000004E-3</v>
      </c>
      <c r="AP54">
        <v>9.2299170000000007E-3</v>
      </c>
    </row>
    <row r="55" spans="1:42" x14ac:dyDescent="0.3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3">
      <c r="A56" t="s">
        <v>55</v>
      </c>
      <c r="B56">
        <v>0</v>
      </c>
      <c r="C56">
        <v>2.8698199999999999E-3</v>
      </c>
      <c r="D56">
        <v>2.7227480000000001E-3</v>
      </c>
      <c r="E56">
        <v>2.5157669999999999E-3</v>
      </c>
      <c r="F56">
        <v>2.1962520000000001E-3</v>
      </c>
      <c r="G56">
        <v>1.8164769999999999E-3</v>
      </c>
      <c r="H56">
        <v>1.7498469999999999E-3</v>
      </c>
      <c r="I56">
        <v>1.6082270000000001E-3</v>
      </c>
      <c r="J56">
        <v>1.5090139999999999E-3</v>
      </c>
      <c r="K56">
        <v>1.4446579999999999E-3</v>
      </c>
      <c r="L56">
        <v>1.4244629999999999E-3</v>
      </c>
      <c r="M56">
        <v>1.4642360000000001E-3</v>
      </c>
      <c r="N56">
        <v>8.9590700000000004E-4</v>
      </c>
      <c r="O56">
        <v>8.6806199999999996E-4</v>
      </c>
      <c r="P56">
        <v>8.8130299999999995E-4</v>
      </c>
      <c r="Q56">
        <v>8.74503E-4</v>
      </c>
      <c r="R56">
        <v>8.6790800000000003E-4</v>
      </c>
      <c r="S56">
        <v>8.6232699999999997E-4</v>
      </c>
      <c r="T56">
        <v>8.3999400000000005E-4</v>
      </c>
      <c r="U56">
        <v>8.1469699999999997E-4</v>
      </c>
      <c r="V56">
        <v>8.0211499999999995E-4</v>
      </c>
      <c r="W56">
        <v>7.9654200000000002E-4</v>
      </c>
      <c r="X56">
        <v>7.91624E-4</v>
      </c>
      <c r="Y56">
        <v>7.8706100000000003E-4</v>
      </c>
      <c r="Z56">
        <v>7.8245500000000004E-4</v>
      </c>
      <c r="AA56">
        <v>7.77749E-4</v>
      </c>
      <c r="AB56">
        <v>7.7160599999999998E-4</v>
      </c>
      <c r="AC56">
        <v>7.65437E-4</v>
      </c>
      <c r="AD56">
        <v>7.5924900000000003E-4</v>
      </c>
      <c r="AE56">
        <v>7.5304300000000001E-4</v>
      </c>
      <c r="AF56">
        <v>7.4678400000000001E-4</v>
      </c>
      <c r="AG56">
        <v>7.4333299999999999E-4</v>
      </c>
      <c r="AH56">
        <v>7.39753E-4</v>
      </c>
      <c r="AI56">
        <v>7.3605000000000003E-4</v>
      </c>
      <c r="AJ56">
        <v>7.3223199999999998E-4</v>
      </c>
      <c r="AK56">
        <v>7.2830400000000004E-4</v>
      </c>
      <c r="AL56">
        <v>7.2427899999999998E-4</v>
      </c>
      <c r="AM56">
        <v>7.2016199999999999E-4</v>
      </c>
      <c r="AN56">
        <v>7.1596099999999998E-4</v>
      </c>
      <c r="AO56">
        <v>7.1168399999999997E-4</v>
      </c>
      <c r="AP56">
        <v>7.0734200000000002E-4</v>
      </c>
    </row>
    <row r="57" spans="1:42" x14ac:dyDescent="0.3">
      <c r="A57" t="s">
        <v>56</v>
      </c>
      <c r="B57">
        <v>0</v>
      </c>
      <c r="C57">
        <v>1.1278682E-2</v>
      </c>
      <c r="D57">
        <v>1.1203968999999999E-2</v>
      </c>
      <c r="E57">
        <v>1.1080405E-2</v>
      </c>
      <c r="F57">
        <v>1.1095727999999999E-2</v>
      </c>
      <c r="G57">
        <v>1.2113926000000001E-2</v>
      </c>
      <c r="H57">
        <v>1.1592257E-2</v>
      </c>
      <c r="I57">
        <v>1.1206176E-2</v>
      </c>
      <c r="J57">
        <v>1.0917061E-2</v>
      </c>
      <c r="K57">
        <v>1.0100385999999999E-2</v>
      </c>
      <c r="L57">
        <v>9.5296119999999998E-3</v>
      </c>
      <c r="M57">
        <v>9.2596769999999991E-3</v>
      </c>
      <c r="N57">
        <v>9.4537019999999996E-3</v>
      </c>
      <c r="O57">
        <v>9.5531030000000003E-3</v>
      </c>
      <c r="P57">
        <v>9.5199570000000008E-3</v>
      </c>
      <c r="Q57">
        <v>9.2822170000000006E-3</v>
      </c>
      <c r="R57">
        <v>9.0385699999999992E-3</v>
      </c>
      <c r="S57">
        <v>8.8185329999999999E-3</v>
      </c>
      <c r="T57">
        <v>8.6059469999999992E-3</v>
      </c>
      <c r="U57">
        <v>8.3652450000000003E-3</v>
      </c>
      <c r="V57">
        <v>8.2741729999999993E-3</v>
      </c>
      <c r="W57">
        <v>8.2588929999999998E-3</v>
      </c>
      <c r="X57">
        <v>8.2441470000000003E-3</v>
      </c>
      <c r="Y57">
        <v>8.2301709999999997E-3</v>
      </c>
      <c r="Z57">
        <v>8.2169700000000005E-3</v>
      </c>
      <c r="AA57">
        <v>8.2039390000000004E-3</v>
      </c>
      <c r="AB57">
        <v>8.1855199999999999E-3</v>
      </c>
      <c r="AC57">
        <v>8.1676849999999992E-3</v>
      </c>
      <c r="AD57">
        <v>8.1505250000000005E-3</v>
      </c>
      <c r="AE57">
        <v>8.1340690000000007E-3</v>
      </c>
      <c r="AF57">
        <v>8.1179319999999996E-3</v>
      </c>
      <c r="AG57">
        <v>8.1347060000000002E-3</v>
      </c>
      <c r="AH57">
        <v>8.1524309999999999E-3</v>
      </c>
      <c r="AI57">
        <v>8.1711230000000006E-3</v>
      </c>
      <c r="AJ57">
        <v>8.1907999999999998E-3</v>
      </c>
      <c r="AK57">
        <v>8.2114609999999998E-3</v>
      </c>
      <c r="AL57">
        <v>8.2331499999999998E-3</v>
      </c>
      <c r="AM57">
        <v>8.2558979999999994E-3</v>
      </c>
      <c r="AN57">
        <v>8.2797259999999994E-3</v>
      </c>
      <c r="AO57">
        <v>8.3046600000000002E-3</v>
      </c>
      <c r="AP57">
        <v>8.330769E-3</v>
      </c>
    </row>
    <row r="58" spans="1:42" x14ac:dyDescent="0.3">
      <c r="A58" t="s">
        <v>57</v>
      </c>
      <c r="B58">
        <v>0</v>
      </c>
      <c r="C58">
        <v>3.8021000000000002E-4</v>
      </c>
      <c r="D58">
        <v>4.2500300000000002E-4</v>
      </c>
      <c r="E58">
        <v>5.0003299999999999E-4</v>
      </c>
      <c r="F58">
        <v>5.3201099999999999E-4</v>
      </c>
      <c r="G58">
        <v>4.89808E-4</v>
      </c>
      <c r="H58">
        <v>4.8696200000000002E-4</v>
      </c>
      <c r="I58">
        <v>4.5877800000000002E-4</v>
      </c>
      <c r="J58">
        <v>4.7232099999999999E-4</v>
      </c>
      <c r="K58">
        <v>4.39173E-4</v>
      </c>
      <c r="L58">
        <v>4.34005E-4</v>
      </c>
      <c r="M58">
        <v>4.4469699999999997E-4</v>
      </c>
      <c r="N58">
        <v>4.7678599999999998E-4</v>
      </c>
      <c r="O58">
        <v>4.7007499999999997E-4</v>
      </c>
      <c r="P58">
        <v>4.6869400000000002E-4</v>
      </c>
      <c r="Q58">
        <v>4.5751199999999998E-4</v>
      </c>
      <c r="R58">
        <v>4.4977400000000001E-4</v>
      </c>
      <c r="S58">
        <v>4.42636E-4</v>
      </c>
      <c r="T58">
        <v>4.3609299999999997E-4</v>
      </c>
      <c r="U58">
        <v>4.2792200000000001E-4</v>
      </c>
      <c r="V58">
        <v>4.2718600000000003E-4</v>
      </c>
      <c r="W58">
        <v>4.2993000000000003E-4</v>
      </c>
      <c r="X58">
        <v>4.3278499999999998E-4</v>
      </c>
      <c r="Y58">
        <v>4.3571099999999998E-4</v>
      </c>
      <c r="Z58">
        <v>4.3870900000000002E-4</v>
      </c>
      <c r="AA58">
        <v>4.4174399999999999E-4</v>
      </c>
      <c r="AB58">
        <v>4.4410599999999999E-4</v>
      </c>
      <c r="AC58">
        <v>4.4651899999999998E-4</v>
      </c>
      <c r="AD58">
        <v>4.4898300000000002E-4</v>
      </c>
      <c r="AE58">
        <v>4.5149699999999998E-4</v>
      </c>
      <c r="AF58">
        <v>4.54036E-4</v>
      </c>
      <c r="AG58">
        <v>4.5692500000000001E-4</v>
      </c>
      <c r="AH58">
        <v>4.5985900000000002E-4</v>
      </c>
      <c r="AI58">
        <v>4.6283499999999998E-4</v>
      </c>
      <c r="AJ58">
        <v>4.6585300000000001E-4</v>
      </c>
      <c r="AK58">
        <v>4.6891000000000001E-4</v>
      </c>
      <c r="AL58">
        <v>4.72008E-4</v>
      </c>
      <c r="AM58">
        <v>4.7514399999999999E-4</v>
      </c>
      <c r="AN58">
        <v>4.7831799999999998E-4</v>
      </c>
      <c r="AO58">
        <v>4.8152600000000002E-4</v>
      </c>
      <c r="AP58">
        <v>4.8477200000000001E-4</v>
      </c>
    </row>
    <row r="59" spans="1:42" x14ac:dyDescent="0.3">
      <c r="A59" t="s">
        <v>58</v>
      </c>
      <c r="B59">
        <v>0</v>
      </c>
      <c r="C59">
        <v>1.2743120000000001E-3</v>
      </c>
      <c r="D59">
        <v>1.168816E-3</v>
      </c>
      <c r="E59">
        <v>1.179938E-3</v>
      </c>
      <c r="F59">
        <v>1.1774660000000001E-3</v>
      </c>
      <c r="G59">
        <v>1.1885999999999999E-3</v>
      </c>
      <c r="H59">
        <v>1.1746079999999999E-3</v>
      </c>
      <c r="I59">
        <v>1.3098859999999999E-3</v>
      </c>
      <c r="J59">
        <v>1.345483E-3</v>
      </c>
      <c r="K59">
        <v>1.2704770000000001E-3</v>
      </c>
      <c r="L59">
        <v>1.2663139999999999E-3</v>
      </c>
      <c r="M59">
        <v>1.3437849999999999E-3</v>
      </c>
      <c r="N59">
        <v>1.5362010000000001E-3</v>
      </c>
      <c r="O59">
        <v>1.568355E-3</v>
      </c>
      <c r="P59">
        <v>1.576505E-3</v>
      </c>
      <c r="Q59">
        <v>1.5525859999999999E-3</v>
      </c>
      <c r="R59">
        <v>1.5314630000000001E-3</v>
      </c>
      <c r="S59">
        <v>1.5103919999999999E-3</v>
      </c>
      <c r="T59">
        <v>1.487948E-3</v>
      </c>
      <c r="U59">
        <v>1.459096E-3</v>
      </c>
      <c r="V59">
        <v>1.464669E-3</v>
      </c>
      <c r="W59">
        <v>1.4853290000000001E-3</v>
      </c>
      <c r="X59">
        <v>1.5059030000000001E-3</v>
      </c>
      <c r="Y59">
        <v>1.5263469999999999E-3</v>
      </c>
      <c r="Z59">
        <v>1.5466329999999999E-3</v>
      </c>
      <c r="AA59">
        <v>1.566603E-3</v>
      </c>
      <c r="AB59">
        <v>1.583877E-3</v>
      </c>
      <c r="AC59">
        <v>1.600913E-3</v>
      </c>
      <c r="AD59">
        <v>1.61769E-3</v>
      </c>
      <c r="AE59">
        <v>1.634176E-3</v>
      </c>
      <c r="AF59">
        <v>1.6502520000000001E-3</v>
      </c>
      <c r="AG59">
        <v>1.674965E-3</v>
      </c>
      <c r="AH59">
        <v>1.699547E-3</v>
      </c>
      <c r="AI59">
        <v>1.723961E-3</v>
      </c>
      <c r="AJ59">
        <v>1.748166E-3</v>
      </c>
      <c r="AK59">
        <v>1.772114E-3</v>
      </c>
      <c r="AL59">
        <v>1.795771E-3</v>
      </c>
      <c r="AM59">
        <v>1.819085E-3</v>
      </c>
      <c r="AN59">
        <v>1.842006E-3</v>
      </c>
      <c r="AO59">
        <v>1.86448E-3</v>
      </c>
      <c r="AP59">
        <v>1.8864610000000001E-3</v>
      </c>
    </row>
    <row r="60" spans="1:42" x14ac:dyDescent="0.3">
      <c r="A60" t="s">
        <v>59</v>
      </c>
      <c r="B60">
        <v>0</v>
      </c>
      <c r="C60" s="1">
        <v>6.6911399999999998E-5</v>
      </c>
      <c r="D60" s="1">
        <v>8.2636800000000001E-5</v>
      </c>
      <c r="E60" s="1">
        <v>7.8644800000000003E-5</v>
      </c>
      <c r="F60" s="1">
        <v>6.9959500000000007E-5</v>
      </c>
      <c r="G60" s="1">
        <v>7.1130600000000006E-5</v>
      </c>
      <c r="H60" s="1">
        <v>7.5476199999999994E-5</v>
      </c>
      <c r="I60" s="1">
        <v>7.6978599999999995E-5</v>
      </c>
      <c r="J60" s="1">
        <v>8.1258400000000001E-5</v>
      </c>
      <c r="K60" s="1">
        <v>7.38749E-5</v>
      </c>
      <c r="L60" s="1">
        <v>6.8039800000000005E-5</v>
      </c>
      <c r="M60" s="1">
        <v>7.6475099999999996E-5</v>
      </c>
      <c r="N60" s="1">
        <v>8.3618500000000006E-5</v>
      </c>
      <c r="O60" s="1">
        <v>8.5432099999999998E-5</v>
      </c>
      <c r="P60" s="1">
        <v>8.6906599999999999E-5</v>
      </c>
      <c r="Q60" s="1">
        <v>8.6578900000000006E-5</v>
      </c>
      <c r="R60" s="1">
        <v>8.6575899999999999E-5</v>
      </c>
      <c r="S60" s="1">
        <v>8.6451299999999997E-5</v>
      </c>
      <c r="T60" s="1">
        <v>8.6665500000000006E-5</v>
      </c>
      <c r="U60" s="1">
        <v>8.6530400000000001E-5</v>
      </c>
      <c r="V60" s="1">
        <v>8.7895100000000005E-5</v>
      </c>
      <c r="W60" s="1">
        <v>9.0047E-5</v>
      </c>
      <c r="X60" s="1">
        <v>9.22687E-5</v>
      </c>
      <c r="Y60" s="1">
        <v>9.4563100000000003E-5</v>
      </c>
      <c r="Z60" s="1">
        <v>9.6932800000000001E-5</v>
      </c>
      <c r="AA60" s="1">
        <v>9.9372500000000004E-5</v>
      </c>
      <c r="AB60">
        <v>1.01705E-4</v>
      </c>
      <c r="AC60">
        <v>1.0411E-4</v>
      </c>
      <c r="AD60">
        <v>1.0658900000000001E-4</v>
      </c>
      <c r="AE60">
        <v>1.09145E-4</v>
      </c>
      <c r="AF60">
        <v>1.11774E-4</v>
      </c>
      <c r="AG60">
        <v>1.14842E-4</v>
      </c>
      <c r="AH60">
        <v>1.1800599999999999E-4</v>
      </c>
      <c r="AI60">
        <v>1.21272E-4</v>
      </c>
      <c r="AJ60">
        <v>1.2464E-4</v>
      </c>
      <c r="AK60">
        <v>1.28116E-4</v>
      </c>
      <c r="AL60">
        <v>1.31703E-4</v>
      </c>
      <c r="AM60">
        <v>1.3540399999999999E-4</v>
      </c>
      <c r="AN60">
        <v>1.3922399999999999E-4</v>
      </c>
      <c r="AO60">
        <v>1.4316599999999999E-4</v>
      </c>
      <c r="AP60">
        <v>1.47236E-4</v>
      </c>
    </row>
    <row r="61" spans="1:42" x14ac:dyDescent="0.3">
      <c r="A61" t="s">
        <v>60</v>
      </c>
      <c r="B61">
        <v>0</v>
      </c>
      <c r="C61">
        <v>1.3744199999999999E-4</v>
      </c>
      <c r="D61">
        <v>1.62101E-4</v>
      </c>
      <c r="E61">
        <v>1.59371E-4</v>
      </c>
      <c r="F61">
        <v>1.6479400000000001E-4</v>
      </c>
      <c r="G61">
        <v>1.9065999999999999E-4</v>
      </c>
      <c r="H61">
        <v>2.04074E-4</v>
      </c>
      <c r="I61">
        <v>1.9599900000000001E-4</v>
      </c>
      <c r="J61">
        <v>1.9558800000000001E-4</v>
      </c>
      <c r="K61">
        <v>1.8231700000000001E-4</v>
      </c>
      <c r="L61">
        <v>1.8343400000000001E-4</v>
      </c>
      <c r="M61">
        <v>1.89581E-4</v>
      </c>
      <c r="N61">
        <v>2.12561E-4</v>
      </c>
      <c r="O61">
        <v>2.17536E-4</v>
      </c>
      <c r="P61">
        <v>2.2121E-4</v>
      </c>
      <c r="Q61">
        <v>2.2044100000000001E-4</v>
      </c>
      <c r="R61">
        <v>2.20578E-4</v>
      </c>
      <c r="S61">
        <v>2.2096999999999999E-4</v>
      </c>
      <c r="T61">
        <v>2.2153099999999999E-4</v>
      </c>
      <c r="U61">
        <v>2.21239E-4</v>
      </c>
      <c r="V61">
        <v>2.2478900000000001E-4</v>
      </c>
      <c r="W61">
        <v>2.30318E-4</v>
      </c>
      <c r="X61">
        <v>2.3603200000000001E-4</v>
      </c>
      <c r="Y61">
        <v>2.4193199999999999E-4</v>
      </c>
      <c r="Z61">
        <v>2.48027E-4</v>
      </c>
      <c r="AA61">
        <v>2.5430199999999998E-4</v>
      </c>
      <c r="AB61">
        <v>2.60239E-4</v>
      </c>
      <c r="AC61">
        <v>2.66357E-4</v>
      </c>
      <c r="AD61">
        <v>2.7266299999999997E-4</v>
      </c>
      <c r="AE61">
        <v>2.7916300000000002E-4</v>
      </c>
      <c r="AF61">
        <v>2.85848E-4</v>
      </c>
      <c r="AG61">
        <v>2.9364799999999998E-4</v>
      </c>
      <c r="AH61">
        <v>3.0169300000000001E-4</v>
      </c>
      <c r="AI61">
        <v>3.0999000000000001E-4</v>
      </c>
      <c r="AJ61">
        <v>3.18549E-4</v>
      </c>
      <c r="AK61">
        <v>3.2737599999999999E-4</v>
      </c>
      <c r="AL61">
        <v>3.3648199999999998E-4</v>
      </c>
      <c r="AM61">
        <v>3.4587600000000001E-4</v>
      </c>
      <c r="AN61">
        <v>3.5556699999999999E-4</v>
      </c>
      <c r="AO61">
        <v>3.6556499999999999E-4</v>
      </c>
      <c r="AP61">
        <v>3.7588299999999998E-4</v>
      </c>
    </row>
    <row r="62" spans="1:42" x14ac:dyDescent="0.3">
      <c r="A62" t="s">
        <v>61</v>
      </c>
      <c r="B62">
        <v>0</v>
      </c>
      <c r="C62">
        <v>8.0354780000000004E-3</v>
      </c>
      <c r="D62">
        <v>8.1428009999999999E-3</v>
      </c>
      <c r="E62">
        <v>8.2516759999999995E-3</v>
      </c>
      <c r="F62">
        <v>8.3622200000000001E-3</v>
      </c>
      <c r="G62">
        <v>8.4745350000000001E-3</v>
      </c>
      <c r="H62">
        <v>8.6366610000000003E-3</v>
      </c>
      <c r="I62">
        <v>8.8000249999999995E-3</v>
      </c>
      <c r="J62">
        <v>8.9646870000000007E-3</v>
      </c>
      <c r="K62">
        <v>8.1960999999999996E-3</v>
      </c>
      <c r="L62">
        <v>8.6152079999999992E-3</v>
      </c>
      <c r="M62">
        <v>8.0509350000000004E-3</v>
      </c>
      <c r="N62">
        <v>8.0641900000000006E-3</v>
      </c>
      <c r="O62">
        <v>9.8090179999999992E-3</v>
      </c>
      <c r="P62">
        <v>9.9992610000000006E-3</v>
      </c>
      <c r="Q62">
        <v>9.9671450000000002E-3</v>
      </c>
      <c r="R62">
        <v>9.9588000000000003E-3</v>
      </c>
      <c r="S62">
        <v>9.9124450000000006E-3</v>
      </c>
      <c r="T62">
        <v>9.9435579999999999E-3</v>
      </c>
      <c r="U62">
        <v>9.9363969999999996E-3</v>
      </c>
      <c r="V62">
        <v>9.9518149999999993E-3</v>
      </c>
      <c r="W62">
        <v>1.0007465E-2</v>
      </c>
      <c r="X62">
        <v>1.0068229E-2</v>
      </c>
      <c r="Y62">
        <v>1.0131176E-2</v>
      </c>
      <c r="Z62">
        <v>1.0196311E-2</v>
      </c>
      <c r="AA62">
        <v>1.0262789E-2</v>
      </c>
      <c r="AB62">
        <v>1.0456504E-2</v>
      </c>
      <c r="AC62">
        <v>1.0656862E-2</v>
      </c>
      <c r="AD62">
        <v>1.0864037E-2</v>
      </c>
      <c r="AE62">
        <v>1.1078116000000001E-2</v>
      </c>
      <c r="AF62">
        <v>1.1298613000000001E-2</v>
      </c>
      <c r="AG62">
        <v>1.1604262000000001E-2</v>
      </c>
      <c r="AH62">
        <v>1.1918411E-2</v>
      </c>
      <c r="AI62">
        <v>1.2240991E-2</v>
      </c>
      <c r="AJ62">
        <v>1.2571898999999999E-2</v>
      </c>
      <c r="AK62">
        <v>1.2910955999999999E-2</v>
      </c>
      <c r="AL62">
        <v>1.325804E-2</v>
      </c>
      <c r="AM62">
        <v>1.3612898E-2</v>
      </c>
      <c r="AN62">
        <v>1.3975246E-2</v>
      </c>
      <c r="AO62">
        <v>1.4344750999999999E-2</v>
      </c>
      <c r="AP62">
        <v>1.4721102999999999E-2</v>
      </c>
    </row>
    <row r="63" spans="1:42" x14ac:dyDescent="0.3">
      <c r="A63" t="s">
        <v>62</v>
      </c>
      <c r="B63">
        <v>0</v>
      </c>
      <c r="C63">
        <v>4.1068099999999998E-4</v>
      </c>
      <c r="D63">
        <v>4.78395E-4</v>
      </c>
      <c r="E63">
        <v>5.2869799999999997E-4</v>
      </c>
      <c r="F63">
        <v>5.2930000000000002E-4</v>
      </c>
      <c r="G63">
        <v>5.7147399999999998E-4</v>
      </c>
      <c r="H63">
        <v>5.3550099999999997E-4</v>
      </c>
      <c r="I63">
        <v>5.7328700000000002E-4</v>
      </c>
      <c r="J63">
        <v>6.2809200000000002E-4</v>
      </c>
      <c r="K63">
        <v>6.2784899999999999E-4</v>
      </c>
      <c r="L63">
        <v>6.5984099999999999E-4</v>
      </c>
      <c r="M63">
        <v>7.0191600000000002E-4</v>
      </c>
      <c r="N63">
        <v>7.9671500000000003E-4</v>
      </c>
      <c r="O63">
        <v>8.2600499999999999E-4</v>
      </c>
      <c r="P63">
        <v>8.4435700000000001E-4</v>
      </c>
      <c r="Q63">
        <v>8.4434699999999996E-4</v>
      </c>
      <c r="R63">
        <v>8.4602899999999999E-4</v>
      </c>
      <c r="S63">
        <v>8.4811299999999995E-4</v>
      </c>
      <c r="T63">
        <v>8.5077999999999998E-4</v>
      </c>
      <c r="U63">
        <v>8.4966100000000004E-4</v>
      </c>
      <c r="V63">
        <v>8.6250599999999997E-4</v>
      </c>
      <c r="W63">
        <v>8.8304599999999996E-4</v>
      </c>
      <c r="X63">
        <v>9.0410399999999998E-4</v>
      </c>
      <c r="Y63">
        <v>9.2568499999999998E-4</v>
      </c>
      <c r="Z63">
        <v>9.4784700000000003E-4</v>
      </c>
      <c r="AA63">
        <v>9.7054200000000002E-4</v>
      </c>
      <c r="AB63">
        <v>9.9196599999999994E-4</v>
      </c>
      <c r="AC63">
        <v>1.013936E-3</v>
      </c>
      <c r="AD63">
        <v>1.0364669999999999E-3</v>
      </c>
      <c r="AE63">
        <v>1.059585E-3</v>
      </c>
      <c r="AF63">
        <v>1.083252E-3</v>
      </c>
      <c r="AG63">
        <v>1.112126E-3</v>
      </c>
      <c r="AH63">
        <v>1.1418400000000001E-3</v>
      </c>
      <c r="AI63">
        <v>1.172417E-3</v>
      </c>
      <c r="AJ63">
        <v>1.2038789999999999E-3</v>
      </c>
      <c r="AK63">
        <v>1.2362460000000001E-3</v>
      </c>
      <c r="AL63">
        <v>1.269549E-3</v>
      </c>
      <c r="AM63">
        <v>1.3038080000000001E-3</v>
      </c>
      <c r="AN63">
        <v>1.3390469999999999E-3</v>
      </c>
      <c r="AO63">
        <v>1.3752899999999999E-3</v>
      </c>
      <c r="AP63">
        <v>1.4125660000000001E-3</v>
      </c>
    </row>
    <row r="64" spans="1:42" x14ac:dyDescent="0.3">
      <c r="A64" t="s">
        <v>63</v>
      </c>
      <c r="B64">
        <v>0</v>
      </c>
      <c r="C64">
        <v>1.4059599999999999E-4</v>
      </c>
      <c r="D64">
        <v>1.6698400000000001E-4</v>
      </c>
      <c r="E64">
        <v>1.65644E-4</v>
      </c>
      <c r="F64">
        <v>1.7179200000000001E-4</v>
      </c>
      <c r="G64">
        <v>1.87739E-4</v>
      </c>
      <c r="H64">
        <v>2.02275E-4</v>
      </c>
      <c r="I64">
        <v>2.0462099999999999E-4</v>
      </c>
      <c r="J64">
        <v>2.15489E-4</v>
      </c>
      <c r="K64">
        <v>2.0431099999999999E-4</v>
      </c>
      <c r="L64">
        <v>1.99161E-4</v>
      </c>
      <c r="M64">
        <v>2.16111E-4</v>
      </c>
      <c r="N64">
        <v>2.4465499999999998E-4</v>
      </c>
      <c r="O64">
        <v>2.5164099999999998E-4</v>
      </c>
      <c r="P64">
        <v>2.5607899999999999E-4</v>
      </c>
      <c r="Q64">
        <v>2.5540099999999999E-4</v>
      </c>
      <c r="R64">
        <v>2.5539999999999997E-4</v>
      </c>
      <c r="S64">
        <v>2.5545599999999999E-4</v>
      </c>
      <c r="T64">
        <v>2.5561099999999999E-4</v>
      </c>
      <c r="U64">
        <v>2.5465900000000002E-4</v>
      </c>
      <c r="V64">
        <v>2.5798200000000002E-4</v>
      </c>
      <c r="W64">
        <v>2.6361700000000001E-4</v>
      </c>
      <c r="X64">
        <v>2.6946199999999999E-4</v>
      </c>
      <c r="Y64">
        <v>2.75412E-4</v>
      </c>
      <c r="Z64">
        <v>2.81465E-4</v>
      </c>
      <c r="AA64">
        <v>2.8759400000000001E-4</v>
      </c>
      <c r="AB64">
        <v>2.93529E-4</v>
      </c>
      <c r="AC64">
        <v>2.9959099999999998E-4</v>
      </c>
      <c r="AD64">
        <v>3.0578000000000002E-4</v>
      </c>
      <c r="AE64">
        <v>3.12097E-4</v>
      </c>
      <c r="AF64">
        <v>3.18525E-4</v>
      </c>
      <c r="AG64">
        <v>3.2673799999999997E-4</v>
      </c>
      <c r="AH64">
        <v>3.3517399999999999E-4</v>
      </c>
      <c r="AI64">
        <v>3.4383999999999999E-4</v>
      </c>
      <c r="AJ64">
        <v>3.52741E-4</v>
      </c>
      <c r="AK64">
        <v>3.6188000000000003E-4</v>
      </c>
      <c r="AL64">
        <v>3.7126500000000002E-4</v>
      </c>
      <c r="AM64">
        <v>3.80901E-4</v>
      </c>
      <c r="AN64">
        <v>3.9079400000000003E-4</v>
      </c>
      <c r="AO64">
        <v>4.00949E-4</v>
      </c>
      <c r="AP64">
        <v>4.11374E-4</v>
      </c>
    </row>
    <row r="65" spans="1:42" x14ac:dyDescent="0.3">
      <c r="A65" t="s">
        <v>64</v>
      </c>
      <c r="B65">
        <v>0</v>
      </c>
      <c r="C65" s="1">
        <v>3.3921699999999997E-5</v>
      </c>
      <c r="D65" s="1">
        <v>4.3579899999999999E-5</v>
      </c>
      <c r="E65" s="1">
        <v>4.0638700000000001E-5</v>
      </c>
      <c r="F65" s="1">
        <v>4.2396299999999999E-5</v>
      </c>
      <c r="G65" s="1">
        <v>5.0203200000000001E-5</v>
      </c>
      <c r="H65" s="1">
        <v>5.5228100000000001E-5</v>
      </c>
      <c r="I65" s="1">
        <v>5.5773200000000003E-5</v>
      </c>
      <c r="J65" s="1">
        <v>5.5537500000000001E-5</v>
      </c>
      <c r="K65" s="1">
        <v>5.3718000000000003E-5</v>
      </c>
      <c r="L65" s="1">
        <v>5.6029600000000003E-5</v>
      </c>
      <c r="M65" s="1">
        <v>6.0753900000000001E-5</v>
      </c>
      <c r="N65" s="1">
        <v>6.8096399999999994E-5</v>
      </c>
      <c r="O65" s="1">
        <v>7.1010100000000006E-5</v>
      </c>
      <c r="P65" s="1">
        <v>7.2802199999999999E-5</v>
      </c>
      <c r="Q65" s="1">
        <v>7.3110999999999998E-5</v>
      </c>
      <c r="R65" s="1">
        <v>7.3592300000000004E-5</v>
      </c>
      <c r="S65" s="1">
        <v>7.4118300000000005E-5</v>
      </c>
      <c r="T65" s="1">
        <v>7.4537399999999996E-5</v>
      </c>
      <c r="U65" s="1">
        <v>7.4665499999999999E-5</v>
      </c>
      <c r="V65" s="1">
        <v>7.6099400000000005E-5</v>
      </c>
      <c r="W65" s="1">
        <v>7.8141500000000004E-5</v>
      </c>
      <c r="X65" s="1">
        <v>8.0254799999999996E-5</v>
      </c>
      <c r="Y65" s="1">
        <v>8.2442500000000002E-5</v>
      </c>
      <c r="Z65" s="1">
        <v>8.4707400000000001E-5</v>
      </c>
      <c r="AA65" s="1">
        <v>8.7045299999999998E-5</v>
      </c>
      <c r="AB65" s="1">
        <v>8.9307299999999998E-5</v>
      </c>
      <c r="AC65" s="1">
        <v>9.1643200000000004E-5</v>
      </c>
      <c r="AD65" s="1">
        <v>9.4055900000000002E-5</v>
      </c>
      <c r="AE65" s="1">
        <v>9.6547399999999997E-5</v>
      </c>
      <c r="AF65" s="1">
        <v>9.9114899999999995E-5</v>
      </c>
      <c r="AG65">
        <v>1.02143E-4</v>
      </c>
      <c r="AH65">
        <v>1.05277E-4</v>
      </c>
      <c r="AI65">
        <v>1.08519E-4</v>
      </c>
      <c r="AJ65">
        <v>1.1187400000000001E-4</v>
      </c>
      <c r="AK65">
        <v>1.15345E-4</v>
      </c>
      <c r="AL65">
        <v>1.18937E-4</v>
      </c>
      <c r="AM65">
        <v>1.2265400000000001E-4</v>
      </c>
      <c r="AN65">
        <v>1.2650000000000001E-4</v>
      </c>
      <c r="AO65">
        <v>1.3048000000000001E-4</v>
      </c>
      <c r="AP65">
        <v>1.34599E-4</v>
      </c>
    </row>
    <row r="66" spans="1:42" x14ac:dyDescent="0.3">
      <c r="A66" t="s">
        <v>65</v>
      </c>
      <c r="B66">
        <v>0</v>
      </c>
      <c r="C66" s="1">
        <v>9.0920600000000005E-5</v>
      </c>
      <c r="D66">
        <v>1.02834E-4</v>
      </c>
      <c r="E66">
        <v>1.0465499999999999E-4</v>
      </c>
      <c r="F66">
        <v>1.12112E-4</v>
      </c>
      <c r="G66">
        <v>1.0660199999999999E-4</v>
      </c>
      <c r="H66">
        <v>1.1478E-4</v>
      </c>
      <c r="I66">
        <v>1.1707E-4</v>
      </c>
      <c r="J66">
        <v>1.2847800000000001E-4</v>
      </c>
      <c r="K66">
        <v>1.2485600000000001E-4</v>
      </c>
      <c r="L66">
        <v>1.3134900000000001E-4</v>
      </c>
      <c r="M66">
        <v>1.4177600000000001E-4</v>
      </c>
      <c r="N66">
        <v>1.56825E-4</v>
      </c>
      <c r="O66">
        <v>1.63368E-4</v>
      </c>
      <c r="P66">
        <v>1.6730200000000001E-4</v>
      </c>
      <c r="Q66">
        <v>1.81156E-4</v>
      </c>
      <c r="R66">
        <v>1.96615E-4</v>
      </c>
      <c r="S66">
        <v>2.13532E-4</v>
      </c>
      <c r="T66">
        <v>2.3155300000000001E-4</v>
      </c>
      <c r="U66">
        <v>2.5012199999999997E-4</v>
      </c>
      <c r="V66">
        <v>2.7495500000000001E-4</v>
      </c>
      <c r="W66">
        <v>3.0451700000000003E-4</v>
      </c>
      <c r="X66">
        <v>3.3733E-4</v>
      </c>
      <c r="Y66">
        <v>3.7376500000000002E-4</v>
      </c>
      <c r="Z66">
        <v>4.1422900000000001E-4</v>
      </c>
      <c r="AA66">
        <v>4.5914099999999999E-4</v>
      </c>
      <c r="AB66">
        <v>5.0814299999999996E-4</v>
      </c>
      <c r="AC66">
        <v>5.6248300000000002E-4</v>
      </c>
      <c r="AD66">
        <v>6.2275600000000003E-4</v>
      </c>
      <c r="AE66">
        <v>6.8961900000000004E-4</v>
      </c>
      <c r="AF66">
        <v>7.6376500000000002E-4</v>
      </c>
      <c r="AG66">
        <v>8.49177E-4</v>
      </c>
      <c r="AH66">
        <v>9.4428999999999997E-4</v>
      </c>
      <c r="AI66">
        <v>1.0502249999999999E-3</v>
      </c>
      <c r="AJ66">
        <v>1.168231E-3</v>
      </c>
      <c r="AK66">
        <v>1.2997E-3</v>
      </c>
      <c r="AL66">
        <v>1.446201E-3</v>
      </c>
      <c r="AM66">
        <v>1.6094760000000001E-3</v>
      </c>
      <c r="AN66">
        <v>1.7914770000000001E-3</v>
      </c>
      <c r="AO66">
        <v>1.9943859999999999E-3</v>
      </c>
      <c r="AP66">
        <v>2.2206550000000002E-3</v>
      </c>
    </row>
    <row r="67" spans="1:42" x14ac:dyDescent="0.3">
      <c r="A67" t="s">
        <v>66</v>
      </c>
      <c r="B67">
        <v>0</v>
      </c>
      <c r="C67" s="1">
        <v>6.8209900000000006E-5</v>
      </c>
      <c r="D67" s="1">
        <v>6.2651900000000002E-5</v>
      </c>
      <c r="E67" s="1">
        <v>6.2120799999999997E-5</v>
      </c>
      <c r="F67" s="1">
        <v>6.7738999999999996E-5</v>
      </c>
      <c r="G67" s="1">
        <v>7.7120700000000002E-5</v>
      </c>
      <c r="H67" s="1">
        <v>9.1007499999999999E-5</v>
      </c>
      <c r="I67" s="1">
        <v>9.0836799999999997E-5</v>
      </c>
      <c r="J67" s="1">
        <v>9.5411100000000005E-5</v>
      </c>
      <c r="K67" s="1">
        <v>9.2986599999999995E-5</v>
      </c>
      <c r="L67" s="1">
        <v>9.1776399999999998E-5</v>
      </c>
      <c r="M67">
        <v>1.01179E-4</v>
      </c>
      <c r="N67">
        <v>1.13486E-4</v>
      </c>
      <c r="O67">
        <v>1.17741E-4</v>
      </c>
      <c r="P67">
        <v>1.20592E-4</v>
      </c>
      <c r="Q67">
        <v>1.2094799999999999E-4</v>
      </c>
      <c r="R67">
        <v>1.21587E-4</v>
      </c>
      <c r="S67">
        <v>1.2230699999999999E-4</v>
      </c>
      <c r="T67">
        <v>1.2283500000000001E-4</v>
      </c>
      <c r="U67">
        <v>1.2288699999999999E-4</v>
      </c>
      <c r="V67">
        <v>1.2511099999999999E-4</v>
      </c>
      <c r="W67">
        <v>1.2833000000000001E-4</v>
      </c>
      <c r="X67">
        <v>1.3166E-4</v>
      </c>
      <c r="Y67">
        <v>1.3510700000000001E-4</v>
      </c>
      <c r="Z67">
        <v>1.38677E-4</v>
      </c>
      <c r="AA67">
        <v>1.4236199999999999E-4</v>
      </c>
      <c r="AB67">
        <v>1.45921E-4</v>
      </c>
      <c r="AC67">
        <v>1.49598E-4</v>
      </c>
      <c r="AD67">
        <v>1.53399E-4</v>
      </c>
      <c r="AE67">
        <v>1.57326E-4</v>
      </c>
      <c r="AF67">
        <v>1.6137599999999999E-4</v>
      </c>
      <c r="AG67">
        <v>1.66174E-4</v>
      </c>
      <c r="AH67">
        <v>1.71144E-4</v>
      </c>
      <c r="AI67">
        <v>1.7629000000000001E-4</v>
      </c>
      <c r="AJ67">
        <v>1.8162000000000001E-4</v>
      </c>
      <c r="AK67">
        <v>1.8714099999999999E-4</v>
      </c>
      <c r="AL67">
        <v>1.9286100000000001E-4</v>
      </c>
      <c r="AM67">
        <v>1.98789E-4</v>
      </c>
      <c r="AN67">
        <v>2.04933E-4</v>
      </c>
      <c r="AO67">
        <v>2.1130199999999999E-4</v>
      </c>
      <c r="AP67">
        <v>2.1790700000000001E-4</v>
      </c>
    </row>
    <row r="68" spans="1:42" x14ac:dyDescent="0.3">
      <c r="A68" t="s">
        <v>67</v>
      </c>
      <c r="B68">
        <v>0</v>
      </c>
      <c r="C68" s="1">
        <v>5.2275699999999998E-5</v>
      </c>
      <c r="D68" s="1">
        <v>6.4501700000000006E-5</v>
      </c>
      <c r="E68" s="1">
        <v>6.3075200000000002E-5</v>
      </c>
      <c r="F68" s="1">
        <v>6.7885999999999993E-5</v>
      </c>
      <c r="G68" s="1">
        <v>7.4214099999999998E-5</v>
      </c>
      <c r="H68" s="1">
        <v>8.1908800000000004E-5</v>
      </c>
      <c r="I68" s="1">
        <v>8.1668999999999993E-5</v>
      </c>
      <c r="J68" s="1">
        <v>8.3864500000000003E-5</v>
      </c>
      <c r="K68" s="1">
        <v>7.8582400000000002E-5</v>
      </c>
      <c r="L68" s="1">
        <v>7.7539800000000006E-5</v>
      </c>
      <c r="M68" s="1">
        <v>8.5221600000000004E-5</v>
      </c>
      <c r="N68" s="1">
        <v>9.4782600000000003E-5</v>
      </c>
      <c r="O68" s="1">
        <v>9.8120200000000003E-5</v>
      </c>
      <c r="P68">
        <v>1.00515E-4</v>
      </c>
      <c r="Q68">
        <v>1.00807E-4</v>
      </c>
      <c r="R68">
        <v>1.01387E-4</v>
      </c>
      <c r="S68">
        <v>1.0204099999999999E-4</v>
      </c>
      <c r="T68">
        <v>1.02508E-4</v>
      </c>
      <c r="U68">
        <v>1.02574E-4</v>
      </c>
      <c r="V68">
        <v>1.04448E-4</v>
      </c>
      <c r="W68">
        <v>1.07154E-4</v>
      </c>
      <c r="X68">
        <v>1.09953E-4</v>
      </c>
      <c r="Y68">
        <v>1.1285000000000001E-4</v>
      </c>
      <c r="Z68">
        <v>1.1584899999999999E-4</v>
      </c>
      <c r="AA68">
        <v>1.1894499999999999E-4</v>
      </c>
      <c r="AB68">
        <v>1.2193699999999999E-4</v>
      </c>
      <c r="AC68">
        <v>1.2502699999999999E-4</v>
      </c>
      <c r="AD68">
        <v>1.2821999999999999E-4</v>
      </c>
      <c r="AE68">
        <v>1.31519E-4</v>
      </c>
      <c r="AF68">
        <v>1.34921E-4</v>
      </c>
      <c r="AG68">
        <v>1.38949E-4</v>
      </c>
      <c r="AH68">
        <v>1.4311900000000001E-4</v>
      </c>
      <c r="AI68">
        <v>1.4743699999999999E-4</v>
      </c>
      <c r="AJ68">
        <v>1.5190900000000001E-4</v>
      </c>
      <c r="AK68">
        <v>1.56541E-4</v>
      </c>
      <c r="AL68">
        <v>1.6133900000000001E-4</v>
      </c>
      <c r="AM68">
        <v>1.6631E-4</v>
      </c>
      <c r="AN68">
        <v>1.7146199999999999E-4</v>
      </c>
      <c r="AO68">
        <v>1.76801E-4</v>
      </c>
      <c r="AP68">
        <v>1.8233600000000001E-4</v>
      </c>
    </row>
    <row r="69" spans="1:42" x14ac:dyDescent="0.3">
      <c r="A69" t="s">
        <v>68</v>
      </c>
      <c r="B69">
        <v>0</v>
      </c>
      <c r="C69">
        <v>2.2185E-4</v>
      </c>
      <c r="D69">
        <v>2.40867E-4</v>
      </c>
      <c r="E69">
        <v>2.2992800000000001E-4</v>
      </c>
      <c r="F69">
        <v>2.3950499999999999E-4</v>
      </c>
      <c r="G69">
        <v>2.6747499999999998E-4</v>
      </c>
      <c r="H69">
        <v>2.9454699999999998E-4</v>
      </c>
      <c r="I69">
        <v>2.8089899999999998E-4</v>
      </c>
      <c r="J69">
        <v>2.8664599999999999E-4</v>
      </c>
      <c r="K69">
        <v>2.7740799999999998E-4</v>
      </c>
      <c r="L69">
        <v>2.9082199999999999E-4</v>
      </c>
      <c r="M69">
        <v>3.10248E-4</v>
      </c>
      <c r="N69">
        <v>3.6036500000000002E-4</v>
      </c>
      <c r="O69">
        <v>3.7244999999999997E-4</v>
      </c>
      <c r="P69">
        <v>3.81011E-4</v>
      </c>
      <c r="Q69">
        <v>3.8185500000000001E-4</v>
      </c>
      <c r="R69">
        <v>3.8371299999999999E-4</v>
      </c>
      <c r="S69">
        <v>3.8561699999999999E-4</v>
      </c>
      <c r="T69">
        <v>3.8578400000000002E-4</v>
      </c>
      <c r="U69">
        <v>3.8422899999999998E-4</v>
      </c>
      <c r="V69">
        <v>3.8919200000000001E-4</v>
      </c>
      <c r="W69">
        <v>3.9727600000000001E-4</v>
      </c>
      <c r="X69">
        <v>4.0566300000000001E-4</v>
      </c>
      <c r="Y69">
        <v>4.14156E-4</v>
      </c>
      <c r="Z69">
        <v>4.2274899999999999E-4</v>
      </c>
      <c r="AA69">
        <v>4.3139600000000001E-4</v>
      </c>
      <c r="AB69">
        <v>4.3994599999999998E-4</v>
      </c>
      <c r="AC69">
        <v>4.4864699999999999E-4</v>
      </c>
      <c r="AD69">
        <v>4.5749899999999999E-4</v>
      </c>
      <c r="AE69">
        <v>4.66496E-4</v>
      </c>
      <c r="AF69">
        <v>4.7561000000000001E-4</v>
      </c>
      <c r="AG69">
        <v>4.8761099999999999E-4</v>
      </c>
      <c r="AH69">
        <v>4.9993300000000004E-4</v>
      </c>
      <c r="AI69">
        <v>5.1258399999999996E-4</v>
      </c>
      <c r="AJ69">
        <v>5.2557000000000005E-4</v>
      </c>
      <c r="AK69">
        <v>5.38898E-4</v>
      </c>
      <c r="AL69">
        <v>5.5257899999999998E-4</v>
      </c>
      <c r="AM69">
        <v>5.6661899999999998E-4</v>
      </c>
      <c r="AN69">
        <v>5.8102700000000002E-4</v>
      </c>
      <c r="AO69">
        <v>5.9581100000000002E-4</v>
      </c>
      <c r="AP69">
        <v>6.1098299999999995E-4</v>
      </c>
    </row>
    <row r="70" spans="1:42" x14ac:dyDescent="0.3">
      <c r="A70" t="s">
        <v>69</v>
      </c>
      <c r="B70">
        <v>0</v>
      </c>
      <c r="C70" s="1">
        <v>1.96421E-5</v>
      </c>
      <c r="D70" s="1">
        <v>2.40942E-5</v>
      </c>
      <c r="E70" s="1">
        <v>2.4842200000000001E-5</v>
      </c>
      <c r="F70" s="1">
        <v>2.7724000000000001E-5</v>
      </c>
      <c r="G70" s="1">
        <v>3.3863099999999998E-5</v>
      </c>
      <c r="H70" s="1">
        <v>3.7267000000000001E-5</v>
      </c>
      <c r="I70" s="1">
        <v>3.7155700000000001E-5</v>
      </c>
      <c r="J70" s="1">
        <v>3.75201E-5</v>
      </c>
      <c r="K70" s="1">
        <v>3.6550300000000001E-5</v>
      </c>
      <c r="L70" s="1">
        <v>3.82959E-5</v>
      </c>
      <c r="M70" s="1">
        <v>4.2367999999999998E-5</v>
      </c>
      <c r="N70" s="1">
        <v>4.7931900000000001E-5</v>
      </c>
      <c r="O70" s="1">
        <v>5.0466900000000003E-5</v>
      </c>
      <c r="P70" s="1">
        <v>5.1791800000000001E-5</v>
      </c>
      <c r="Q70" s="1">
        <v>5.1967199999999999E-5</v>
      </c>
      <c r="R70" s="1">
        <v>5.2164599999999999E-5</v>
      </c>
      <c r="S70" s="1">
        <v>5.2264700000000001E-5</v>
      </c>
      <c r="T70" s="1">
        <v>5.2083699999999997E-5</v>
      </c>
      <c r="U70" s="1">
        <v>5.2122500000000001E-5</v>
      </c>
      <c r="V70" s="1">
        <v>5.3072200000000003E-5</v>
      </c>
      <c r="W70" s="1">
        <v>5.44397E-5</v>
      </c>
      <c r="X70" s="1">
        <v>5.5863199999999997E-5</v>
      </c>
      <c r="Y70" s="1">
        <v>5.73321E-5</v>
      </c>
      <c r="Z70" s="1">
        <v>5.8847700000000002E-5</v>
      </c>
      <c r="AA70" s="1">
        <v>6.0406299999999998E-5</v>
      </c>
      <c r="AB70" s="1">
        <v>6.1903300000000001E-5</v>
      </c>
      <c r="AC70" s="1">
        <v>6.3442999999999995E-5</v>
      </c>
      <c r="AD70" s="1">
        <v>6.5026500000000005E-5</v>
      </c>
      <c r="AE70" s="1">
        <v>6.6654600000000004E-5</v>
      </c>
      <c r="AF70" s="1">
        <v>6.8324600000000006E-5</v>
      </c>
      <c r="AG70" s="1">
        <v>7.0300899999999996E-5</v>
      </c>
      <c r="AH70" s="1">
        <v>7.2336799999999995E-5</v>
      </c>
      <c r="AI70" s="1">
        <v>7.4433799999999999E-5</v>
      </c>
      <c r="AJ70" s="1">
        <v>7.6593600000000005E-5</v>
      </c>
      <c r="AK70" s="1">
        <v>7.8817600000000002E-5</v>
      </c>
      <c r="AL70" s="1">
        <v>8.1108100000000004E-5</v>
      </c>
      <c r="AM70" s="1">
        <v>8.3466800000000005E-5</v>
      </c>
      <c r="AN70" s="1">
        <v>8.5895499999999998E-5</v>
      </c>
      <c r="AO70" s="1">
        <v>8.8396500000000007E-5</v>
      </c>
      <c r="AP70" s="1">
        <v>9.0972100000000003E-5</v>
      </c>
    </row>
    <row r="71" spans="1:42" x14ac:dyDescent="0.3">
      <c r="A71" t="s">
        <v>70</v>
      </c>
      <c r="B71">
        <v>0</v>
      </c>
      <c r="C71" s="1">
        <v>4.0685100000000001E-5</v>
      </c>
      <c r="D71" s="1">
        <v>4.63522E-5</v>
      </c>
      <c r="E71" s="1">
        <v>4.6605299999999999E-5</v>
      </c>
      <c r="F71" s="1">
        <v>4.8891299999999997E-5</v>
      </c>
      <c r="G71" s="1">
        <v>5.3415000000000003E-5</v>
      </c>
      <c r="H71" s="1">
        <v>5.9068199999999998E-5</v>
      </c>
      <c r="I71" s="1">
        <v>5.5953599999999999E-5</v>
      </c>
      <c r="J71" s="1">
        <v>5.8545799999999998E-5</v>
      </c>
      <c r="K71" s="1">
        <v>5.6733600000000002E-5</v>
      </c>
      <c r="L71" s="1">
        <v>5.8343600000000002E-5</v>
      </c>
      <c r="M71" s="1">
        <v>6.4657400000000002E-5</v>
      </c>
      <c r="N71" s="1">
        <v>7.3264799999999997E-5</v>
      </c>
      <c r="O71" s="1">
        <v>7.6216299999999997E-5</v>
      </c>
      <c r="P71" s="1">
        <v>7.8232999999999994E-5</v>
      </c>
      <c r="Q71" s="1">
        <v>7.8631800000000002E-5</v>
      </c>
      <c r="R71" s="1">
        <v>7.9212099999999993E-5</v>
      </c>
      <c r="S71" s="1">
        <v>7.9847300000000004E-5</v>
      </c>
      <c r="T71" s="1">
        <v>8.02812E-5</v>
      </c>
      <c r="U71" s="1">
        <v>8.0401499999999999E-5</v>
      </c>
      <c r="V71" s="1">
        <v>8.1934999999999994E-5</v>
      </c>
      <c r="W71" s="1">
        <v>8.4123700000000002E-5</v>
      </c>
      <c r="X71" s="1">
        <v>8.6389099999999996E-5</v>
      </c>
      <c r="Y71" s="1">
        <v>8.8735199999999997E-5</v>
      </c>
      <c r="Z71" s="1">
        <v>9.11654E-5</v>
      </c>
      <c r="AA71" s="1">
        <v>9.3675099999999994E-5</v>
      </c>
      <c r="AB71" s="1">
        <v>9.6103700000000006E-5</v>
      </c>
      <c r="AC71" s="1">
        <v>9.86134E-5</v>
      </c>
      <c r="AD71">
        <v>1.01208E-4</v>
      </c>
      <c r="AE71">
        <v>1.0388899999999999E-4</v>
      </c>
      <c r="AF71">
        <v>1.06654E-4</v>
      </c>
      <c r="AG71">
        <v>1.09918E-4</v>
      </c>
      <c r="AH71">
        <v>1.13299E-4</v>
      </c>
      <c r="AI71">
        <v>1.16801E-4</v>
      </c>
      <c r="AJ71">
        <v>1.2042800000000001E-4</v>
      </c>
      <c r="AK71">
        <v>1.2418600000000001E-4</v>
      </c>
      <c r="AL71">
        <v>1.2807899999999999E-4</v>
      </c>
      <c r="AM71">
        <v>1.32113E-4</v>
      </c>
      <c r="AN71">
        <v>1.3629399999999999E-4</v>
      </c>
      <c r="AO71">
        <v>1.4062699999999999E-4</v>
      </c>
      <c r="AP71">
        <v>1.45119E-4</v>
      </c>
    </row>
    <row r="72" spans="1:42" x14ac:dyDescent="0.3">
      <c r="A72" t="s">
        <v>71</v>
      </c>
      <c r="B72">
        <v>0</v>
      </c>
      <c r="C72">
        <v>4.2610189999999996E-3</v>
      </c>
      <c r="D72">
        <v>3.9833719999999998E-3</v>
      </c>
      <c r="E72">
        <v>3.8093409999999999E-3</v>
      </c>
      <c r="F72">
        <v>3.5479090000000001E-3</v>
      </c>
      <c r="G72">
        <v>3.4762460000000001E-3</v>
      </c>
      <c r="H72">
        <v>3.3181840000000001E-3</v>
      </c>
      <c r="I72">
        <v>3.2389459999999999E-3</v>
      </c>
      <c r="J72">
        <v>3.2276190000000001E-3</v>
      </c>
      <c r="K72">
        <v>3.0728180000000002E-3</v>
      </c>
      <c r="L72">
        <v>2.8512239999999999E-3</v>
      </c>
      <c r="M72">
        <v>2.8456660000000002E-3</v>
      </c>
      <c r="N72">
        <v>2.8353969999999999E-3</v>
      </c>
      <c r="O72">
        <v>2.8774930000000001E-3</v>
      </c>
      <c r="P72">
        <v>2.8835430000000001E-3</v>
      </c>
      <c r="Q72">
        <v>2.820206E-3</v>
      </c>
      <c r="R72">
        <v>2.7841490000000001E-3</v>
      </c>
      <c r="S72">
        <v>2.765048E-3</v>
      </c>
      <c r="T72">
        <v>2.7210229999999999E-3</v>
      </c>
      <c r="U72">
        <v>2.6654080000000002E-3</v>
      </c>
      <c r="V72">
        <v>2.6559190000000001E-3</v>
      </c>
      <c r="W72">
        <v>2.6714500000000001E-3</v>
      </c>
      <c r="X72">
        <v>2.6862840000000002E-3</v>
      </c>
      <c r="Y72">
        <v>2.7005760000000001E-3</v>
      </c>
      <c r="Z72">
        <v>2.7146729999999999E-3</v>
      </c>
      <c r="AA72">
        <v>2.728383E-3</v>
      </c>
      <c r="AB72">
        <v>2.7400319999999999E-3</v>
      </c>
      <c r="AC72">
        <v>2.7513569999999998E-3</v>
      </c>
      <c r="AD72">
        <v>2.762395E-3</v>
      </c>
      <c r="AE72">
        <v>2.7731650000000002E-3</v>
      </c>
      <c r="AF72">
        <v>2.783542E-3</v>
      </c>
      <c r="AG72">
        <v>2.7879910000000001E-3</v>
      </c>
      <c r="AH72">
        <v>2.792685E-3</v>
      </c>
      <c r="AI72">
        <v>2.7976329999999999E-3</v>
      </c>
      <c r="AJ72">
        <v>2.802845E-3</v>
      </c>
      <c r="AK72">
        <v>2.808325E-3</v>
      </c>
      <c r="AL72">
        <v>2.814118E-3</v>
      </c>
      <c r="AM72">
        <v>2.8202050000000001E-3</v>
      </c>
      <c r="AN72">
        <v>2.8266010000000002E-3</v>
      </c>
      <c r="AO72">
        <v>2.8333170000000001E-3</v>
      </c>
      <c r="AP72">
        <v>2.8403809999999999E-3</v>
      </c>
    </row>
    <row r="73" spans="1:42" x14ac:dyDescent="0.3">
      <c r="A73" t="s">
        <v>72</v>
      </c>
      <c r="B73">
        <v>0</v>
      </c>
      <c r="C73">
        <v>5.6603399999999998E-4</v>
      </c>
      <c r="D73">
        <v>5.5370500000000004E-4</v>
      </c>
      <c r="E73">
        <v>5.4165400000000003E-4</v>
      </c>
      <c r="F73">
        <v>5.29877E-4</v>
      </c>
      <c r="G73">
        <v>5.1837499999999996E-4</v>
      </c>
      <c r="H73">
        <v>5.0997499999999997E-4</v>
      </c>
      <c r="I73">
        <v>5.01604E-4</v>
      </c>
      <c r="J73">
        <v>4.93272E-4</v>
      </c>
      <c r="K73">
        <v>3.7751700000000001E-4</v>
      </c>
      <c r="L73">
        <v>3.8067199999999998E-4</v>
      </c>
      <c r="M73">
        <v>3.9320799999999998E-4</v>
      </c>
      <c r="N73">
        <v>4.3721500000000002E-4</v>
      </c>
      <c r="O73">
        <v>4.52428E-4</v>
      </c>
      <c r="P73">
        <v>4.5203399999999998E-4</v>
      </c>
      <c r="Q73">
        <v>4.3835199999999998E-4</v>
      </c>
      <c r="R73">
        <v>4.26785E-4</v>
      </c>
      <c r="S73">
        <v>4.1582000000000001E-4</v>
      </c>
      <c r="T73">
        <v>4.0648399999999998E-4</v>
      </c>
      <c r="U73">
        <v>3.9552199999999999E-4</v>
      </c>
      <c r="V73">
        <v>3.9008700000000001E-4</v>
      </c>
      <c r="W73">
        <v>3.8642400000000001E-4</v>
      </c>
      <c r="X73">
        <v>3.8266199999999998E-4</v>
      </c>
      <c r="Y73">
        <v>3.7883300000000002E-4</v>
      </c>
      <c r="Z73">
        <v>3.74955E-4</v>
      </c>
      <c r="AA73">
        <v>3.7101499999999998E-4</v>
      </c>
      <c r="AB73">
        <v>3.6647200000000001E-4</v>
      </c>
      <c r="AC73">
        <v>3.61923E-4</v>
      </c>
      <c r="AD73">
        <v>3.57382E-4</v>
      </c>
      <c r="AE73">
        <v>3.5285900000000002E-4</v>
      </c>
      <c r="AF73">
        <v>3.4834299999999998E-4</v>
      </c>
      <c r="AG73">
        <v>3.4338100000000002E-4</v>
      </c>
      <c r="AH73">
        <v>3.38511E-4</v>
      </c>
      <c r="AI73">
        <v>3.3373499999999999E-4</v>
      </c>
      <c r="AJ73">
        <v>3.2905500000000003E-4</v>
      </c>
      <c r="AK73">
        <v>3.2447200000000002E-4</v>
      </c>
      <c r="AL73">
        <v>3.1998900000000002E-4</v>
      </c>
      <c r="AM73">
        <v>3.1560399999999998E-4</v>
      </c>
      <c r="AN73">
        <v>3.1131799999999999E-4</v>
      </c>
      <c r="AO73">
        <v>3.0713099999999998E-4</v>
      </c>
      <c r="AP73">
        <v>3.0304300000000002E-4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8FFF-BC7E-4181-BFB9-990FCCC649EA}">
  <sheetPr>
    <tabColor theme="2"/>
  </sheetPr>
  <dimension ref="A1:AP73"/>
  <sheetViews>
    <sheetView topLeftCell="T25" workbookViewId="0">
      <selection activeCell="AP42" sqref="AP42"/>
    </sheetView>
  </sheetViews>
  <sheetFormatPr defaultRowHeight="15.75" x14ac:dyDescent="0.3"/>
  <sheetData>
    <row r="1" spans="1:42" x14ac:dyDescent="0.3">
      <c r="A1" t="s">
        <v>0</v>
      </c>
    </row>
    <row r="2" spans="1:42" x14ac:dyDescent="0.3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3">
      <c r="A3" t="s">
        <v>2</v>
      </c>
      <c r="B3">
        <f>'Methanol demand shares'!B3*'Indirect NH3 demand sources'!B$4</f>
        <v>0</v>
      </c>
      <c r="C3">
        <f>'Methanol demand shares'!C3*'Indirect NH3 demand sources'!C$4</f>
        <v>0</v>
      </c>
      <c r="D3">
        <f>'Methanol demand shares'!D3*'Indirect NH3 demand sources'!D$4</f>
        <v>0</v>
      </c>
      <c r="E3">
        <f>'Methanol demand shares'!E3*'Indirect NH3 demand sources'!E$4</f>
        <v>0</v>
      </c>
      <c r="F3">
        <f>'Methanol demand shares'!F3*'Indirect NH3 demand sources'!F$4</f>
        <v>0</v>
      </c>
      <c r="G3">
        <f>'Methanol demand shares'!G3*'Indirect NH3 demand sources'!G$4</f>
        <v>0</v>
      </c>
      <c r="H3">
        <f>'Methanol demand shares'!H3*'Indirect NH3 demand sources'!H$4</f>
        <v>0</v>
      </c>
      <c r="I3">
        <f>'Methanol demand shares'!I3*'Indirect NH3 demand sources'!I$4</f>
        <v>0</v>
      </c>
      <c r="J3">
        <f>'Methanol demand shares'!J3*'Indirect NH3 demand sources'!J$4</f>
        <v>0</v>
      </c>
      <c r="K3">
        <f>'Methanol demand shares'!K3*'Indirect NH3 demand sources'!K$4</f>
        <v>0</v>
      </c>
      <c r="L3">
        <f>'Methanol demand shares'!L3*'Indirect NH3 demand sources'!L$4</f>
        <v>0</v>
      </c>
      <c r="M3">
        <f>'Methanol demand shares'!M3*'Indirect NH3 demand sources'!M$4</f>
        <v>0</v>
      </c>
      <c r="N3">
        <f>'Methanol demand shares'!N3*'Indirect NH3 demand sources'!N$4</f>
        <v>0</v>
      </c>
      <c r="O3">
        <f>'Methanol demand shares'!O3*'Indirect NH3 demand sources'!O$4</f>
        <v>0</v>
      </c>
      <c r="P3">
        <f>'Methanol demand shares'!P3*'Indirect NH3 demand sources'!P$4</f>
        <v>0</v>
      </c>
      <c r="Q3">
        <f>'Methanol demand shares'!Q3*'Indirect NH3 demand sources'!Q$4</f>
        <v>0</v>
      </c>
      <c r="R3">
        <f>'Methanol demand shares'!R3*'Indirect NH3 demand sources'!R$4</f>
        <v>0</v>
      </c>
      <c r="S3">
        <f>'Methanol demand shares'!S3*'Indirect NH3 demand sources'!S$4</f>
        <v>0</v>
      </c>
      <c r="T3">
        <f>'Methanol demand shares'!T3*'Indirect NH3 demand sources'!T$4</f>
        <v>0</v>
      </c>
      <c r="U3">
        <f>'Methanol demand shares'!U3*'Indirect NH3 demand sources'!U$4</f>
        <v>0</v>
      </c>
      <c r="V3">
        <f>'Methanol demand shares'!V3*'Indirect NH3 demand sources'!V$4</f>
        <v>0</v>
      </c>
      <c r="W3">
        <f>'Methanol demand shares'!W3*'Indirect NH3 demand sources'!W$4</f>
        <v>2.0126099999999997E-3</v>
      </c>
      <c r="X3">
        <f>'Methanol demand shares'!X3*'Indirect NH3 demand sources'!X$4</f>
        <v>3.9072359999999997E-3</v>
      </c>
      <c r="Y3">
        <f>'Methanol demand shares'!Y3*'Indirect NH3 demand sources'!Y$4</f>
        <v>5.6891699999999995E-3</v>
      </c>
      <c r="Z3">
        <f>'Methanol demand shares'!Z3*'Indirect NH3 demand sources'!Z$4</f>
        <v>7.3634879999999996E-3</v>
      </c>
      <c r="AA3">
        <f>'Methanol demand shares'!AA3*'Indirect NH3 demand sources'!AA$4</f>
        <v>8.9547899999999989E-3</v>
      </c>
      <c r="AB3">
        <f>'Methanol demand shares'!AB3*'Indirect NH3 demand sources'!AB$4</f>
        <v>1.044405E-2</v>
      </c>
      <c r="AC3">
        <f>'Methanol demand shares'!AC3*'Indirect NH3 demand sources'!AC$4</f>
        <v>1.1842855500000001E-2</v>
      </c>
      <c r="AD3">
        <f>'Methanol demand shares'!AD3*'Indirect NH3 demand sources'!AD$4</f>
        <v>1.3155251999999999E-2</v>
      </c>
      <c r="AE3">
        <f>'Methanol demand shares'!AE3*'Indirect NH3 demand sources'!AE$4</f>
        <v>1.43850465E-2</v>
      </c>
      <c r="AF3">
        <f>'Methanol demand shares'!AF3*'Indirect NH3 demand sources'!AF$4</f>
        <v>1.5566759999999999E-2</v>
      </c>
      <c r="AG3">
        <f>'Methanol demand shares'!AG3*'Indirect NH3 demand sources'!AG$4</f>
        <v>1.7354909700000001E-2</v>
      </c>
      <c r="AH3">
        <f>'Methanol demand shares'!AH3*'Indirect NH3 demand sources'!AH$4</f>
        <v>1.90572096E-2</v>
      </c>
      <c r="AI3">
        <f>'Methanol demand shares'!AI3*'Indirect NH3 demand sources'!AI$4</f>
        <v>2.0676698100000005E-2</v>
      </c>
      <c r="AJ3">
        <f>'Methanol demand shares'!AJ3*'Indirect NH3 demand sources'!AJ$4</f>
        <v>2.2216311000000006E-2</v>
      </c>
      <c r="AK3">
        <f>'Methanol demand shares'!AK3*'Indirect NH3 demand sources'!AK$4</f>
        <v>2.3672593500000005E-2</v>
      </c>
      <c r="AL3">
        <f>'Methanol demand shares'!AL3*'Indirect NH3 demand sources'!AL$4</f>
        <v>2.506761720000001E-2</v>
      </c>
      <c r="AM3">
        <f>'Methanol demand shares'!AM3*'Indirect NH3 demand sources'!AM$4</f>
        <v>2.6387172900000009E-2</v>
      </c>
      <c r="AN3">
        <f>'Methanol demand shares'!AN3*'Indirect NH3 demand sources'!AN$4</f>
        <v>2.7636648600000011E-2</v>
      </c>
      <c r="AO3">
        <f>'Methanol demand shares'!AO3*'Indirect NH3 demand sources'!AO$4</f>
        <v>2.8818830700000009E-2</v>
      </c>
      <c r="AP3">
        <f>'Methanol demand shares'!AP3*'Indirect NH3 demand sources'!AP$4</f>
        <v>2.9937996000000001E-2</v>
      </c>
    </row>
    <row r="4" spans="1:42" x14ac:dyDescent="0.3">
      <c r="A4" t="s">
        <v>3</v>
      </c>
      <c r="B4">
        <f>'Methanol demand shares'!B4*'Indirect NH3 demand sources'!B$4</f>
        <v>0</v>
      </c>
      <c r="C4">
        <f>'Methanol demand shares'!C4*'Indirect NH3 demand sources'!C$4</f>
        <v>0</v>
      </c>
      <c r="D4">
        <f>'Methanol demand shares'!D4*'Indirect NH3 demand sources'!D$4</f>
        <v>0</v>
      </c>
      <c r="E4">
        <f>'Methanol demand shares'!E4*'Indirect NH3 demand sources'!E$4</f>
        <v>0</v>
      </c>
      <c r="F4">
        <f>'Methanol demand shares'!F4*'Indirect NH3 demand sources'!F$4</f>
        <v>0</v>
      </c>
      <c r="G4">
        <f>'Methanol demand shares'!G4*'Indirect NH3 demand sources'!G$4</f>
        <v>0</v>
      </c>
      <c r="H4">
        <f>'Methanol demand shares'!H4*'Indirect NH3 demand sources'!H$4</f>
        <v>0</v>
      </c>
      <c r="I4">
        <f>'Methanol demand shares'!I4*'Indirect NH3 demand sources'!I$4</f>
        <v>0</v>
      </c>
      <c r="J4">
        <f>'Methanol demand shares'!J4*'Indirect NH3 demand sources'!J$4</f>
        <v>0</v>
      </c>
      <c r="K4">
        <f>'Methanol demand shares'!K4*'Indirect NH3 demand sources'!K$4</f>
        <v>0</v>
      </c>
      <c r="L4">
        <f>'Methanol demand shares'!L4*'Indirect NH3 demand sources'!L$4</f>
        <v>0</v>
      </c>
      <c r="M4">
        <f>'Methanol demand shares'!M4*'Indirect NH3 demand sources'!M$4</f>
        <v>0</v>
      </c>
      <c r="N4">
        <f>'Methanol demand shares'!N4*'Indirect NH3 demand sources'!N$4</f>
        <v>0</v>
      </c>
      <c r="O4">
        <f>'Methanol demand shares'!O4*'Indirect NH3 demand sources'!O$4</f>
        <v>0</v>
      </c>
      <c r="P4">
        <f>'Methanol demand shares'!P4*'Indirect NH3 demand sources'!P$4</f>
        <v>0</v>
      </c>
      <c r="Q4">
        <f>'Methanol demand shares'!Q4*'Indirect NH3 demand sources'!Q$4</f>
        <v>0</v>
      </c>
      <c r="R4">
        <f>'Methanol demand shares'!R4*'Indirect NH3 demand sources'!R$4</f>
        <v>0</v>
      </c>
      <c r="S4">
        <f>'Methanol demand shares'!S4*'Indirect NH3 demand sources'!S$4</f>
        <v>0</v>
      </c>
      <c r="T4">
        <f>'Methanol demand shares'!T4*'Indirect NH3 demand sources'!T$4</f>
        <v>0</v>
      </c>
      <c r="U4">
        <f>'Methanol demand shares'!U4*'Indirect NH3 demand sources'!U$4</f>
        <v>0</v>
      </c>
      <c r="V4">
        <f>'Methanol demand shares'!V4*'Indirect NH3 demand sources'!V$4</f>
        <v>0</v>
      </c>
      <c r="W4">
        <f>'Methanol demand shares'!W4*'Indirect NH3 demand sources'!W$4</f>
        <v>7.3863599999999998E-4</v>
      </c>
      <c r="X4">
        <f>'Methanol demand shares'!X4*'Indirect NH3 demand sources'!X$4</f>
        <v>1.4496450000000001E-3</v>
      </c>
      <c r="Y4">
        <f>'Methanol demand shares'!Y4*'Indirect NH3 demand sources'!Y$4</f>
        <v>2.1342330000000001E-3</v>
      </c>
      <c r="Z4">
        <f>'Methanol demand shares'!Z4*'Indirect NH3 demand sources'!Z$4</f>
        <v>2.7935520000000004E-3</v>
      </c>
      <c r="AA4">
        <f>'Methanol demand shares'!AA4*'Indirect NH3 demand sources'!AA$4</f>
        <v>3.4277774999999996E-3</v>
      </c>
      <c r="AB4">
        <f>'Methanol demand shares'!AB4*'Indirect NH3 demand sources'!AB$4</f>
        <v>4.0330710000000001E-3</v>
      </c>
      <c r="AC4">
        <f>'Methanol demand shares'!AC4*'Indirect NH3 demand sources'!AC$4</f>
        <v>4.6142459999999998E-3</v>
      </c>
      <c r="AD4">
        <f>'Methanol demand shares'!AD4*'Indirect NH3 demand sources'!AD$4</f>
        <v>5.1723480000000002E-3</v>
      </c>
      <c r="AE4">
        <f>'Methanol demand shares'!AE4*'Indirect NH3 demand sources'!AE$4</f>
        <v>5.7083400000000001E-3</v>
      </c>
      <c r="AF4">
        <f>'Methanol demand shares'!AF4*'Indirect NH3 demand sources'!AF$4</f>
        <v>6.2261850000000004E-3</v>
      </c>
      <c r="AG4">
        <f>'Methanol demand shares'!AG4*'Indirect NH3 demand sources'!AG$4</f>
        <v>6.9981921000000008E-3</v>
      </c>
      <c r="AH4">
        <f>'Methanol demand shares'!AH4*'Indirect NH3 demand sources'!AH$4</f>
        <v>7.7465664000000017E-3</v>
      </c>
      <c r="AI4">
        <f>'Methanol demand shares'!AI4*'Indirect NH3 demand sources'!AI$4</f>
        <v>8.4716490000000012E-3</v>
      </c>
      <c r="AJ4">
        <f>'Methanol demand shares'!AJ4*'Indirect NH3 demand sources'!AJ$4</f>
        <v>9.1739232000000014E-3</v>
      </c>
      <c r="AK4">
        <f>'Methanol demand shares'!AK4*'Indirect NH3 demand sources'!AK$4</f>
        <v>9.8554185000000027E-3</v>
      </c>
      <c r="AL4">
        <f>'Methanol demand shares'!AL4*'Indirect NH3 demand sources'!AL$4</f>
        <v>1.0549686000000003E-2</v>
      </c>
      <c r="AM4">
        <f>'Methanol demand shares'!AM4*'Indirect NH3 demand sources'!AM$4</f>
        <v>1.1228679000000004E-2</v>
      </c>
      <c r="AN4">
        <f>'Methanol demand shares'!AN4*'Indirect NH3 demand sources'!AN$4</f>
        <v>1.1893009200000004E-2</v>
      </c>
      <c r="AO4">
        <f>'Methanol demand shares'!AO4*'Indirect NH3 demand sources'!AO$4</f>
        <v>1.2543135600000005E-2</v>
      </c>
      <c r="AP4">
        <f>'Methanol demand shares'!AP4*'Indirect NH3 demand sources'!AP$4</f>
        <v>1.3181364000000001E-2</v>
      </c>
    </row>
    <row r="5" spans="1:42" x14ac:dyDescent="0.3">
      <c r="A5" t="s">
        <v>4</v>
      </c>
      <c r="B5">
        <f>'Methanol demand shares'!B5*'Indirect NH3 demand sources'!B$4</f>
        <v>0</v>
      </c>
      <c r="C5">
        <f>'Methanol demand shares'!C5*'Indirect NH3 demand sources'!C$4</f>
        <v>0</v>
      </c>
      <c r="D5">
        <f>'Methanol demand shares'!D5*'Indirect NH3 demand sources'!D$4</f>
        <v>0</v>
      </c>
      <c r="E5">
        <f>'Methanol demand shares'!E5*'Indirect NH3 demand sources'!E$4</f>
        <v>0</v>
      </c>
      <c r="F5">
        <f>'Methanol demand shares'!F5*'Indirect NH3 demand sources'!F$4</f>
        <v>0</v>
      </c>
      <c r="G5">
        <f>'Methanol demand shares'!G5*'Indirect NH3 demand sources'!G$4</f>
        <v>0</v>
      </c>
      <c r="H5">
        <f>'Methanol demand shares'!H5*'Indirect NH3 demand sources'!H$4</f>
        <v>0</v>
      </c>
      <c r="I5">
        <f>'Methanol demand shares'!I5*'Indirect NH3 demand sources'!I$4</f>
        <v>0</v>
      </c>
      <c r="J5">
        <f>'Methanol demand shares'!J5*'Indirect NH3 demand sources'!J$4</f>
        <v>0</v>
      </c>
      <c r="K5">
        <f>'Methanol demand shares'!K5*'Indirect NH3 demand sources'!K$4</f>
        <v>0</v>
      </c>
      <c r="L5">
        <f>'Methanol demand shares'!L5*'Indirect NH3 demand sources'!L$4</f>
        <v>0</v>
      </c>
      <c r="M5">
        <f>'Methanol demand shares'!M5*'Indirect NH3 demand sources'!M$4</f>
        <v>0</v>
      </c>
      <c r="N5">
        <f>'Methanol demand shares'!N5*'Indirect NH3 demand sources'!N$4</f>
        <v>0</v>
      </c>
      <c r="O5">
        <f>'Methanol demand shares'!O5*'Indirect NH3 demand sources'!O$4</f>
        <v>0</v>
      </c>
      <c r="P5">
        <f>'Methanol demand shares'!P5*'Indirect NH3 demand sources'!P$4</f>
        <v>0</v>
      </c>
      <c r="Q5">
        <f>'Methanol demand shares'!Q5*'Indirect NH3 demand sources'!Q$4</f>
        <v>0</v>
      </c>
      <c r="R5">
        <f>'Methanol demand shares'!R5*'Indirect NH3 demand sources'!R$4</f>
        <v>0</v>
      </c>
      <c r="S5">
        <f>'Methanol demand shares'!S5*'Indirect NH3 demand sources'!S$4</f>
        <v>0</v>
      </c>
      <c r="T5">
        <f>'Methanol demand shares'!T5*'Indirect NH3 demand sources'!T$4</f>
        <v>0</v>
      </c>
      <c r="U5">
        <f>'Methanol demand shares'!U5*'Indirect NH3 demand sources'!U$4</f>
        <v>0</v>
      </c>
      <c r="V5">
        <f>'Methanol demand shares'!V5*'Indirect NH3 demand sources'!V$4</f>
        <v>0</v>
      </c>
      <c r="W5">
        <f>'Methanol demand shares'!W5*'Indirect NH3 demand sources'!W$4</f>
        <v>2.5867055999999999E-2</v>
      </c>
      <c r="X5">
        <f>'Methanol demand shares'!X5*'Indirect NH3 demand sources'!X$4</f>
        <v>5.0433843000000006E-2</v>
      </c>
      <c r="Y5">
        <f>'Methanol demand shares'!Y5*'Indirect NH3 demand sources'!Y$4</f>
        <v>7.3761448500000007E-2</v>
      </c>
      <c r="Z5">
        <f>'Methanol demand shares'!Z5*'Indirect NH3 demand sources'!Z$4</f>
        <v>9.5908554000000007E-2</v>
      </c>
      <c r="AA5">
        <f>'Methanol demand shares'!AA5*'Indirect NH3 demand sources'!AA$4</f>
        <v>0.11726244750000001</v>
      </c>
      <c r="AB5">
        <f>'Methanol demand shares'!AB5*'Indirect NH3 demand sources'!AB$4</f>
        <v>0.13714944300000001</v>
      </c>
      <c r="AC5">
        <f>'Methanol demand shares'!AC5*'Indirect NH3 demand sources'!AC$4</f>
        <v>0.15597649199999999</v>
      </c>
      <c r="AD5">
        <f>'Methanol demand shares'!AD5*'Indirect NH3 demand sources'!AD$4</f>
        <v>0.173794212</v>
      </c>
      <c r="AE5">
        <f>'Methanol demand shares'!AE5*'Indirect NH3 demand sources'!AE$4</f>
        <v>0.19064971349999998</v>
      </c>
      <c r="AF5">
        <f>'Methanol demand shares'!AF5*'Indirect NH3 demand sources'!AF$4</f>
        <v>0.20705132999999998</v>
      </c>
      <c r="AG5">
        <f>'Methanol demand shares'!AG5*'Indirect NH3 demand sources'!AG$4</f>
        <v>0.23130940860000002</v>
      </c>
      <c r="AH5">
        <f>'Methanol demand shares'!AH5*'Indirect NH3 demand sources'!AH$4</f>
        <v>0.25454140800000002</v>
      </c>
      <c r="AI5">
        <f>'Methanol demand shares'!AI5*'Indirect NH3 demand sources'!AI$4</f>
        <v>0.27678757860000008</v>
      </c>
      <c r="AJ5">
        <f>'Methanol demand shares'!AJ5*'Indirect NH3 demand sources'!AJ$4</f>
        <v>0.29808672660000007</v>
      </c>
      <c r="AK5">
        <f>'Methanol demand shares'!AK5*'Indirect NH3 demand sources'!AK$4</f>
        <v>0.31845425100000008</v>
      </c>
      <c r="AL5">
        <f>'Methanol demand shares'!AL5*'Indirect NH3 demand sources'!AL$4</f>
        <v>0.3380528316000001</v>
      </c>
      <c r="AM5">
        <f>'Methanol demand shares'!AM5*'Indirect NH3 demand sources'!AM$4</f>
        <v>0.35681960160000015</v>
      </c>
      <c r="AN5">
        <f>'Methanol demand shares'!AN5*'Indirect NH3 demand sources'!AN$4</f>
        <v>0.3747878676000001</v>
      </c>
      <c r="AO5">
        <f>'Methanol demand shares'!AO5*'Indirect NH3 demand sources'!AO$4</f>
        <v>0.39198936120000016</v>
      </c>
      <c r="AP5">
        <f>'Methanol demand shares'!AP5*'Indirect NH3 demand sources'!AP$4</f>
        <v>0.40822844400000002</v>
      </c>
    </row>
    <row r="6" spans="1:42" x14ac:dyDescent="0.3">
      <c r="A6" t="s">
        <v>5</v>
      </c>
      <c r="B6">
        <f>'Methanol demand shares'!B6*'Indirect NH3 demand sources'!B$4</f>
        <v>0</v>
      </c>
      <c r="C6">
        <f>'Methanol demand shares'!C6*'Indirect NH3 demand sources'!C$4</f>
        <v>0</v>
      </c>
      <c r="D6">
        <f>'Methanol demand shares'!D6*'Indirect NH3 demand sources'!D$4</f>
        <v>0</v>
      </c>
      <c r="E6">
        <f>'Methanol demand shares'!E6*'Indirect NH3 demand sources'!E$4</f>
        <v>0</v>
      </c>
      <c r="F6">
        <f>'Methanol demand shares'!F6*'Indirect NH3 demand sources'!F$4</f>
        <v>0</v>
      </c>
      <c r="G6">
        <f>'Methanol demand shares'!G6*'Indirect NH3 demand sources'!G$4</f>
        <v>0</v>
      </c>
      <c r="H6">
        <f>'Methanol demand shares'!H6*'Indirect NH3 demand sources'!H$4</f>
        <v>0</v>
      </c>
      <c r="I6">
        <f>'Methanol demand shares'!I6*'Indirect NH3 demand sources'!I$4</f>
        <v>0</v>
      </c>
      <c r="J6">
        <f>'Methanol demand shares'!J6*'Indirect NH3 demand sources'!J$4</f>
        <v>0</v>
      </c>
      <c r="K6">
        <f>'Methanol demand shares'!K6*'Indirect NH3 demand sources'!K$4</f>
        <v>0</v>
      </c>
      <c r="L6">
        <f>'Methanol demand shares'!L6*'Indirect NH3 demand sources'!L$4</f>
        <v>0</v>
      </c>
      <c r="M6">
        <f>'Methanol demand shares'!M6*'Indirect NH3 demand sources'!M$4</f>
        <v>0</v>
      </c>
      <c r="N6">
        <f>'Methanol demand shares'!N6*'Indirect NH3 demand sources'!N$4</f>
        <v>0</v>
      </c>
      <c r="O6">
        <f>'Methanol demand shares'!O6*'Indirect NH3 demand sources'!O$4</f>
        <v>0</v>
      </c>
      <c r="P6">
        <f>'Methanol demand shares'!P6*'Indirect NH3 demand sources'!P$4</f>
        <v>0</v>
      </c>
      <c r="Q6">
        <f>'Methanol demand shares'!Q6*'Indirect NH3 demand sources'!Q$4</f>
        <v>0</v>
      </c>
      <c r="R6">
        <f>'Methanol demand shares'!R6*'Indirect NH3 demand sources'!R$4</f>
        <v>0</v>
      </c>
      <c r="S6">
        <f>'Methanol demand shares'!S6*'Indirect NH3 demand sources'!S$4</f>
        <v>0</v>
      </c>
      <c r="T6">
        <f>'Methanol demand shares'!T6*'Indirect NH3 demand sources'!T$4</f>
        <v>0</v>
      </c>
      <c r="U6">
        <f>'Methanol demand shares'!U6*'Indirect NH3 demand sources'!U$4</f>
        <v>0</v>
      </c>
      <c r="V6">
        <f>'Methanol demand shares'!V6*'Indirect NH3 demand sources'!V$4</f>
        <v>0</v>
      </c>
      <c r="W6">
        <f>'Methanol demand shares'!W6*'Indirect NH3 demand sources'!W$4</f>
        <v>6.6122849999999999E-4</v>
      </c>
      <c r="X6">
        <f>'Methanol demand shares'!X6*'Indirect NH3 demand sources'!X$4</f>
        <v>1.297353E-3</v>
      </c>
      <c r="Y6">
        <f>'Methanol demand shares'!Y6*'Indirect NH3 demand sources'!Y$4</f>
        <v>1.9093365000000001E-3</v>
      </c>
      <c r="Z6">
        <f>'Methanol demand shares'!Z6*'Indirect NH3 demand sources'!Z$4</f>
        <v>2.498058E-3</v>
      </c>
      <c r="AA6">
        <f>'Methanol demand shares'!AA6*'Indirect NH3 demand sources'!AA$4</f>
        <v>3.0667950000000002E-3</v>
      </c>
      <c r="AB6">
        <f>'Methanol demand shares'!AB6*'Indirect NH3 demand sources'!AB$4</f>
        <v>3.6055170000000004E-3</v>
      </c>
      <c r="AC6">
        <f>'Methanol demand shares'!AC6*'Indirect NH3 demand sources'!AC$4</f>
        <v>4.1217014999999999E-3</v>
      </c>
      <c r="AD6">
        <f>'Methanol demand shares'!AD6*'Indirect NH3 demand sources'!AD$4</f>
        <v>4.6162799999999995E-3</v>
      </c>
      <c r="AE6">
        <f>'Methanol demand shares'!AE6*'Indirect NH3 demand sources'!AE$4</f>
        <v>5.0901344999999994E-3</v>
      </c>
      <c r="AF6">
        <f>'Methanol demand shares'!AF6*'Indirect NH3 demand sources'!AF$4</f>
        <v>5.5456500000000001E-3</v>
      </c>
      <c r="AG6">
        <f>'Methanol demand shares'!AG6*'Indirect NH3 demand sources'!AG$4</f>
        <v>6.1837533000000007E-3</v>
      </c>
      <c r="AH6">
        <f>'Methanol demand shares'!AH6*'Indirect NH3 demand sources'!AH$4</f>
        <v>6.7920000000000012E-3</v>
      </c>
      <c r="AI6">
        <f>'Methanol demand shares'!AI6*'Indirect NH3 demand sources'!AI$4</f>
        <v>7.3716744000000009E-3</v>
      </c>
      <c r="AJ6">
        <f>'Methanol demand shares'!AJ6*'Indirect NH3 demand sources'!AJ$4</f>
        <v>7.9239186000000031E-3</v>
      </c>
      <c r="AK6">
        <f>'Methanol demand shares'!AK6*'Indirect NH3 demand sources'!AK$4</f>
        <v>8.4490680000000023E-3</v>
      </c>
      <c r="AL6">
        <f>'Methanol demand shares'!AL6*'Indirect NH3 demand sources'!AL$4</f>
        <v>8.951866800000003E-3</v>
      </c>
      <c r="AM6">
        <f>'Methanol demand shares'!AM6*'Indirect NH3 demand sources'!AM$4</f>
        <v>9.4308192000000027E-3</v>
      </c>
      <c r="AN6">
        <f>'Methanol demand shares'!AN6*'Indirect NH3 demand sources'!AN$4</f>
        <v>9.8869380000000048E-3</v>
      </c>
      <c r="AO6">
        <f>'Methanol demand shares'!AO6*'Indirect NH3 demand sources'!AO$4</f>
        <v>1.0321227900000004E-2</v>
      </c>
      <c r="AP6">
        <f>'Methanol demand shares'!AP6*'Indirect NH3 demand sources'!AP$4</f>
        <v>1.073376E-2</v>
      </c>
    </row>
    <row r="7" spans="1:42" x14ac:dyDescent="0.3">
      <c r="A7" t="s">
        <v>6</v>
      </c>
      <c r="B7">
        <f>'Methanol demand shares'!B7*'Indirect NH3 demand sources'!B$4</f>
        <v>0</v>
      </c>
      <c r="C7">
        <f>'Methanol demand shares'!C7*'Indirect NH3 demand sources'!C$4</f>
        <v>0</v>
      </c>
      <c r="D7">
        <f>'Methanol demand shares'!D7*'Indirect NH3 demand sources'!D$4</f>
        <v>0</v>
      </c>
      <c r="E7">
        <f>'Methanol demand shares'!E7*'Indirect NH3 demand sources'!E$4</f>
        <v>0</v>
      </c>
      <c r="F7">
        <f>'Methanol demand shares'!F7*'Indirect NH3 demand sources'!F$4</f>
        <v>0</v>
      </c>
      <c r="G7">
        <f>'Methanol demand shares'!G7*'Indirect NH3 demand sources'!G$4</f>
        <v>0</v>
      </c>
      <c r="H7">
        <f>'Methanol demand shares'!H7*'Indirect NH3 demand sources'!H$4</f>
        <v>0</v>
      </c>
      <c r="I7">
        <f>'Methanol demand shares'!I7*'Indirect NH3 demand sources'!I$4</f>
        <v>0</v>
      </c>
      <c r="J7">
        <f>'Methanol demand shares'!J7*'Indirect NH3 demand sources'!J$4</f>
        <v>0</v>
      </c>
      <c r="K7">
        <f>'Methanol demand shares'!K7*'Indirect NH3 demand sources'!K$4</f>
        <v>0</v>
      </c>
      <c r="L7">
        <f>'Methanol demand shares'!L7*'Indirect NH3 demand sources'!L$4</f>
        <v>0</v>
      </c>
      <c r="M7">
        <f>'Methanol demand shares'!M7*'Indirect NH3 demand sources'!M$4</f>
        <v>0</v>
      </c>
      <c r="N7">
        <f>'Methanol demand shares'!N7*'Indirect NH3 demand sources'!N$4</f>
        <v>0</v>
      </c>
      <c r="O7">
        <f>'Methanol demand shares'!O7*'Indirect NH3 demand sources'!O$4</f>
        <v>0</v>
      </c>
      <c r="P7">
        <f>'Methanol demand shares'!P7*'Indirect NH3 demand sources'!P$4</f>
        <v>0</v>
      </c>
      <c r="Q7">
        <f>'Methanol demand shares'!Q7*'Indirect NH3 demand sources'!Q$4</f>
        <v>0</v>
      </c>
      <c r="R7">
        <f>'Methanol demand shares'!R7*'Indirect NH3 demand sources'!R$4</f>
        <v>0</v>
      </c>
      <c r="S7">
        <f>'Methanol demand shares'!S7*'Indirect NH3 demand sources'!S$4</f>
        <v>0</v>
      </c>
      <c r="T7">
        <f>'Methanol demand shares'!T7*'Indirect NH3 demand sources'!T$4</f>
        <v>0</v>
      </c>
      <c r="U7">
        <f>'Methanol demand shares'!U7*'Indirect NH3 demand sources'!U$4</f>
        <v>0</v>
      </c>
      <c r="V7">
        <f>'Methanol demand shares'!V7*'Indirect NH3 demand sources'!V$4</f>
        <v>0</v>
      </c>
      <c r="W7">
        <f>'Methanol demand shares'!W7*'Indirect NH3 demand sources'!W$4</f>
        <v>5.3829330000000003E-3</v>
      </c>
      <c r="X7">
        <f>'Methanol demand shares'!X7*'Indirect NH3 demand sources'!X$4</f>
        <v>1.0549391999999999E-2</v>
      </c>
      <c r="Y7">
        <f>'Methanol demand shares'!Y7*'Indirect NH3 demand sources'!Y$4</f>
        <v>1.5507670499999999E-2</v>
      </c>
      <c r="Z7">
        <f>'Methanol demand shares'!Z7*'Indirect NH3 demand sources'!Z$4</f>
        <v>2.026596E-2</v>
      </c>
      <c r="AA7">
        <f>'Methanol demand shares'!AA7*'Indirect NH3 demand sources'!AA$4</f>
        <v>2.4831644999999999E-2</v>
      </c>
      <c r="AB7">
        <f>'Methanol demand shares'!AB7*'Indirect NH3 demand sources'!AB$4</f>
        <v>2.9133585E-2</v>
      </c>
      <c r="AC7">
        <f>'Methanol demand shares'!AC7*'Indirect NH3 demand sources'!AC$4</f>
        <v>3.3234285000000002E-2</v>
      </c>
      <c r="AD7">
        <f>'Methanol demand shares'!AD7*'Indirect NH3 demand sources'!AD$4</f>
        <v>3.7141920000000002E-2</v>
      </c>
      <c r="AE7">
        <f>'Methanol demand shares'!AE7*'Indirect NH3 demand sources'!AE$4</f>
        <v>4.0864040999999997E-2</v>
      </c>
      <c r="AF7">
        <f>'Methanol demand shares'!AF7*'Indirect NH3 demand sources'!AF$4</f>
        <v>4.4373885000000002E-2</v>
      </c>
      <c r="AG7">
        <f>'Methanol demand shares'!AG7*'Indirect NH3 demand sources'!AG$4</f>
        <v>4.95138195E-2</v>
      </c>
      <c r="AH7">
        <f>'Methanol demand shares'!AH7*'Indirect NH3 demand sources'!AH$4</f>
        <v>5.4420652800000011E-2</v>
      </c>
      <c r="AI7">
        <f>'Methanol demand shares'!AI7*'Indirect NH3 demand sources'!AI$4</f>
        <v>5.9103559500000014E-2</v>
      </c>
      <c r="AJ7">
        <f>'Methanol demand shares'!AJ7*'Indirect NH3 demand sources'!AJ$4</f>
        <v>6.3571365000000019E-2</v>
      </c>
      <c r="AK7">
        <f>'Methanol demand shares'!AK7*'Indirect NH3 demand sources'!AK$4</f>
        <v>6.7802893500000017E-2</v>
      </c>
      <c r="AL7">
        <f>'Methanol demand shares'!AL7*'Indirect NH3 demand sources'!AL$4</f>
        <v>7.2065421600000026E-2</v>
      </c>
      <c r="AM7">
        <f>'Methanol demand shares'!AM7*'Indirect NH3 demand sources'!AM$4</f>
        <v>7.6161729600000033E-2</v>
      </c>
      <c r="AN7">
        <f>'Methanol demand shares'!AN7*'Indirect NH3 demand sources'!AN$4</f>
        <v>8.0098348800000038E-2</v>
      </c>
      <c r="AO7">
        <f>'Methanol demand shares'!AO7*'Indirect NH3 demand sources'!AO$4</f>
        <v>8.388158370000004E-2</v>
      </c>
      <c r="AP7">
        <f>'Methanol demand shares'!AP7*'Indirect NH3 demand sources'!AP$4</f>
        <v>8.7546924000000012E-2</v>
      </c>
    </row>
    <row r="8" spans="1:42" x14ac:dyDescent="0.3">
      <c r="A8" t="s">
        <v>7</v>
      </c>
      <c r="B8">
        <f>'Methanol demand shares'!B8*'Indirect NH3 demand sources'!B$4</f>
        <v>0</v>
      </c>
      <c r="C8">
        <f>'Methanol demand shares'!C8*'Indirect NH3 demand sources'!C$4</f>
        <v>0</v>
      </c>
      <c r="D8">
        <f>'Methanol demand shares'!D8*'Indirect NH3 demand sources'!D$4</f>
        <v>0</v>
      </c>
      <c r="E8">
        <f>'Methanol demand shares'!E8*'Indirect NH3 demand sources'!E$4</f>
        <v>0</v>
      </c>
      <c r="F8">
        <f>'Methanol demand shares'!F8*'Indirect NH3 demand sources'!F$4</f>
        <v>0</v>
      </c>
      <c r="G8">
        <f>'Methanol demand shares'!G8*'Indirect NH3 demand sources'!G$4</f>
        <v>0</v>
      </c>
      <c r="H8">
        <f>'Methanol demand shares'!H8*'Indirect NH3 demand sources'!H$4</f>
        <v>0</v>
      </c>
      <c r="I8">
        <f>'Methanol demand shares'!I8*'Indirect NH3 demand sources'!I$4</f>
        <v>0</v>
      </c>
      <c r="J8">
        <f>'Methanol demand shares'!J8*'Indirect NH3 demand sources'!J$4</f>
        <v>0</v>
      </c>
      <c r="K8">
        <f>'Methanol demand shares'!K8*'Indirect NH3 demand sources'!K$4</f>
        <v>0</v>
      </c>
      <c r="L8">
        <f>'Methanol demand shares'!L8*'Indirect NH3 demand sources'!L$4</f>
        <v>0</v>
      </c>
      <c r="M8">
        <f>'Methanol demand shares'!M8*'Indirect NH3 demand sources'!M$4</f>
        <v>0</v>
      </c>
      <c r="N8">
        <f>'Methanol demand shares'!N8*'Indirect NH3 demand sources'!N$4</f>
        <v>0</v>
      </c>
      <c r="O8">
        <f>'Methanol demand shares'!O8*'Indirect NH3 demand sources'!O$4</f>
        <v>0</v>
      </c>
      <c r="P8">
        <f>'Methanol demand shares'!P8*'Indirect NH3 demand sources'!P$4</f>
        <v>0</v>
      </c>
      <c r="Q8">
        <f>'Methanol demand shares'!Q8*'Indirect NH3 demand sources'!Q$4</f>
        <v>0</v>
      </c>
      <c r="R8">
        <f>'Methanol demand shares'!R8*'Indirect NH3 demand sources'!R$4</f>
        <v>0</v>
      </c>
      <c r="S8">
        <f>'Methanol demand shares'!S8*'Indirect NH3 demand sources'!S$4</f>
        <v>0</v>
      </c>
      <c r="T8">
        <f>'Methanol demand shares'!T8*'Indirect NH3 demand sources'!T$4</f>
        <v>0</v>
      </c>
      <c r="U8">
        <f>'Methanol demand shares'!U8*'Indirect NH3 demand sources'!U$4</f>
        <v>0</v>
      </c>
      <c r="V8">
        <f>'Methanol demand shares'!V8*'Indirect NH3 demand sources'!V$4</f>
        <v>0</v>
      </c>
      <c r="W8">
        <f>'Methanol demand shares'!W8*'Indirect NH3 demand sources'!W$4</f>
        <v>4.8785234999999998E-3</v>
      </c>
      <c r="X8">
        <f>'Methanol demand shares'!X8*'Indirect NH3 demand sources'!X$4</f>
        <v>9.4696680000000005E-3</v>
      </c>
      <c r="Y8">
        <f>'Methanol demand shares'!Y8*'Indirect NH3 demand sources'!Y$4</f>
        <v>1.3788837E-2</v>
      </c>
      <c r="Z8">
        <f>'Methanol demand shares'!Z8*'Indirect NH3 demand sources'!Z$4</f>
        <v>1.7850660000000001E-2</v>
      </c>
      <c r="AA8">
        <f>'Methanol demand shares'!AA8*'Indirect NH3 demand sources'!AA$4</f>
        <v>2.17002975E-2</v>
      </c>
      <c r="AB8">
        <f>'Methanol demand shares'!AB8*'Indirect NH3 demand sources'!AB$4</f>
        <v>2.5277535E-2</v>
      </c>
      <c r="AC8">
        <f>'Methanol demand shares'!AC8*'Indirect NH3 demand sources'!AC$4</f>
        <v>2.8631106E-2</v>
      </c>
      <c r="AD8">
        <f>'Methanol demand shares'!AD8*'Indirect NH3 demand sources'!AD$4</f>
        <v>3.1772952E-2</v>
      </c>
      <c r="AE8">
        <f>'Methanol demand shares'!AE8*'Indirect NH3 demand sources'!AE$4</f>
        <v>3.4714224000000002E-2</v>
      </c>
      <c r="AF8">
        <f>'Methanol demand shares'!AF8*'Indirect NH3 demand sources'!AF$4</f>
        <v>3.7521120000000005E-2</v>
      </c>
      <c r="AG8">
        <f>'Methanol demand shares'!AG8*'Indirect NH3 demand sources'!AG$4</f>
        <v>4.1768528400000005E-2</v>
      </c>
      <c r="AH8">
        <f>'Methanol demand shares'!AH8*'Indirect NH3 demand sources'!AH$4</f>
        <v>4.5801484800000007E-2</v>
      </c>
      <c r="AI8">
        <f>'Methanol demand shares'!AI8*'Indirect NH3 demand sources'!AI$4</f>
        <v>4.9629553800000004E-2</v>
      </c>
      <c r="AJ8">
        <f>'Methanol demand shares'!AJ8*'Indirect NH3 demand sources'!AJ$4</f>
        <v>5.3261956800000017E-2</v>
      </c>
      <c r="AK8">
        <f>'Methanol demand shares'!AK8*'Indirect NH3 demand sources'!AK$4</f>
        <v>5.6690911500000017E-2</v>
      </c>
      <c r="AL8">
        <f>'Methanol demand shares'!AL8*'Indirect NH3 demand sources'!AL$4</f>
        <v>5.9958295200000018E-2</v>
      </c>
      <c r="AM8">
        <f>'Methanol demand shares'!AM8*'Indirect NH3 demand sources'!AM$4</f>
        <v>6.3055446300000026E-2</v>
      </c>
      <c r="AN8">
        <f>'Methanol demand shares'!AN8*'Indirect NH3 demand sources'!AN$4</f>
        <v>6.5990278800000024E-2</v>
      </c>
      <c r="AO8">
        <f>'Methanol demand shares'!AO8*'Indirect NH3 demand sources'!AO$4</f>
        <v>6.877038750000003E-2</v>
      </c>
      <c r="AP8">
        <f>'Methanol demand shares'!AP8*'Indirect NH3 demand sources'!AP$4</f>
        <v>7.1378423999999996E-2</v>
      </c>
    </row>
    <row r="9" spans="1:42" x14ac:dyDescent="0.3">
      <c r="A9" t="s">
        <v>8</v>
      </c>
      <c r="B9">
        <f>'Methanol demand shares'!B9*'Indirect NH3 demand sources'!B$4</f>
        <v>0</v>
      </c>
      <c r="C9">
        <f>'Methanol demand shares'!C9*'Indirect NH3 demand sources'!C$4</f>
        <v>0</v>
      </c>
      <c r="D9">
        <f>'Methanol demand shares'!D9*'Indirect NH3 demand sources'!D$4</f>
        <v>0</v>
      </c>
      <c r="E9">
        <f>'Methanol demand shares'!E9*'Indirect NH3 demand sources'!E$4</f>
        <v>0</v>
      </c>
      <c r="F9">
        <f>'Methanol demand shares'!F9*'Indirect NH3 demand sources'!F$4</f>
        <v>0</v>
      </c>
      <c r="G9">
        <f>'Methanol demand shares'!G9*'Indirect NH3 demand sources'!G$4</f>
        <v>0</v>
      </c>
      <c r="H9">
        <f>'Methanol demand shares'!H9*'Indirect NH3 demand sources'!H$4</f>
        <v>0</v>
      </c>
      <c r="I9">
        <f>'Methanol demand shares'!I9*'Indirect NH3 demand sources'!I$4</f>
        <v>0</v>
      </c>
      <c r="J9">
        <f>'Methanol demand shares'!J9*'Indirect NH3 demand sources'!J$4</f>
        <v>0</v>
      </c>
      <c r="K9">
        <f>'Methanol demand shares'!K9*'Indirect NH3 demand sources'!K$4</f>
        <v>0</v>
      </c>
      <c r="L9">
        <f>'Methanol demand shares'!L9*'Indirect NH3 demand sources'!L$4</f>
        <v>0</v>
      </c>
      <c r="M9">
        <f>'Methanol demand shares'!M9*'Indirect NH3 demand sources'!M$4</f>
        <v>0</v>
      </c>
      <c r="N9">
        <f>'Methanol demand shares'!N9*'Indirect NH3 demand sources'!N$4</f>
        <v>0</v>
      </c>
      <c r="O9">
        <f>'Methanol demand shares'!O9*'Indirect NH3 demand sources'!O$4</f>
        <v>0</v>
      </c>
      <c r="P9">
        <f>'Methanol demand shares'!P9*'Indirect NH3 demand sources'!P$4</f>
        <v>0</v>
      </c>
      <c r="Q9">
        <f>'Methanol demand shares'!Q9*'Indirect NH3 demand sources'!Q$4</f>
        <v>0</v>
      </c>
      <c r="R9">
        <f>'Methanol demand shares'!R9*'Indirect NH3 demand sources'!R$4</f>
        <v>0</v>
      </c>
      <c r="S9">
        <f>'Methanol demand shares'!S9*'Indirect NH3 demand sources'!S$4</f>
        <v>0</v>
      </c>
      <c r="T9">
        <f>'Methanol demand shares'!T9*'Indirect NH3 demand sources'!T$4</f>
        <v>0</v>
      </c>
      <c r="U9">
        <f>'Methanol demand shares'!U9*'Indirect NH3 demand sources'!U$4</f>
        <v>0</v>
      </c>
      <c r="V9">
        <f>'Methanol demand shares'!V9*'Indirect NH3 demand sources'!V$4</f>
        <v>0</v>
      </c>
      <c r="W9">
        <f>'Methanol demand shares'!W9*'Indirect NH3 demand sources'!W$4</f>
        <v>3.397368E-3</v>
      </c>
      <c r="X9">
        <f>'Methanol demand shares'!X9*'Indirect NH3 demand sources'!X$4</f>
        <v>7.0215960000000006E-3</v>
      </c>
      <c r="Y9">
        <f>'Methanol demand shares'!Y9*'Indirect NH3 demand sources'!Y$4</f>
        <v>1.0886674499999999E-2</v>
      </c>
      <c r="Z9">
        <f>'Methanol demand shares'!Z9*'Indirect NH3 demand sources'!Z$4</f>
        <v>1.5007451999999999E-2</v>
      </c>
      <c r="AA9">
        <f>'Methanol demand shares'!AA9*'Indirect NH3 demand sources'!AA$4</f>
        <v>1.94034675E-2</v>
      </c>
      <c r="AB9">
        <f>'Methanol demand shares'!AB9*'Indirect NH3 demand sources'!AB$4</f>
        <v>2.4048999000000001E-2</v>
      </c>
      <c r="AC9">
        <f>'Methanol demand shares'!AC9*'Indirect NH3 demand sources'!AC$4</f>
        <v>2.8985481E-2</v>
      </c>
      <c r="AD9">
        <f>'Methanol demand shares'!AD9*'Indirect NH3 demand sources'!AD$4</f>
        <v>3.4230384000000003E-2</v>
      </c>
      <c r="AE9">
        <f>'Methanol demand shares'!AE9*'Indirect NH3 demand sources'!AE$4</f>
        <v>3.9802009499999999E-2</v>
      </c>
      <c r="AF9">
        <f>'Methanol demand shares'!AF9*'Indirect NH3 demand sources'!AF$4</f>
        <v>4.5711555000000001E-2</v>
      </c>
      <c r="AG9">
        <f>'Methanol demand shares'!AG9*'Indirect NH3 demand sources'!AG$4</f>
        <v>5.4078835500000005E-2</v>
      </c>
      <c r="AH9">
        <f>'Methanol demand shares'!AH9*'Indirect NH3 demand sources'!AH$4</f>
        <v>6.3025497600000008E-2</v>
      </c>
      <c r="AI9">
        <f>'Methanol demand shares'!AI9*'Indirect NH3 demand sources'!AI$4</f>
        <v>7.258831260000001E-2</v>
      </c>
      <c r="AJ9">
        <f>'Methanol demand shares'!AJ9*'Indirect NH3 demand sources'!AJ$4</f>
        <v>8.2806399000000017E-2</v>
      </c>
      <c r="AK9">
        <f>'Methanol demand shares'!AK9*'Indirect NH3 demand sources'!AK$4</f>
        <v>9.3705895500000025E-2</v>
      </c>
      <c r="AL9">
        <f>'Methanol demand shares'!AL9*'Indirect NH3 demand sources'!AL$4</f>
        <v>0.10533059760000003</v>
      </c>
      <c r="AM9">
        <f>'Methanol demand shares'!AM9*'Indirect NH3 demand sources'!AM$4</f>
        <v>0.11773486890000005</v>
      </c>
      <c r="AN9">
        <f>'Methanol demand shares'!AN9*'Indirect NH3 demand sources'!AN$4</f>
        <v>0.13096760040000005</v>
      </c>
      <c r="AO9">
        <f>'Methanol demand shares'!AO9*'Indirect NH3 demand sources'!AO$4</f>
        <v>0.14508088080000006</v>
      </c>
      <c r="AP9">
        <f>'Methanol demand shares'!AP9*'Indirect NH3 demand sources'!AP$4</f>
        <v>0.160141968</v>
      </c>
    </row>
    <row r="10" spans="1:42" x14ac:dyDescent="0.3">
      <c r="A10" t="s">
        <v>9</v>
      </c>
      <c r="B10">
        <f>'Methanol demand shares'!B10*'Indirect NH3 demand sources'!B$4</f>
        <v>0</v>
      </c>
      <c r="C10">
        <f>'Methanol demand shares'!C10*'Indirect NH3 demand sources'!C$4</f>
        <v>0</v>
      </c>
      <c r="D10">
        <f>'Methanol demand shares'!D10*'Indirect NH3 demand sources'!D$4</f>
        <v>0</v>
      </c>
      <c r="E10">
        <f>'Methanol demand shares'!E10*'Indirect NH3 demand sources'!E$4</f>
        <v>0</v>
      </c>
      <c r="F10">
        <f>'Methanol demand shares'!F10*'Indirect NH3 demand sources'!F$4</f>
        <v>0</v>
      </c>
      <c r="G10">
        <f>'Methanol demand shares'!G10*'Indirect NH3 demand sources'!G$4</f>
        <v>0</v>
      </c>
      <c r="H10">
        <f>'Methanol demand shares'!H10*'Indirect NH3 demand sources'!H$4</f>
        <v>0</v>
      </c>
      <c r="I10">
        <f>'Methanol demand shares'!I10*'Indirect NH3 demand sources'!I$4</f>
        <v>0</v>
      </c>
      <c r="J10">
        <f>'Methanol demand shares'!J10*'Indirect NH3 demand sources'!J$4</f>
        <v>0</v>
      </c>
      <c r="K10">
        <f>'Methanol demand shares'!K10*'Indirect NH3 demand sources'!K$4</f>
        <v>0</v>
      </c>
      <c r="L10">
        <f>'Methanol demand shares'!L10*'Indirect NH3 demand sources'!L$4</f>
        <v>0</v>
      </c>
      <c r="M10">
        <f>'Methanol demand shares'!M10*'Indirect NH3 demand sources'!M$4</f>
        <v>0</v>
      </c>
      <c r="N10">
        <f>'Methanol demand shares'!N10*'Indirect NH3 demand sources'!N$4</f>
        <v>0</v>
      </c>
      <c r="O10">
        <f>'Methanol demand shares'!O10*'Indirect NH3 demand sources'!O$4</f>
        <v>0</v>
      </c>
      <c r="P10">
        <f>'Methanol demand shares'!P10*'Indirect NH3 demand sources'!P$4</f>
        <v>0</v>
      </c>
      <c r="Q10">
        <f>'Methanol demand shares'!Q10*'Indirect NH3 demand sources'!Q$4</f>
        <v>0</v>
      </c>
      <c r="R10">
        <f>'Methanol demand shares'!R10*'Indirect NH3 demand sources'!R$4</f>
        <v>0</v>
      </c>
      <c r="S10">
        <f>'Methanol demand shares'!S10*'Indirect NH3 demand sources'!S$4</f>
        <v>0</v>
      </c>
      <c r="T10">
        <f>'Methanol demand shares'!T10*'Indirect NH3 demand sources'!T$4</f>
        <v>0</v>
      </c>
      <c r="U10">
        <f>'Methanol demand shares'!U10*'Indirect NH3 demand sources'!U$4</f>
        <v>0</v>
      </c>
      <c r="V10">
        <f>'Methanol demand shares'!V10*'Indirect NH3 demand sources'!V$4</f>
        <v>0</v>
      </c>
      <c r="W10">
        <f>'Methanol demand shares'!W10*'Indirect NH3 demand sources'!W$4</f>
        <v>7.1845904999999991E-3</v>
      </c>
      <c r="X10">
        <f>'Methanol demand shares'!X10*'Indirect NH3 demand sources'!X$4</f>
        <v>1.3977108E-2</v>
      </c>
      <c r="Y10">
        <f>'Methanol demand shares'!Y10*'Indirect NH3 demand sources'!Y$4</f>
        <v>2.0396025000000002E-2</v>
      </c>
      <c r="Z10">
        <f>'Methanol demand shares'!Z10*'Indirect NH3 demand sources'!Z$4</f>
        <v>2.6459033999999999E-2</v>
      </c>
      <c r="AA10">
        <f>'Methanol demand shares'!AA10*'Indirect NH3 demand sources'!AA$4</f>
        <v>3.2286532499999999E-2</v>
      </c>
      <c r="AB10">
        <f>'Methanol demand shares'!AB10*'Indirect NH3 demand sources'!AB$4</f>
        <v>3.7824714000000002E-2</v>
      </c>
      <c r="AC10">
        <f>'Methanol demand shares'!AC10*'Indirect NH3 demand sources'!AC$4</f>
        <v>4.3086928500000003E-2</v>
      </c>
      <c r="AD10">
        <f>'Methanol demand shares'!AD10*'Indirect NH3 demand sources'!AD$4</f>
        <v>4.8085308E-2</v>
      </c>
      <c r="AE10">
        <f>'Methanol demand shares'!AE10*'Indirect NH3 demand sources'!AE$4</f>
        <v>5.2831156499999997E-2</v>
      </c>
      <c r="AF10">
        <f>'Methanol demand shares'!AF10*'Indirect NH3 demand sources'!AF$4</f>
        <v>5.7412890000000001E-2</v>
      </c>
      <c r="AG10">
        <f>'Methanol demand shares'!AG10*'Indirect NH3 demand sources'!AG$4</f>
        <v>6.4304276400000013E-2</v>
      </c>
      <c r="AH10">
        <f>'Methanol demand shares'!AH10*'Indirect NH3 demand sources'!AH$4</f>
        <v>7.0942809600000017E-2</v>
      </c>
      <c r="AI10">
        <f>'Methanol demand shares'!AI10*'Indirect NH3 demand sources'!AI$4</f>
        <v>7.7337147600000017E-2</v>
      </c>
      <c r="AJ10">
        <f>'Methanol demand shares'!AJ10*'Indirect NH3 demand sources'!AJ$4</f>
        <v>8.3495786400000022E-2</v>
      </c>
      <c r="AK10">
        <f>'Methanol demand shares'!AK10*'Indirect NH3 demand sources'!AK$4</f>
        <v>8.951772450000002E-2</v>
      </c>
      <c r="AL10">
        <f>'Methanol demand shares'!AL10*'Indirect NH3 demand sources'!AL$4</f>
        <v>9.5308761600000028E-2</v>
      </c>
      <c r="AM10">
        <f>'Methanol demand shares'!AM10*'Indirect NH3 demand sources'!AM$4</f>
        <v>0.10089782010000004</v>
      </c>
      <c r="AN10">
        <f>'Methanol demand shares'!AN10*'Indirect NH3 demand sources'!AN$4</f>
        <v>0.10629274020000003</v>
      </c>
      <c r="AO10">
        <f>'Methanol demand shares'!AO10*'Indirect NH3 demand sources'!AO$4</f>
        <v>0.11150089680000004</v>
      </c>
      <c r="AP10">
        <f>'Methanol demand shares'!AP10*'Indirect NH3 demand sources'!AP$4</f>
        <v>0.116643276</v>
      </c>
    </row>
    <row r="11" spans="1:42" x14ac:dyDescent="0.3">
      <c r="A11" t="s">
        <v>10</v>
      </c>
      <c r="B11">
        <f>'Methanol demand shares'!B11*'Indirect NH3 demand sources'!B$4</f>
        <v>0</v>
      </c>
      <c r="C11">
        <f>'Methanol demand shares'!C11*'Indirect NH3 demand sources'!C$4</f>
        <v>0</v>
      </c>
      <c r="D11">
        <f>'Methanol demand shares'!D11*'Indirect NH3 demand sources'!D$4</f>
        <v>0</v>
      </c>
      <c r="E11">
        <f>'Methanol demand shares'!E11*'Indirect NH3 demand sources'!E$4</f>
        <v>0</v>
      </c>
      <c r="F11">
        <f>'Methanol demand shares'!F11*'Indirect NH3 demand sources'!F$4</f>
        <v>0</v>
      </c>
      <c r="G11">
        <f>'Methanol demand shares'!G11*'Indirect NH3 demand sources'!G$4</f>
        <v>0</v>
      </c>
      <c r="H11">
        <f>'Methanol demand shares'!H11*'Indirect NH3 demand sources'!H$4</f>
        <v>0</v>
      </c>
      <c r="I11">
        <f>'Methanol demand shares'!I11*'Indirect NH3 demand sources'!I$4</f>
        <v>0</v>
      </c>
      <c r="J11">
        <f>'Methanol demand shares'!J11*'Indirect NH3 demand sources'!J$4</f>
        <v>0</v>
      </c>
      <c r="K11">
        <f>'Methanol demand shares'!K11*'Indirect NH3 demand sources'!K$4</f>
        <v>0</v>
      </c>
      <c r="L11">
        <f>'Methanol demand shares'!L11*'Indirect NH3 demand sources'!L$4</f>
        <v>0</v>
      </c>
      <c r="M11">
        <f>'Methanol demand shares'!M11*'Indirect NH3 demand sources'!M$4</f>
        <v>0</v>
      </c>
      <c r="N11">
        <f>'Methanol demand shares'!N11*'Indirect NH3 demand sources'!N$4</f>
        <v>0</v>
      </c>
      <c r="O11">
        <f>'Methanol demand shares'!O11*'Indirect NH3 demand sources'!O$4</f>
        <v>0</v>
      </c>
      <c r="P11">
        <f>'Methanol demand shares'!P11*'Indirect NH3 demand sources'!P$4</f>
        <v>0</v>
      </c>
      <c r="Q11">
        <f>'Methanol demand shares'!Q11*'Indirect NH3 demand sources'!Q$4</f>
        <v>0</v>
      </c>
      <c r="R11">
        <f>'Methanol demand shares'!R11*'Indirect NH3 demand sources'!R$4</f>
        <v>0</v>
      </c>
      <c r="S11">
        <f>'Methanol demand shares'!S11*'Indirect NH3 demand sources'!S$4</f>
        <v>0</v>
      </c>
      <c r="T11">
        <f>'Methanol demand shares'!T11*'Indirect NH3 demand sources'!T$4</f>
        <v>0</v>
      </c>
      <c r="U11">
        <f>'Methanol demand shares'!U11*'Indirect NH3 demand sources'!U$4</f>
        <v>0</v>
      </c>
      <c r="V11">
        <f>'Methanol demand shares'!V11*'Indirect NH3 demand sources'!V$4</f>
        <v>0</v>
      </c>
      <c r="W11">
        <f>'Methanol demand shares'!W11*'Indirect NH3 demand sources'!W$4</f>
        <v>9.5419499999999997E-5</v>
      </c>
      <c r="X11">
        <f>'Methanol demand shares'!X11*'Indirect NH3 demand sources'!X$4</f>
        <v>1.8938159999999998E-4</v>
      </c>
      <c r="Y11">
        <f>'Methanol demand shares'!Y11*'Indirect NH3 demand sources'!Y$4</f>
        <v>2.8196325000000001E-4</v>
      </c>
      <c r="Z11">
        <f>'Methanol demand shares'!Z11*'Indirect NH3 demand sources'!Z$4</f>
        <v>3.7323959999999997E-4</v>
      </c>
      <c r="AA11">
        <f>'Methanol demand shares'!AA11*'Indirect NH3 demand sources'!AA$4</f>
        <v>4.6327275000000007E-4</v>
      </c>
      <c r="AB11">
        <f>'Methanol demand shares'!AB11*'Indirect NH3 demand sources'!AB$4</f>
        <v>5.5049400000000001E-4</v>
      </c>
      <c r="AC11">
        <f>'Methanol demand shares'!AC11*'Indirect NH3 demand sources'!AC$4</f>
        <v>6.3607949999999996E-4</v>
      </c>
      <c r="AD11">
        <f>'Methanol demand shares'!AD11*'Indirect NH3 demand sources'!AD$4</f>
        <v>7.2010200000000003E-4</v>
      </c>
      <c r="AE11">
        <f>'Methanol demand shares'!AE11*'Indirect NH3 demand sources'!AE$4</f>
        <v>8.0262360000000002E-4</v>
      </c>
      <c r="AF11">
        <f>'Methanol demand shares'!AF11*'Indirect NH3 demand sources'!AF$4</f>
        <v>8.8366049999999993E-4</v>
      </c>
      <c r="AG11">
        <f>'Methanol demand shares'!AG11*'Indirect NH3 demand sources'!AG$4</f>
        <v>1.0000986300000001E-3</v>
      </c>
      <c r="AH11">
        <f>'Methanol demand shares'!AH11*'Indirect NH3 demand sources'!AH$4</f>
        <v>1.1149689600000001E-3</v>
      </c>
      <c r="AI11">
        <f>'Methanol demand shares'!AI11*'Indirect NH3 demand sources'!AI$4</f>
        <v>1.2283326600000001E-3</v>
      </c>
      <c r="AJ11">
        <f>'Methanol demand shares'!AJ11*'Indirect NH3 demand sources'!AJ$4</f>
        <v>1.3402584000000003E-3</v>
      </c>
      <c r="AK11">
        <f>'Methanol demand shares'!AK11*'Indirect NH3 demand sources'!AK$4</f>
        <v>1.4507077500000003E-3</v>
      </c>
      <c r="AL11">
        <f>'Methanol demand shares'!AL11*'Indirect NH3 demand sources'!AL$4</f>
        <v>1.5556629600000005E-3</v>
      </c>
      <c r="AM11">
        <f>'Methanol demand shares'!AM11*'Indirect NH3 demand sources'!AM$4</f>
        <v>1.6587895500000005E-3</v>
      </c>
      <c r="AN11">
        <f>'Methanol demand shares'!AN11*'Indirect NH3 demand sources'!AN$4</f>
        <v>1.7601554400000006E-3</v>
      </c>
      <c r="AO11">
        <f>'Methanol demand shares'!AO11*'Indirect NH3 demand sources'!AO$4</f>
        <v>1.8598285800000007E-3</v>
      </c>
      <c r="AP11">
        <f>'Methanol demand shares'!AP11*'Indirect NH3 demand sources'!AP$4</f>
        <v>1.9577772E-3</v>
      </c>
    </row>
    <row r="12" spans="1:42" x14ac:dyDescent="0.3">
      <c r="A12" t="s">
        <v>11</v>
      </c>
      <c r="B12">
        <f>'Methanol demand shares'!B12*'Indirect NH3 demand sources'!B$4</f>
        <v>0</v>
      </c>
      <c r="C12">
        <f>'Methanol demand shares'!C12*'Indirect NH3 demand sources'!C$4</f>
        <v>0</v>
      </c>
      <c r="D12">
        <f>'Methanol demand shares'!D12*'Indirect NH3 demand sources'!D$4</f>
        <v>0</v>
      </c>
      <c r="E12">
        <f>'Methanol demand shares'!E12*'Indirect NH3 demand sources'!E$4</f>
        <v>0</v>
      </c>
      <c r="F12">
        <f>'Methanol demand shares'!F12*'Indirect NH3 demand sources'!F$4</f>
        <v>0</v>
      </c>
      <c r="G12">
        <f>'Methanol demand shares'!G12*'Indirect NH3 demand sources'!G$4</f>
        <v>0</v>
      </c>
      <c r="H12">
        <f>'Methanol demand shares'!H12*'Indirect NH3 demand sources'!H$4</f>
        <v>0</v>
      </c>
      <c r="I12">
        <f>'Methanol demand shares'!I12*'Indirect NH3 demand sources'!I$4</f>
        <v>0</v>
      </c>
      <c r="J12">
        <f>'Methanol demand shares'!J12*'Indirect NH3 demand sources'!J$4</f>
        <v>0</v>
      </c>
      <c r="K12">
        <f>'Methanol demand shares'!K12*'Indirect NH3 demand sources'!K$4</f>
        <v>0</v>
      </c>
      <c r="L12">
        <f>'Methanol demand shares'!L12*'Indirect NH3 demand sources'!L$4</f>
        <v>0</v>
      </c>
      <c r="M12">
        <f>'Methanol demand shares'!M12*'Indirect NH3 demand sources'!M$4</f>
        <v>0</v>
      </c>
      <c r="N12">
        <f>'Methanol demand shares'!N12*'Indirect NH3 demand sources'!N$4</f>
        <v>0</v>
      </c>
      <c r="O12">
        <f>'Methanol demand shares'!O12*'Indirect NH3 demand sources'!O$4</f>
        <v>0</v>
      </c>
      <c r="P12">
        <f>'Methanol demand shares'!P12*'Indirect NH3 demand sources'!P$4</f>
        <v>0</v>
      </c>
      <c r="Q12">
        <f>'Methanol demand shares'!Q12*'Indirect NH3 demand sources'!Q$4</f>
        <v>0</v>
      </c>
      <c r="R12">
        <f>'Methanol demand shares'!R12*'Indirect NH3 demand sources'!R$4</f>
        <v>0</v>
      </c>
      <c r="S12">
        <f>'Methanol demand shares'!S12*'Indirect NH3 demand sources'!S$4</f>
        <v>0</v>
      </c>
      <c r="T12">
        <f>'Methanol demand shares'!T12*'Indirect NH3 demand sources'!T$4</f>
        <v>0</v>
      </c>
      <c r="U12">
        <f>'Methanol demand shares'!U12*'Indirect NH3 demand sources'!U$4</f>
        <v>0</v>
      </c>
      <c r="V12">
        <f>'Methanol demand shares'!V12*'Indirect NH3 demand sources'!V$4</f>
        <v>0</v>
      </c>
      <c r="W12">
        <f>'Methanol demand shares'!W12*'Indirect NH3 demand sources'!W$4</f>
        <v>1.09922085E-2</v>
      </c>
      <c r="X12">
        <f>'Methanol demand shares'!X12*'Indirect NH3 demand sources'!X$4</f>
        <v>2.1271347000000003E-2</v>
      </c>
      <c r="Y12">
        <f>'Methanol demand shares'!Y12*'Indirect NH3 demand sources'!Y$4</f>
        <v>3.0847936499999999E-2</v>
      </c>
      <c r="Z12">
        <f>'Methanol demand shares'!Z12*'Indirect NH3 demand sources'!Z$4</f>
        <v>3.9731693999999998E-2</v>
      </c>
      <c r="AA12">
        <f>'Methanol demand shares'!AA12*'Indirect NH3 demand sources'!AA$4</f>
        <v>4.8056572499999999E-2</v>
      </c>
      <c r="AB12">
        <f>'Methanol demand shares'!AB12*'Indirect NH3 demand sources'!AB$4</f>
        <v>5.5981845000000002E-2</v>
      </c>
      <c r="AC12">
        <f>'Methanol demand shares'!AC12*'Indirect NH3 demand sources'!AC$4</f>
        <v>6.3406245E-2</v>
      </c>
      <c r="AD12">
        <f>'Methanol demand shares'!AD12*'Indirect NH3 demand sources'!AD$4</f>
        <v>7.0353695999999993E-2</v>
      </c>
      <c r="AE12">
        <f>'Methanol demand shares'!AE12*'Indirect NH3 demand sources'!AE$4</f>
        <v>7.6846536000000007E-2</v>
      </c>
      <c r="AF12">
        <f>'Methanol demand shares'!AF12*'Indirect NH3 demand sources'!AF$4</f>
        <v>8.3209770000000002E-2</v>
      </c>
      <c r="AG12">
        <f>'Methanol demand shares'!AG12*'Indirect NH3 demand sources'!AG$4</f>
        <v>9.2909139299999999E-2</v>
      </c>
      <c r="AH12">
        <f>'Methanol demand shares'!AH12*'Indirect NH3 demand sources'!AH$4</f>
        <v>0.10217255040000001</v>
      </c>
      <c r="AI12">
        <f>'Methanol demand shares'!AI12*'Indirect NH3 demand sources'!AI$4</f>
        <v>0.11101225590000002</v>
      </c>
      <c r="AJ12">
        <f>'Methanol demand shares'!AJ12*'Indirect NH3 demand sources'!AJ$4</f>
        <v>0.11943996480000003</v>
      </c>
      <c r="AK12">
        <f>'Methanol demand shares'!AK12*'Indirect NH3 demand sources'!AK$4</f>
        <v>0.12761811600000003</v>
      </c>
      <c r="AL12">
        <f>'Methanol demand shares'!AL12*'Indirect NH3 demand sources'!AL$4</f>
        <v>0.13537466040000004</v>
      </c>
      <c r="AM12">
        <f>'Methanol demand shares'!AM12*'Indirect NH3 demand sources'!AM$4</f>
        <v>0.14276368260000005</v>
      </c>
      <c r="AN12">
        <f>'Methanol demand shares'!AN12*'Indirect NH3 demand sources'!AN$4</f>
        <v>0.14979603060000005</v>
      </c>
      <c r="AO12">
        <f>'Methanol demand shares'!AO12*'Indirect NH3 demand sources'!AO$4</f>
        <v>0.15648314580000006</v>
      </c>
      <c r="AP12">
        <f>'Methanol demand shares'!AP12*'Indirect NH3 demand sources'!AP$4</f>
        <v>0.16282080000000002</v>
      </c>
    </row>
    <row r="13" spans="1:42" x14ac:dyDescent="0.3">
      <c r="A13" t="s">
        <v>12</v>
      </c>
      <c r="B13">
        <f>'Methanol demand shares'!B13*'Indirect NH3 demand sources'!B$4</f>
        <v>0</v>
      </c>
      <c r="C13">
        <f>'Methanol demand shares'!C13*'Indirect NH3 demand sources'!C$4</f>
        <v>0</v>
      </c>
      <c r="D13">
        <f>'Methanol demand shares'!D13*'Indirect NH3 demand sources'!D$4</f>
        <v>0</v>
      </c>
      <c r="E13">
        <f>'Methanol demand shares'!E13*'Indirect NH3 demand sources'!E$4</f>
        <v>0</v>
      </c>
      <c r="F13">
        <f>'Methanol demand shares'!F13*'Indirect NH3 demand sources'!F$4</f>
        <v>0</v>
      </c>
      <c r="G13">
        <f>'Methanol demand shares'!G13*'Indirect NH3 demand sources'!G$4</f>
        <v>0</v>
      </c>
      <c r="H13">
        <f>'Methanol demand shares'!H13*'Indirect NH3 demand sources'!H$4</f>
        <v>0</v>
      </c>
      <c r="I13">
        <f>'Methanol demand shares'!I13*'Indirect NH3 demand sources'!I$4</f>
        <v>0</v>
      </c>
      <c r="J13">
        <f>'Methanol demand shares'!J13*'Indirect NH3 demand sources'!J$4</f>
        <v>0</v>
      </c>
      <c r="K13">
        <f>'Methanol demand shares'!K13*'Indirect NH3 demand sources'!K$4</f>
        <v>0</v>
      </c>
      <c r="L13">
        <f>'Methanol demand shares'!L13*'Indirect NH3 demand sources'!L$4</f>
        <v>0</v>
      </c>
      <c r="M13">
        <f>'Methanol demand shares'!M13*'Indirect NH3 demand sources'!M$4</f>
        <v>0</v>
      </c>
      <c r="N13">
        <f>'Methanol demand shares'!N13*'Indirect NH3 demand sources'!N$4</f>
        <v>0</v>
      </c>
      <c r="O13">
        <f>'Methanol demand shares'!O13*'Indirect NH3 demand sources'!O$4</f>
        <v>0</v>
      </c>
      <c r="P13">
        <f>'Methanol demand shares'!P13*'Indirect NH3 demand sources'!P$4</f>
        <v>0</v>
      </c>
      <c r="Q13">
        <f>'Methanol demand shares'!Q13*'Indirect NH3 demand sources'!Q$4</f>
        <v>0</v>
      </c>
      <c r="R13">
        <f>'Methanol demand shares'!R13*'Indirect NH3 demand sources'!R$4</f>
        <v>0</v>
      </c>
      <c r="S13">
        <f>'Methanol demand shares'!S13*'Indirect NH3 demand sources'!S$4</f>
        <v>0</v>
      </c>
      <c r="T13">
        <f>'Methanol demand shares'!T13*'Indirect NH3 demand sources'!T$4</f>
        <v>0</v>
      </c>
      <c r="U13">
        <f>'Methanol demand shares'!U13*'Indirect NH3 demand sources'!U$4</f>
        <v>0</v>
      </c>
      <c r="V13">
        <f>'Methanol demand shares'!V13*'Indirect NH3 demand sources'!V$4</f>
        <v>0</v>
      </c>
      <c r="W13">
        <f>'Methanol demand shares'!W13*'Indirect NH3 demand sources'!W$4</f>
        <v>2.5401449999999997E-3</v>
      </c>
      <c r="X13">
        <f>'Methanol demand shares'!X13*'Indirect NH3 demand sources'!X$4</f>
        <v>4.9198319999999999E-3</v>
      </c>
      <c r="Y13">
        <f>'Methanol demand shares'!Y13*'Indirect NH3 demand sources'!Y$4</f>
        <v>7.1479214999999995E-3</v>
      </c>
      <c r="Z13">
        <f>'Methanol demand shares'!Z13*'Indirect NH3 demand sources'!Z$4</f>
        <v>9.2328300000000009E-3</v>
      </c>
      <c r="AA13">
        <f>'Methanol demand shares'!AA13*'Indirect NH3 demand sources'!AA$4</f>
        <v>1.11989325E-2</v>
      </c>
      <c r="AB13">
        <f>'Methanol demand shares'!AB13*'Indirect NH3 demand sources'!AB$4</f>
        <v>1.3073921999999998E-2</v>
      </c>
      <c r="AC13">
        <f>'Methanol demand shares'!AC13*'Indirect NH3 demand sources'!AC$4</f>
        <v>1.4840500499999999E-2</v>
      </c>
      <c r="AD13">
        <f>'Methanol demand shares'!AD13*'Indirect NH3 demand sources'!AD$4</f>
        <v>1.6504008000000001E-2</v>
      </c>
      <c r="AE13">
        <f>'Methanol demand shares'!AE13*'Indirect NH3 demand sources'!AE$4</f>
        <v>1.8069452999999999E-2</v>
      </c>
      <c r="AF13">
        <f>'Methanol demand shares'!AF13*'Indirect NH3 demand sources'!AF$4</f>
        <v>1.9558064999999999E-2</v>
      </c>
      <c r="AG13">
        <f>'Methanol demand shares'!AG13*'Indirect NH3 demand sources'!AG$4</f>
        <v>2.1847780800000001E-2</v>
      </c>
      <c r="AH13">
        <f>'Methanol demand shares'!AH13*'Indirect NH3 demand sources'!AH$4</f>
        <v>2.4040089600000002E-2</v>
      </c>
      <c r="AI13">
        <f>'Methanol demand shares'!AI13*'Indirect NH3 demand sources'!AI$4</f>
        <v>2.6138806200000003E-2</v>
      </c>
      <c r="AJ13">
        <f>'Methanol demand shares'!AJ13*'Indirect NH3 demand sources'!AJ$4</f>
        <v>2.8147649400000006E-2</v>
      </c>
      <c r="AK13">
        <f>'Methanol demand shares'!AK13*'Indirect NH3 demand sources'!AK$4</f>
        <v>3.0044202000000006E-2</v>
      </c>
      <c r="AL13">
        <f>'Methanol demand shares'!AL13*'Indirect NH3 demand sources'!AL$4</f>
        <v>3.1916281200000014E-2</v>
      </c>
      <c r="AM13">
        <f>'Methanol demand shares'!AM13*'Indirect NH3 demand sources'!AM$4</f>
        <v>3.3712856100000015E-2</v>
      </c>
      <c r="AN13">
        <f>'Methanol demand shares'!AN13*'Indirect NH3 demand sources'!AN$4</f>
        <v>3.5436997800000015E-2</v>
      </c>
      <c r="AO13">
        <f>'Methanol demand shares'!AO13*'Indirect NH3 demand sources'!AO$4</f>
        <v>3.7091583300000015E-2</v>
      </c>
      <c r="AP13">
        <f>'Methanol demand shares'!AP13*'Indirect NH3 demand sources'!AP$4</f>
        <v>3.8657592000000005E-2</v>
      </c>
    </row>
    <row r="14" spans="1:42" x14ac:dyDescent="0.3">
      <c r="A14" t="s">
        <v>13</v>
      </c>
      <c r="B14">
        <f>'Methanol demand shares'!B14*'Indirect NH3 demand sources'!B$4</f>
        <v>0</v>
      </c>
      <c r="C14">
        <f>'Methanol demand shares'!C14*'Indirect NH3 demand sources'!C$4</f>
        <v>0</v>
      </c>
      <c r="D14">
        <f>'Methanol demand shares'!D14*'Indirect NH3 demand sources'!D$4</f>
        <v>0</v>
      </c>
      <c r="E14">
        <f>'Methanol demand shares'!E14*'Indirect NH3 demand sources'!E$4</f>
        <v>0</v>
      </c>
      <c r="F14">
        <f>'Methanol demand shares'!F14*'Indirect NH3 demand sources'!F$4</f>
        <v>0</v>
      </c>
      <c r="G14">
        <f>'Methanol demand shares'!G14*'Indirect NH3 demand sources'!G$4</f>
        <v>0</v>
      </c>
      <c r="H14">
        <f>'Methanol demand shares'!H14*'Indirect NH3 demand sources'!H$4</f>
        <v>0</v>
      </c>
      <c r="I14">
        <f>'Methanol demand shares'!I14*'Indirect NH3 demand sources'!I$4</f>
        <v>0</v>
      </c>
      <c r="J14">
        <f>'Methanol demand shares'!J14*'Indirect NH3 demand sources'!J$4</f>
        <v>0</v>
      </c>
      <c r="K14">
        <f>'Methanol demand shares'!K14*'Indirect NH3 demand sources'!K$4</f>
        <v>0</v>
      </c>
      <c r="L14">
        <f>'Methanol demand shares'!L14*'Indirect NH3 demand sources'!L$4</f>
        <v>0</v>
      </c>
      <c r="M14">
        <f>'Methanol demand shares'!M14*'Indirect NH3 demand sources'!M$4</f>
        <v>0</v>
      </c>
      <c r="N14">
        <f>'Methanol demand shares'!N14*'Indirect NH3 demand sources'!N$4</f>
        <v>0</v>
      </c>
      <c r="O14">
        <f>'Methanol demand shares'!O14*'Indirect NH3 demand sources'!O$4</f>
        <v>0</v>
      </c>
      <c r="P14">
        <f>'Methanol demand shares'!P14*'Indirect NH3 demand sources'!P$4</f>
        <v>0</v>
      </c>
      <c r="Q14">
        <f>'Methanol demand shares'!Q14*'Indirect NH3 demand sources'!Q$4</f>
        <v>0</v>
      </c>
      <c r="R14">
        <f>'Methanol demand shares'!R14*'Indirect NH3 demand sources'!R$4</f>
        <v>0</v>
      </c>
      <c r="S14">
        <f>'Methanol demand shares'!S14*'Indirect NH3 demand sources'!S$4</f>
        <v>0</v>
      </c>
      <c r="T14">
        <f>'Methanol demand shares'!T14*'Indirect NH3 demand sources'!T$4</f>
        <v>0</v>
      </c>
      <c r="U14">
        <f>'Methanol demand shares'!U14*'Indirect NH3 demand sources'!U$4</f>
        <v>0</v>
      </c>
      <c r="V14">
        <f>'Methanol demand shares'!V14*'Indirect NH3 demand sources'!V$4</f>
        <v>0</v>
      </c>
      <c r="W14">
        <f>'Methanol demand shares'!W14*'Indirect NH3 demand sources'!W$4</f>
        <v>8.2121100000000008E-4</v>
      </c>
      <c r="X14">
        <f>'Methanol demand shares'!X14*'Indirect NH3 demand sources'!X$4</f>
        <v>1.594701E-3</v>
      </c>
      <c r="Y14">
        <f>'Methanol demand shares'!Y14*'Indirect NH3 demand sources'!Y$4</f>
        <v>2.3230259999999997E-3</v>
      </c>
      <c r="Z14">
        <f>'Methanol demand shares'!Z14*'Indirect NH3 demand sources'!Z$4</f>
        <v>3.0086159999999995E-3</v>
      </c>
      <c r="AA14">
        <f>'Methanol demand shares'!AA14*'Indirect NH3 demand sources'!AA$4</f>
        <v>3.6567600000000002E-3</v>
      </c>
      <c r="AB14">
        <f>'Methanol demand shares'!AB14*'Indirect NH3 demand sources'!AB$4</f>
        <v>4.2621120000000002E-3</v>
      </c>
      <c r="AC14">
        <f>'Methanol demand shares'!AC14*'Indirect NH3 demand sources'!AC$4</f>
        <v>4.8304515000000001E-3</v>
      </c>
      <c r="AD14">
        <f>'Methanol demand shares'!AD14*'Indirect NH3 demand sources'!AD$4</f>
        <v>5.3637479999999998E-3</v>
      </c>
      <c r="AE14">
        <f>'Methanol demand shares'!AE14*'Indirect NH3 demand sources'!AE$4</f>
        <v>5.8638060000000001E-3</v>
      </c>
      <c r="AF14">
        <f>'Methanol demand shares'!AF14*'Indirect NH3 demand sources'!AF$4</f>
        <v>6.3355499999999997E-3</v>
      </c>
      <c r="AG14">
        <f>'Methanol demand shares'!AG14*'Indirect NH3 demand sources'!AG$4</f>
        <v>7.0532028E-3</v>
      </c>
      <c r="AH14">
        <f>'Methanol demand shares'!AH14*'Indirect NH3 demand sources'!AH$4</f>
        <v>7.7347392000000018E-3</v>
      </c>
      <c r="AI14">
        <f>'Methanol demand shares'!AI14*'Indirect NH3 demand sources'!AI$4</f>
        <v>8.3817417000000023E-3</v>
      </c>
      <c r="AJ14">
        <f>'Methanol demand shares'!AJ14*'Indirect NH3 demand sources'!AJ$4</f>
        <v>8.9957790000000024E-3</v>
      </c>
      <c r="AK14">
        <f>'Methanol demand shares'!AK14*'Indirect NH3 demand sources'!AK$4</f>
        <v>9.5804520000000015E-3</v>
      </c>
      <c r="AL14">
        <f>'Methanol demand shares'!AL14*'Indirect NH3 demand sources'!AL$4</f>
        <v>1.0133643600000004E-2</v>
      </c>
      <c r="AM14">
        <f>'Methanol demand shares'!AM14*'Indirect NH3 demand sources'!AM$4</f>
        <v>1.0658171700000003E-2</v>
      </c>
      <c r="AN14">
        <f>'Methanol demand shares'!AN14*'Indirect NH3 demand sources'!AN$4</f>
        <v>1.1155312800000004E-2</v>
      </c>
      <c r="AO14">
        <f>'Methanol demand shares'!AO14*'Indirect NH3 demand sources'!AO$4</f>
        <v>1.1626310100000004E-2</v>
      </c>
      <c r="AP14">
        <f>'Methanol demand shares'!AP14*'Indirect NH3 demand sources'!AP$4</f>
        <v>1.2076380000000001E-2</v>
      </c>
    </row>
    <row r="15" spans="1:42" x14ac:dyDescent="0.3">
      <c r="A15" t="s">
        <v>14</v>
      </c>
      <c r="B15">
        <f>'Methanol demand shares'!B15*'Indirect NH3 demand sources'!B$4</f>
        <v>0</v>
      </c>
      <c r="C15">
        <f>'Methanol demand shares'!C15*'Indirect NH3 demand sources'!C$4</f>
        <v>0</v>
      </c>
      <c r="D15">
        <f>'Methanol demand shares'!D15*'Indirect NH3 demand sources'!D$4</f>
        <v>0</v>
      </c>
      <c r="E15">
        <f>'Methanol demand shares'!E15*'Indirect NH3 demand sources'!E$4</f>
        <v>0</v>
      </c>
      <c r="F15">
        <f>'Methanol demand shares'!F15*'Indirect NH3 demand sources'!F$4</f>
        <v>0</v>
      </c>
      <c r="G15">
        <f>'Methanol demand shares'!G15*'Indirect NH3 demand sources'!G$4</f>
        <v>0</v>
      </c>
      <c r="H15">
        <f>'Methanol demand shares'!H15*'Indirect NH3 demand sources'!H$4</f>
        <v>0</v>
      </c>
      <c r="I15">
        <f>'Methanol demand shares'!I15*'Indirect NH3 demand sources'!I$4</f>
        <v>0</v>
      </c>
      <c r="J15">
        <f>'Methanol demand shares'!J15*'Indirect NH3 demand sources'!J$4</f>
        <v>0</v>
      </c>
      <c r="K15">
        <f>'Methanol demand shares'!K15*'Indirect NH3 demand sources'!K$4</f>
        <v>0</v>
      </c>
      <c r="L15">
        <f>'Methanol demand shares'!L15*'Indirect NH3 demand sources'!L$4</f>
        <v>0</v>
      </c>
      <c r="M15">
        <f>'Methanol demand shares'!M15*'Indirect NH3 demand sources'!M$4</f>
        <v>0</v>
      </c>
      <c r="N15">
        <f>'Methanol demand shares'!N15*'Indirect NH3 demand sources'!N$4</f>
        <v>0</v>
      </c>
      <c r="O15">
        <f>'Methanol demand shares'!O15*'Indirect NH3 demand sources'!O$4</f>
        <v>0</v>
      </c>
      <c r="P15">
        <f>'Methanol demand shares'!P15*'Indirect NH3 demand sources'!P$4</f>
        <v>0</v>
      </c>
      <c r="Q15">
        <f>'Methanol demand shares'!Q15*'Indirect NH3 demand sources'!Q$4</f>
        <v>0</v>
      </c>
      <c r="R15">
        <f>'Methanol demand shares'!R15*'Indirect NH3 demand sources'!R$4</f>
        <v>0</v>
      </c>
      <c r="S15">
        <f>'Methanol demand shares'!S15*'Indirect NH3 demand sources'!S$4</f>
        <v>0</v>
      </c>
      <c r="T15">
        <f>'Methanol demand shares'!T15*'Indirect NH3 demand sources'!T$4</f>
        <v>0</v>
      </c>
      <c r="U15">
        <f>'Methanol demand shares'!U15*'Indirect NH3 demand sources'!U$4</f>
        <v>0</v>
      </c>
      <c r="V15">
        <f>'Methanol demand shares'!V15*'Indirect NH3 demand sources'!V$4</f>
        <v>0</v>
      </c>
      <c r="W15">
        <f>'Methanol demand shares'!W15*'Indirect NH3 demand sources'!W$4</f>
        <v>2.9867700000000001E-4</v>
      </c>
      <c r="X15">
        <f>'Methanol demand shares'!X15*'Indirect NH3 demand sources'!X$4</f>
        <v>5.8129800000000006E-4</v>
      </c>
      <c r="Y15">
        <f>'Methanol demand shares'!Y15*'Indirect NH3 demand sources'!Y$4</f>
        <v>8.4864149999999998E-4</v>
      </c>
      <c r="Z15">
        <f>'Methanol demand shares'!Z15*'Indirect NH3 demand sources'!Z$4</f>
        <v>1.101468E-3</v>
      </c>
      <c r="AA15">
        <f>'Methanol demand shares'!AA15*'Indirect NH3 demand sources'!AA$4</f>
        <v>1.3414049999999999E-3</v>
      </c>
      <c r="AB15">
        <f>'Methanol demand shares'!AB15*'Indirect NH3 demand sources'!AB$4</f>
        <v>1.568493E-3</v>
      </c>
      <c r="AC15">
        <f>'Methanol demand shares'!AC15*'Indirect NH3 demand sources'!AC$4</f>
        <v>1.7832255E-3</v>
      </c>
      <c r="AD15">
        <f>'Methanol demand shares'!AD15*'Indirect NH3 demand sources'!AD$4</f>
        <v>1.9861800000000002E-3</v>
      </c>
      <c r="AE15">
        <f>'Methanol demand shares'!AE15*'Indirect NH3 demand sources'!AE$4</f>
        <v>2.1779009999999999E-3</v>
      </c>
      <c r="AF15">
        <f>'Methanol demand shares'!AF15*'Indirect NH3 demand sources'!AF$4</f>
        <v>2.3581800000000001E-3</v>
      </c>
      <c r="AG15">
        <f>'Methanol demand shares'!AG15*'Indirect NH3 demand sources'!AG$4</f>
        <v>2.6286291000000004E-3</v>
      </c>
      <c r="AH15">
        <f>'Methanol demand shares'!AH15*'Indirect NH3 demand sources'!AH$4</f>
        <v>2.8863168000000002E-3</v>
      </c>
      <c r="AI15">
        <f>'Methanol demand shares'!AI15*'Indirect NH3 demand sources'!AI$4</f>
        <v>3.1318242000000006E-3</v>
      </c>
      <c r="AJ15">
        <f>'Methanol demand shares'!AJ15*'Indirect NH3 demand sources'!AJ$4</f>
        <v>3.3656688000000003E-3</v>
      </c>
      <c r="AK15">
        <f>'Methanol demand shares'!AK15*'Indirect NH3 demand sources'!AK$4</f>
        <v>3.5858865000000014E-3</v>
      </c>
      <c r="AL15">
        <f>'Methanol demand shares'!AL15*'Indirect NH3 demand sources'!AL$4</f>
        <v>3.7923780000000012E-3</v>
      </c>
      <c r="AM15">
        <f>'Methanol demand shares'!AM15*'Indirect NH3 demand sources'!AM$4</f>
        <v>3.9881754000000011E-3</v>
      </c>
      <c r="AN15">
        <f>'Methanol demand shares'!AN15*'Indirect NH3 demand sources'!AN$4</f>
        <v>4.1737500000000012E-3</v>
      </c>
      <c r="AO15">
        <f>'Methanol demand shares'!AO15*'Indirect NH3 demand sources'!AO$4</f>
        <v>4.3496412000000014E-3</v>
      </c>
      <c r="AP15">
        <f>'Methanol demand shares'!AP15*'Indirect NH3 demand sources'!AP$4</f>
        <v>4.5152279999999996E-3</v>
      </c>
    </row>
    <row r="16" spans="1:42" x14ac:dyDescent="0.3">
      <c r="A16" t="s">
        <v>15</v>
      </c>
      <c r="B16">
        <f>'Methanol demand shares'!B16*'Indirect NH3 demand sources'!B$4</f>
        <v>0</v>
      </c>
      <c r="C16">
        <f>'Methanol demand shares'!C16*'Indirect NH3 demand sources'!C$4</f>
        <v>0</v>
      </c>
      <c r="D16">
        <f>'Methanol demand shares'!D16*'Indirect NH3 demand sources'!D$4</f>
        <v>0</v>
      </c>
      <c r="E16">
        <f>'Methanol demand shares'!E16*'Indirect NH3 demand sources'!E$4</f>
        <v>0</v>
      </c>
      <c r="F16">
        <f>'Methanol demand shares'!F16*'Indirect NH3 demand sources'!F$4</f>
        <v>0</v>
      </c>
      <c r="G16">
        <f>'Methanol demand shares'!G16*'Indirect NH3 demand sources'!G$4</f>
        <v>0</v>
      </c>
      <c r="H16">
        <f>'Methanol demand shares'!H16*'Indirect NH3 demand sources'!H$4</f>
        <v>0</v>
      </c>
      <c r="I16">
        <f>'Methanol demand shares'!I16*'Indirect NH3 demand sources'!I$4</f>
        <v>0</v>
      </c>
      <c r="J16">
        <f>'Methanol demand shares'!J16*'Indirect NH3 demand sources'!J$4</f>
        <v>0</v>
      </c>
      <c r="K16">
        <f>'Methanol demand shares'!K16*'Indirect NH3 demand sources'!K$4</f>
        <v>0</v>
      </c>
      <c r="L16">
        <f>'Methanol demand shares'!L16*'Indirect NH3 demand sources'!L$4</f>
        <v>0</v>
      </c>
      <c r="M16">
        <f>'Methanol demand shares'!M16*'Indirect NH3 demand sources'!M$4</f>
        <v>0</v>
      </c>
      <c r="N16">
        <f>'Methanol demand shares'!N16*'Indirect NH3 demand sources'!N$4</f>
        <v>0</v>
      </c>
      <c r="O16">
        <f>'Methanol demand shares'!O16*'Indirect NH3 demand sources'!O$4</f>
        <v>0</v>
      </c>
      <c r="P16">
        <f>'Methanol demand shares'!P16*'Indirect NH3 demand sources'!P$4</f>
        <v>0</v>
      </c>
      <c r="Q16">
        <f>'Methanol demand shares'!Q16*'Indirect NH3 demand sources'!Q$4</f>
        <v>0</v>
      </c>
      <c r="R16">
        <f>'Methanol demand shares'!R16*'Indirect NH3 demand sources'!R$4</f>
        <v>0</v>
      </c>
      <c r="S16">
        <f>'Methanol demand shares'!S16*'Indirect NH3 demand sources'!S$4</f>
        <v>0</v>
      </c>
      <c r="T16">
        <f>'Methanol demand shares'!T16*'Indirect NH3 demand sources'!T$4</f>
        <v>0</v>
      </c>
      <c r="U16">
        <f>'Methanol demand shares'!U16*'Indirect NH3 demand sources'!U$4</f>
        <v>0</v>
      </c>
      <c r="V16">
        <f>'Methanol demand shares'!V16*'Indirect NH3 demand sources'!V$4</f>
        <v>0</v>
      </c>
      <c r="W16">
        <f>'Methanol demand shares'!W16*'Indirect NH3 demand sources'!W$4</f>
        <v>1.7169795000000002E-3</v>
      </c>
      <c r="X16">
        <f>'Methanol demand shares'!X16*'Indirect NH3 demand sources'!X$4</f>
        <v>3.3747869999999998E-3</v>
      </c>
      <c r="Y16">
        <f>'Methanol demand shares'!Y16*'Indirect NH3 demand sources'!Y$4</f>
        <v>4.9758974999999997E-3</v>
      </c>
      <c r="Z16">
        <f>'Methanol demand shares'!Z16*'Indirect NH3 demand sources'!Z$4</f>
        <v>6.5226900000000003E-3</v>
      </c>
      <c r="AA16">
        <f>'Methanol demand shares'!AA16*'Indirect NH3 demand sources'!AA$4</f>
        <v>8.0084100000000005E-3</v>
      </c>
      <c r="AB16">
        <f>'Methanol demand shares'!AB16*'Indirect NH3 demand sources'!AB$4</f>
        <v>9.4197690000000014E-3</v>
      </c>
      <c r="AC16">
        <f>'Methanol demand shares'!AC16*'Indirect NH3 demand sources'!AC$4</f>
        <v>1.07738925E-2</v>
      </c>
      <c r="AD16">
        <f>'Methanol demand shares'!AD16*'Indirect NH3 demand sources'!AD$4</f>
        <v>1.2073259999999999E-2</v>
      </c>
      <c r="AE16">
        <f>'Methanol demand shares'!AE16*'Indirect NH3 demand sources'!AE$4</f>
        <v>1.3320153E-2</v>
      </c>
      <c r="AF16">
        <f>'Methanol demand shares'!AF16*'Indirect NH3 demand sources'!AF$4</f>
        <v>1.451592E-2</v>
      </c>
      <c r="AG16">
        <f>'Methanol demand shares'!AG16*'Indirect NH3 demand sources'!AG$4</f>
        <v>1.62796446E-2</v>
      </c>
      <c r="AH16">
        <f>'Methanol demand shares'!AH16*'Indirect NH3 demand sources'!AH$4</f>
        <v>1.7985043200000002E-2</v>
      </c>
      <c r="AI16">
        <f>'Methanol demand shares'!AI16*'Indirect NH3 demand sources'!AI$4</f>
        <v>1.9634425200000003E-2</v>
      </c>
      <c r="AJ16">
        <f>'Methanol demand shares'!AJ16*'Indirect NH3 demand sources'!AJ$4</f>
        <v>2.1229977600000005E-2</v>
      </c>
      <c r="AK16">
        <f>'Methanol demand shares'!AK16*'Indirect NH3 demand sources'!AK$4</f>
        <v>2.2767216000000007E-2</v>
      </c>
      <c r="AL16">
        <f>'Methanol demand shares'!AL16*'Indirect NH3 demand sources'!AL$4</f>
        <v>2.4223664400000008E-2</v>
      </c>
      <c r="AM16">
        <f>'Methanol demand shares'!AM16*'Indirect NH3 demand sources'!AM$4</f>
        <v>2.5628011200000009E-2</v>
      </c>
      <c r="AN16">
        <f>'Methanol demand shares'!AN16*'Indirect NH3 demand sources'!AN$4</f>
        <v>2.6982395400000012E-2</v>
      </c>
      <c r="AO16">
        <f>'Methanol demand shares'!AO16*'Indirect NH3 demand sources'!AO$4</f>
        <v>2.8288838100000008E-2</v>
      </c>
      <c r="AP16">
        <f>'Methanol demand shares'!AP16*'Indirect NH3 demand sources'!AP$4</f>
        <v>2.9535840000000001E-2</v>
      </c>
    </row>
    <row r="17" spans="1:42" x14ac:dyDescent="0.3">
      <c r="A17" t="s">
        <v>16</v>
      </c>
      <c r="B17">
        <f>'Methanol demand shares'!B17*'Indirect NH3 demand sources'!B$4</f>
        <v>0</v>
      </c>
      <c r="C17">
        <f>'Methanol demand shares'!C17*'Indirect NH3 demand sources'!C$4</f>
        <v>0</v>
      </c>
      <c r="D17">
        <f>'Methanol demand shares'!D17*'Indirect NH3 demand sources'!D$4</f>
        <v>0</v>
      </c>
      <c r="E17">
        <f>'Methanol demand shares'!E17*'Indirect NH3 demand sources'!E$4</f>
        <v>0</v>
      </c>
      <c r="F17">
        <f>'Methanol demand shares'!F17*'Indirect NH3 demand sources'!F$4</f>
        <v>0</v>
      </c>
      <c r="G17">
        <f>'Methanol demand shares'!G17*'Indirect NH3 demand sources'!G$4</f>
        <v>0</v>
      </c>
      <c r="H17">
        <f>'Methanol demand shares'!H17*'Indirect NH3 demand sources'!H$4</f>
        <v>0</v>
      </c>
      <c r="I17">
        <f>'Methanol demand shares'!I17*'Indirect NH3 demand sources'!I$4</f>
        <v>0</v>
      </c>
      <c r="J17">
        <f>'Methanol demand shares'!J17*'Indirect NH3 demand sources'!J$4</f>
        <v>0</v>
      </c>
      <c r="K17">
        <f>'Methanol demand shares'!K17*'Indirect NH3 demand sources'!K$4</f>
        <v>0</v>
      </c>
      <c r="L17">
        <f>'Methanol demand shares'!L17*'Indirect NH3 demand sources'!L$4</f>
        <v>0</v>
      </c>
      <c r="M17">
        <f>'Methanol demand shares'!M17*'Indirect NH3 demand sources'!M$4</f>
        <v>0</v>
      </c>
      <c r="N17">
        <f>'Methanol demand shares'!N17*'Indirect NH3 demand sources'!N$4</f>
        <v>0</v>
      </c>
      <c r="O17">
        <f>'Methanol demand shares'!O17*'Indirect NH3 demand sources'!O$4</f>
        <v>0</v>
      </c>
      <c r="P17">
        <f>'Methanol demand shares'!P17*'Indirect NH3 demand sources'!P$4</f>
        <v>0</v>
      </c>
      <c r="Q17">
        <f>'Methanol demand shares'!Q17*'Indirect NH3 demand sources'!Q$4</f>
        <v>0</v>
      </c>
      <c r="R17">
        <f>'Methanol demand shares'!R17*'Indirect NH3 demand sources'!R$4</f>
        <v>0</v>
      </c>
      <c r="S17">
        <f>'Methanol demand shares'!S17*'Indirect NH3 demand sources'!S$4</f>
        <v>0</v>
      </c>
      <c r="T17">
        <f>'Methanol demand shares'!T17*'Indirect NH3 demand sources'!T$4</f>
        <v>0</v>
      </c>
      <c r="U17">
        <f>'Methanol demand shares'!U17*'Indirect NH3 demand sources'!U$4</f>
        <v>0</v>
      </c>
      <c r="V17">
        <f>'Methanol demand shares'!V17*'Indirect NH3 demand sources'!V$4</f>
        <v>0</v>
      </c>
      <c r="W17">
        <f>'Methanol demand shares'!W17*'Indirect NH3 demand sources'!W$4</f>
        <v>7.0089465E-3</v>
      </c>
      <c r="X17">
        <f>'Methanol demand shares'!X17*'Indirect NH3 demand sources'!X$4</f>
        <v>1.3675623000000001E-2</v>
      </c>
      <c r="Y17">
        <f>'Methanol demand shares'!Y17*'Indirect NH3 demand sources'!Y$4</f>
        <v>2.00165445E-2</v>
      </c>
      <c r="Z17">
        <f>'Methanol demand shares'!Z17*'Indirect NH3 demand sources'!Z$4</f>
        <v>2.6047476E-2</v>
      </c>
      <c r="AA17">
        <f>'Methanol demand shares'!AA17*'Indirect NH3 demand sources'!AA$4</f>
        <v>3.1780867499999997E-2</v>
      </c>
      <c r="AB17">
        <f>'Methanol demand shares'!AB17*'Indirect NH3 demand sources'!AB$4</f>
        <v>3.7198790999999995E-2</v>
      </c>
      <c r="AC17">
        <f>'Methanol demand shares'!AC17*'Indirect NH3 demand sources'!AC$4</f>
        <v>4.2338047499999996E-2</v>
      </c>
      <c r="AD17">
        <f>'Methanol demand shares'!AD17*'Indirect NH3 demand sources'!AD$4</f>
        <v>4.7212079999999997E-2</v>
      </c>
      <c r="AE17">
        <f>'Methanol demand shares'!AE17*'Indirect NH3 demand sources'!AE$4</f>
        <v>5.1833439000000002E-2</v>
      </c>
      <c r="AF17">
        <f>'Methanol demand shares'!AF17*'Indirect NH3 demand sources'!AF$4</f>
        <v>5.6211104999999997E-2</v>
      </c>
      <c r="AG17">
        <f>'Methanol demand shares'!AG17*'Indirect NH3 demand sources'!AG$4</f>
        <v>6.2715053700000009E-2</v>
      </c>
      <c r="AH17">
        <f>'Methanol demand shares'!AH17*'Indirect NH3 demand sources'!AH$4</f>
        <v>6.8926080000000015E-2</v>
      </c>
      <c r="AI17">
        <f>'Methanol demand shares'!AI17*'Indirect NH3 demand sources'!AI$4</f>
        <v>7.4856720000000015E-2</v>
      </c>
      <c r="AJ17">
        <f>'Methanol demand shares'!AJ17*'Indirect NH3 demand sources'!AJ$4</f>
        <v>8.0519025600000016E-2</v>
      </c>
      <c r="AK17">
        <f>'Methanol demand shares'!AK17*'Indirect NH3 demand sources'!AK$4</f>
        <v>8.5924315500000029E-2</v>
      </c>
      <c r="AL17">
        <f>'Methanol demand shares'!AL17*'Indirect NH3 demand sources'!AL$4</f>
        <v>9.0990631200000033E-2</v>
      </c>
      <c r="AM17">
        <f>'Methanol demand shares'!AM17*'Indirect NH3 demand sources'!AM$4</f>
        <v>9.5811546600000033E-2</v>
      </c>
      <c r="AN17">
        <f>'Methanol demand shares'!AN17*'Indirect NH3 demand sources'!AN$4</f>
        <v>0.10039803780000003</v>
      </c>
      <c r="AO17">
        <f>'Methanol demand shares'!AO17*'Indirect NH3 demand sources'!AO$4</f>
        <v>0.10476062760000004</v>
      </c>
      <c r="AP17">
        <f>'Methanol demand shares'!AP17*'Indirect NH3 demand sources'!AP$4</f>
        <v>0.108910008</v>
      </c>
    </row>
    <row r="18" spans="1:42" x14ac:dyDescent="0.3">
      <c r="A18" t="s">
        <v>17</v>
      </c>
      <c r="B18">
        <f>'Methanol demand shares'!B18*'Indirect NH3 demand sources'!B$4</f>
        <v>0</v>
      </c>
      <c r="C18">
        <f>'Methanol demand shares'!C18*'Indirect NH3 demand sources'!C$4</f>
        <v>0</v>
      </c>
      <c r="D18">
        <f>'Methanol demand shares'!D18*'Indirect NH3 demand sources'!D$4</f>
        <v>0</v>
      </c>
      <c r="E18">
        <f>'Methanol demand shares'!E18*'Indirect NH3 demand sources'!E$4</f>
        <v>0</v>
      </c>
      <c r="F18">
        <f>'Methanol demand shares'!F18*'Indirect NH3 demand sources'!F$4</f>
        <v>0</v>
      </c>
      <c r="G18">
        <f>'Methanol demand shares'!G18*'Indirect NH3 demand sources'!G$4</f>
        <v>0</v>
      </c>
      <c r="H18">
        <f>'Methanol demand shares'!H18*'Indirect NH3 demand sources'!H$4</f>
        <v>0</v>
      </c>
      <c r="I18">
        <f>'Methanol demand shares'!I18*'Indirect NH3 demand sources'!I$4</f>
        <v>0</v>
      </c>
      <c r="J18">
        <f>'Methanol demand shares'!J18*'Indirect NH3 demand sources'!J$4</f>
        <v>0</v>
      </c>
      <c r="K18">
        <f>'Methanol demand shares'!K18*'Indirect NH3 demand sources'!K$4</f>
        <v>0</v>
      </c>
      <c r="L18">
        <f>'Methanol demand shares'!L18*'Indirect NH3 demand sources'!L$4</f>
        <v>0</v>
      </c>
      <c r="M18">
        <f>'Methanol demand shares'!M18*'Indirect NH3 demand sources'!M$4</f>
        <v>0</v>
      </c>
      <c r="N18">
        <f>'Methanol demand shares'!N18*'Indirect NH3 demand sources'!N$4</f>
        <v>0</v>
      </c>
      <c r="O18">
        <f>'Methanol demand shares'!O18*'Indirect NH3 demand sources'!O$4</f>
        <v>0</v>
      </c>
      <c r="P18">
        <f>'Methanol demand shares'!P18*'Indirect NH3 demand sources'!P$4</f>
        <v>0</v>
      </c>
      <c r="Q18">
        <f>'Methanol demand shares'!Q18*'Indirect NH3 demand sources'!Q$4</f>
        <v>0</v>
      </c>
      <c r="R18">
        <f>'Methanol demand shares'!R18*'Indirect NH3 demand sources'!R$4</f>
        <v>0</v>
      </c>
      <c r="S18">
        <f>'Methanol demand shares'!S18*'Indirect NH3 demand sources'!S$4</f>
        <v>0</v>
      </c>
      <c r="T18">
        <f>'Methanol demand shares'!T18*'Indirect NH3 demand sources'!T$4</f>
        <v>0</v>
      </c>
      <c r="U18">
        <f>'Methanol demand shares'!U18*'Indirect NH3 demand sources'!U$4</f>
        <v>0</v>
      </c>
      <c r="V18">
        <f>'Methanol demand shares'!V18*'Indirect NH3 demand sources'!V$4</f>
        <v>0</v>
      </c>
      <c r="W18">
        <f>'Methanol demand shares'!W18*'Indirect NH3 demand sources'!W$4</f>
        <v>2.0213040000000002E-3</v>
      </c>
      <c r="X18">
        <f>'Methanol demand shares'!X18*'Indirect NH3 demand sources'!X$4</f>
        <v>3.9573300000000002E-3</v>
      </c>
      <c r="Y18">
        <f>'Methanol demand shares'!Y18*'Indirect NH3 demand sources'!Y$4</f>
        <v>5.8118759999999997E-3</v>
      </c>
      <c r="Z18">
        <f>'Methanol demand shares'!Z18*'Indirect NH3 demand sources'!Z$4</f>
        <v>7.588619999999999E-3</v>
      </c>
      <c r="AA18">
        <f>'Methanol demand shares'!AA18*'Indirect NH3 demand sources'!AA$4</f>
        <v>9.280155E-3</v>
      </c>
      <c r="AB18">
        <f>'Methanol demand shares'!AB18*'Indirect NH3 demand sources'!AB$4</f>
        <v>1.0878678000000001E-2</v>
      </c>
      <c r="AC18">
        <f>'Methanol demand shares'!AC18*'Indirect NH3 demand sources'!AC$4</f>
        <v>1.2400258499999999E-2</v>
      </c>
      <c r="AD18">
        <f>'Methanol demand shares'!AD18*'Indirect NH3 demand sources'!AD$4</f>
        <v>1.3848599999999999E-2</v>
      </c>
      <c r="AE18">
        <f>'Methanol demand shares'!AE18*'Indirect NH3 demand sources'!AE$4</f>
        <v>1.5227001E-2</v>
      </c>
      <c r="AF18">
        <f>'Methanol demand shares'!AF18*'Indirect NH3 demand sources'!AF$4</f>
        <v>1.6516979999999997E-2</v>
      </c>
      <c r="AG18">
        <f>'Methanol demand shares'!AG18*'Indirect NH3 demand sources'!AG$4</f>
        <v>1.8454644900000001E-2</v>
      </c>
      <c r="AH18">
        <f>'Methanol demand shares'!AH18*'Indirect NH3 demand sources'!AH$4</f>
        <v>2.0311392000000001E-2</v>
      </c>
      <c r="AI18">
        <f>'Methanol demand shares'!AI18*'Indirect NH3 demand sources'!AI$4</f>
        <v>2.2090443000000005E-2</v>
      </c>
      <c r="AJ18">
        <f>'Methanol demand shares'!AJ18*'Indirect NH3 demand sources'!AJ$4</f>
        <v>2.3794992000000004E-2</v>
      </c>
      <c r="AK18">
        <f>'Methanol demand shares'!AK18*'Indirect NH3 demand sources'!AK$4</f>
        <v>2.5431889500000006E-2</v>
      </c>
      <c r="AL18">
        <f>'Methanol demand shares'!AL18*'Indirect NH3 demand sources'!AL$4</f>
        <v>2.698250520000001E-2</v>
      </c>
      <c r="AM18">
        <f>'Methanol demand shares'!AM18*'Indirect NH3 demand sources'!AM$4</f>
        <v>2.8465786800000011E-2</v>
      </c>
      <c r="AN18">
        <f>'Methanol demand shares'!AN18*'Indirect NH3 demand sources'!AN$4</f>
        <v>2.9884495200000014E-2</v>
      </c>
      <c r="AO18">
        <f>'Methanol demand shares'!AO18*'Indirect NH3 demand sources'!AO$4</f>
        <v>3.1241358600000012E-2</v>
      </c>
      <c r="AP18">
        <f>'Methanol demand shares'!AP18*'Indirect NH3 demand sources'!AP$4</f>
        <v>3.2533559999999996E-2</v>
      </c>
    </row>
    <row r="19" spans="1:42" x14ac:dyDescent="0.3">
      <c r="A19" t="s">
        <v>18</v>
      </c>
      <c r="B19">
        <f>'Methanol demand shares'!B19*'Indirect NH3 demand sources'!B$4</f>
        <v>0</v>
      </c>
      <c r="C19">
        <f>'Methanol demand shares'!C19*'Indirect NH3 demand sources'!C$4</f>
        <v>0</v>
      </c>
      <c r="D19">
        <f>'Methanol demand shares'!D19*'Indirect NH3 demand sources'!D$4</f>
        <v>0</v>
      </c>
      <c r="E19">
        <f>'Methanol demand shares'!E19*'Indirect NH3 demand sources'!E$4</f>
        <v>0</v>
      </c>
      <c r="F19">
        <f>'Methanol demand shares'!F19*'Indirect NH3 demand sources'!F$4</f>
        <v>0</v>
      </c>
      <c r="G19">
        <f>'Methanol demand shares'!G19*'Indirect NH3 demand sources'!G$4</f>
        <v>0</v>
      </c>
      <c r="H19">
        <f>'Methanol demand shares'!H19*'Indirect NH3 demand sources'!H$4</f>
        <v>0</v>
      </c>
      <c r="I19">
        <f>'Methanol demand shares'!I19*'Indirect NH3 demand sources'!I$4</f>
        <v>0</v>
      </c>
      <c r="J19">
        <f>'Methanol demand shares'!J19*'Indirect NH3 demand sources'!J$4</f>
        <v>0</v>
      </c>
      <c r="K19">
        <f>'Methanol demand shares'!K19*'Indirect NH3 demand sources'!K$4</f>
        <v>0</v>
      </c>
      <c r="L19">
        <f>'Methanol demand shares'!L19*'Indirect NH3 demand sources'!L$4</f>
        <v>0</v>
      </c>
      <c r="M19">
        <f>'Methanol demand shares'!M19*'Indirect NH3 demand sources'!M$4</f>
        <v>0</v>
      </c>
      <c r="N19">
        <f>'Methanol demand shares'!N19*'Indirect NH3 demand sources'!N$4</f>
        <v>0</v>
      </c>
      <c r="O19">
        <f>'Methanol demand shares'!O19*'Indirect NH3 demand sources'!O$4</f>
        <v>0</v>
      </c>
      <c r="P19">
        <f>'Methanol demand shares'!P19*'Indirect NH3 demand sources'!P$4</f>
        <v>0</v>
      </c>
      <c r="Q19">
        <f>'Methanol demand shares'!Q19*'Indirect NH3 demand sources'!Q$4</f>
        <v>0</v>
      </c>
      <c r="R19">
        <f>'Methanol demand shares'!R19*'Indirect NH3 demand sources'!R$4</f>
        <v>0</v>
      </c>
      <c r="S19">
        <f>'Methanol demand shares'!S19*'Indirect NH3 demand sources'!S$4</f>
        <v>0</v>
      </c>
      <c r="T19">
        <f>'Methanol demand shares'!T19*'Indirect NH3 demand sources'!T$4</f>
        <v>0</v>
      </c>
      <c r="U19">
        <f>'Methanol demand shares'!U19*'Indirect NH3 demand sources'!U$4</f>
        <v>0</v>
      </c>
      <c r="V19">
        <f>'Methanol demand shares'!V19*'Indirect NH3 demand sources'!V$4</f>
        <v>0</v>
      </c>
      <c r="W19">
        <f>'Methanol demand shares'!W19*'Indirect NH3 demand sources'!W$4</f>
        <v>1.4172060000000001E-4</v>
      </c>
      <c r="X19">
        <f>'Methanol demand shares'!X19*'Indirect NH3 demand sources'!X$4</f>
        <v>2.7538170000000002E-4</v>
      </c>
      <c r="Y19">
        <f>'Methanol demand shares'!Y19*'Indirect NH3 demand sources'!Y$4</f>
        <v>4.0139279999999998E-4</v>
      </c>
      <c r="Z19">
        <f>'Methanol demand shares'!Z19*'Indirect NH3 demand sources'!Z$4</f>
        <v>5.2014360000000003E-4</v>
      </c>
      <c r="AA19">
        <f>'Methanol demand shares'!AA19*'Indirect NH3 demand sources'!AA$4</f>
        <v>6.3166275E-4</v>
      </c>
      <c r="AB19">
        <f>'Methanol demand shares'!AB19*'Indirect NH3 demand sources'!AB$4</f>
        <v>7.3462500000000003E-4</v>
      </c>
      <c r="AC19">
        <f>'Methanol demand shares'!AC19*'Indirect NH3 demand sources'!AC$4</f>
        <v>8.3076210000000001E-4</v>
      </c>
      <c r="AD19">
        <f>'Methanol demand shares'!AD19*'Indirect NH3 demand sources'!AD$4</f>
        <v>9.2044800000000003E-4</v>
      </c>
      <c r="AE19">
        <f>'Methanol demand shares'!AE19*'Indirect NH3 demand sources'!AE$4</f>
        <v>1.0040328E-3</v>
      </c>
      <c r="AF19">
        <f>'Methanol demand shares'!AF19*'Indirect NH3 demand sources'!AF$4</f>
        <v>1.081116E-3</v>
      </c>
      <c r="AG19">
        <f>'Methanol demand shares'!AG19*'Indirect NH3 demand sources'!AG$4</f>
        <v>1.1980277100000001E-3</v>
      </c>
      <c r="AH19">
        <f>'Methanol demand shares'!AH19*'Indirect NH3 demand sources'!AH$4</f>
        <v>1.3077465600000002E-3</v>
      </c>
      <c r="AI19">
        <f>'Methanol demand shares'!AI19*'Indirect NH3 demand sources'!AI$4</f>
        <v>1.4106372300000001E-3</v>
      </c>
      <c r="AJ19">
        <f>'Methanol demand shares'!AJ19*'Indirect NH3 demand sources'!AJ$4</f>
        <v>1.5070512600000002E-3</v>
      </c>
      <c r="AK19">
        <f>'Methanol demand shares'!AK19*'Indirect NH3 demand sources'!AK$4</f>
        <v>1.5968941500000002E-3</v>
      </c>
      <c r="AL19">
        <f>'Methanol demand shares'!AL19*'Indirect NH3 demand sources'!AL$4</f>
        <v>1.6795538400000006E-3</v>
      </c>
      <c r="AM19">
        <f>'Methanol demand shares'!AM19*'Indirect NH3 demand sources'!AM$4</f>
        <v>1.7565233400000004E-3</v>
      </c>
      <c r="AN19">
        <f>'Methanol demand shares'!AN19*'Indirect NH3 demand sources'!AN$4</f>
        <v>1.8281056800000008E-3</v>
      </c>
      <c r="AO19">
        <f>'Methanol demand shares'!AO19*'Indirect NH3 demand sources'!AO$4</f>
        <v>1.8945896400000006E-3</v>
      </c>
      <c r="AP19">
        <f>'Methanol demand shares'!AP19*'Indirect NH3 demand sources'!AP$4</f>
        <v>1.9560564E-3</v>
      </c>
    </row>
    <row r="20" spans="1:42" x14ac:dyDescent="0.3">
      <c r="A20" t="s">
        <v>19</v>
      </c>
      <c r="B20">
        <f>'Methanol demand shares'!B20*'Indirect NH3 demand sources'!B$4</f>
        <v>0</v>
      </c>
      <c r="C20">
        <f>'Methanol demand shares'!C20*'Indirect NH3 demand sources'!C$4</f>
        <v>0</v>
      </c>
      <c r="D20">
        <f>'Methanol demand shares'!D20*'Indirect NH3 demand sources'!D$4</f>
        <v>0</v>
      </c>
      <c r="E20">
        <f>'Methanol demand shares'!E20*'Indirect NH3 demand sources'!E$4</f>
        <v>0</v>
      </c>
      <c r="F20">
        <f>'Methanol demand shares'!F20*'Indirect NH3 demand sources'!F$4</f>
        <v>0</v>
      </c>
      <c r="G20">
        <f>'Methanol demand shares'!G20*'Indirect NH3 demand sources'!G$4</f>
        <v>0</v>
      </c>
      <c r="H20">
        <f>'Methanol demand shares'!H20*'Indirect NH3 demand sources'!H$4</f>
        <v>0</v>
      </c>
      <c r="I20">
        <f>'Methanol demand shares'!I20*'Indirect NH3 demand sources'!I$4</f>
        <v>0</v>
      </c>
      <c r="J20">
        <f>'Methanol demand shares'!J20*'Indirect NH3 demand sources'!J$4</f>
        <v>0</v>
      </c>
      <c r="K20">
        <f>'Methanol demand shares'!K20*'Indirect NH3 demand sources'!K$4</f>
        <v>0</v>
      </c>
      <c r="L20">
        <f>'Methanol demand shares'!L20*'Indirect NH3 demand sources'!L$4</f>
        <v>0</v>
      </c>
      <c r="M20">
        <f>'Methanol demand shares'!M20*'Indirect NH3 demand sources'!M$4</f>
        <v>0</v>
      </c>
      <c r="N20">
        <f>'Methanol demand shares'!N20*'Indirect NH3 demand sources'!N$4</f>
        <v>0</v>
      </c>
      <c r="O20">
        <f>'Methanol demand shares'!O20*'Indirect NH3 demand sources'!O$4</f>
        <v>0</v>
      </c>
      <c r="P20">
        <f>'Methanol demand shares'!P20*'Indirect NH3 demand sources'!P$4</f>
        <v>0</v>
      </c>
      <c r="Q20">
        <f>'Methanol demand shares'!Q20*'Indirect NH3 demand sources'!Q$4</f>
        <v>0</v>
      </c>
      <c r="R20">
        <f>'Methanol demand shares'!R20*'Indirect NH3 demand sources'!R$4</f>
        <v>0</v>
      </c>
      <c r="S20">
        <f>'Methanol demand shares'!S20*'Indirect NH3 demand sources'!S$4</f>
        <v>0</v>
      </c>
      <c r="T20">
        <f>'Methanol demand shares'!T20*'Indirect NH3 demand sources'!T$4</f>
        <v>0</v>
      </c>
      <c r="U20">
        <f>'Methanol demand shares'!U20*'Indirect NH3 demand sources'!U$4</f>
        <v>0</v>
      </c>
      <c r="V20">
        <f>'Methanol demand shares'!V20*'Indirect NH3 demand sources'!V$4</f>
        <v>0</v>
      </c>
      <c r="W20">
        <f>'Methanol demand shares'!W20*'Indirect NH3 demand sources'!W$4</f>
        <v>5.5340550000000007E-5</v>
      </c>
      <c r="X20">
        <f>'Methanol demand shares'!X20*'Indirect NH3 demand sources'!X$4</f>
        <v>1.089462E-4</v>
      </c>
      <c r="Y20">
        <f>'Methanol demand shares'!Y20*'Indirect NH3 demand sources'!Y$4</f>
        <v>1.6089345E-4</v>
      </c>
      <c r="Z20">
        <f>'Methanol demand shares'!Z20*'Indirect NH3 demand sources'!Z$4</f>
        <v>2.1125640000000003E-4</v>
      </c>
      <c r="AA20">
        <f>'Methanol demand shares'!AA20*'Indirect NH3 demand sources'!AA$4</f>
        <v>2.6011274999999999E-4</v>
      </c>
      <c r="AB20">
        <f>'Methanol demand shares'!AB20*'Indirect NH3 demand sources'!AB$4</f>
        <v>3.080979E-4</v>
      </c>
      <c r="AC20">
        <f>'Methanol demand shares'!AC20*'Indirect NH3 demand sources'!AC$4</f>
        <v>3.5486430000000003E-4</v>
      </c>
      <c r="AD20">
        <f>'Methanol demand shares'!AD20*'Indirect NH3 demand sources'!AD$4</f>
        <v>4.0046639999999996E-4</v>
      </c>
      <c r="AE20">
        <f>'Methanol demand shares'!AE20*'Indirect NH3 demand sources'!AE$4</f>
        <v>4.449492E-4</v>
      </c>
      <c r="AF20">
        <f>'Methanol demand shares'!AF20*'Indirect NH3 demand sources'!AF$4</f>
        <v>4.88376E-4</v>
      </c>
      <c r="AG20">
        <f>'Methanol demand shares'!AG20*'Indirect NH3 demand sources'!AG$4</f>
        <v>5.4928107000000003E-4</v>
      </c>
      <c r="AH20">
        <f>'Methanol demand shares'!AH20*'Indirect NH3 demand sources'!AH$4</f>
        <v>6.0855936000000013E-4</v>
      </c>
      <c r="AI20">
        <f>'Methanol demand shares'!AI20*'Indirect NH3 demand sources'!AI$4</f>
        <v>6.6627465000000012E-4</v>
      </c>
      <c r="AJ20">
        <f>'Methanol demand shares'!AJ20*'Indirect NH3 demand sources'!AJ$4</f>
        <v>7.224843600000002E-4</v>
      </c>
      <c r="AK20">
        <f>'Methanol demand shares'!AK20*'Indirect NH3 demand sources'!AK$4</f>
        <v>7.7723490000000022E-4</v>
      </c>
      <c r="AL20">
        <f>'Methanol demand shares'!AL20*'Indirect NH3 demand sources'!AL$4</f>
        <v>8.295345600000003E-4</v>
      </c>
      <c r="AM20">
        <f>'Methanol demand shares'!AM20*'Indirect NH3 demand sources'!AM$4</f>
        <v>8.8037037000000026E-4</v>
      </c>
      <c r="AN20">
        <f>'Methanol demand shares'!AN20*'Indirect NH3 demand sources'!AN$4</f>
        <v>9.2979702000000025E-4</v>
      </c>
      <c r="AO20">
        <f>'Methanol demand shares'!AO20*'Indirect NH3 demand sources'!AO$4</f>
        <v>9.7787601000000031E-4</v>
      </c>
      <c r="AP20">
        <f>'Methanol demand shares'!AP20*'Indirect NH3 demand sources'!AP$4</f>
        <v>1.0245995999999999E-3</v>
      </c>
    </row>
    <row r="21" spans="1:42" x14ac:dyDescent="0.3">
      <c r="A21" t="s">
        <v>20</v>
      </c>
      <c r="B21">
        <f>'Methanol demand shares'!B21*'Indirect NH3 demand sources'!B$4</f>
        <v>0</v>
      </c>
      <c r="C21">
        <f>'Methanol demand shares'!C21*'Indirect NH3 demand sources'!C$4</f>
        <v>0</v>
      </c>
      <c r="D21">
        <f>'Methanol demand shares'!D21*'Indirect NH3 demand sources'!D$4</f>
        <v>0</v>
      </c>
      <c r="E21">
        <f>'Methanol demand shares'!E21*'Indirect NH3 demand sources'!E$4</f>
        <v>0</v>
      </c>
      <c r="F21">
        <f>'Methanol demand shares'!F21*'Indirect NH3 demand sources'!F$4</f>
        <v>0</v>
      </c>
      <c r="G21">
        <f>'Methanol demand shares'!G21*'Indirect NH3 demand sources'!G$4</f>
        <v>0</v>
      </c>
      <c r="H21">
        <f>'Methanol demand shares'!H21*'Indirect NH3 demand sources'!H$4</f>
        <v>0</v>
      </c>
      <c r="I21">
        <f>'Methanol demand shares'!I21*'Indirect NH3 demand sources'!I$4</f>
        <v>0</v>
      </c>
      <c r="J21">
        <f>'Methanol demand shares'!J21*'Indirect NH3 demand sources'!J$4</f>
        <v>0</v>
      </c>
      <c r="K21">
        <f>'Methanol demand shares'!K21*'Indirect NH3 demand sources'!K$4</f>
        <v>0</v>
      </c>
      <c r="L21">
        <f>'Methanol demand shares'!L21*'Indirect NH3 demand sources'!L$4</f>
        <v>0</v>
      </c>
      <c r="M21">
        <f>'Methanol demand shares'!M21*'Indirect NH3 demand sources'!M$4</f>
        <v>0</v>
      </c>
      <c r="N21">
        <f>'Methanol demand shares'!N21*'Indirect NH3 demand sources'!N$4</f>
        <v>0</v>
      </c>
      <c r="O21">
        <f>'Methanol demand shares'!O21*'Indirect NH3 demand sources'!O$4</f>
        <v>0</v>
      </c>
      <c r="P21">
        <f>'Methanol demand shares'!P21*'Indirect NH3 demand sources'!P$4</f>
        <v>0</v>
      </c>
      <c r="Q21">
        <f>'Methanol demand shares'!Q21*'Indirect NH3 demand sources'!Q$4</f>
        <v>0</v>
      </c>
      <c r="R21">
        <f>'Methanol demand shares'!R21*'Indirect NH3 demand sources'!R$4</f>
        <v>0</v>
      </c>
      <c r="S21">
        <f>'Methanol demand shares'!S21*'Indirect NH3 demand sources'!S$4</f>
        <v>0</v>
      </c>
      <c r="T21">
        <f>'Methanol demand shares'!T21*'Indirect NH3 demand sources'!T$4</f>
        <v>0</v>
      </c>
      <c r="U21">
        <f>'Methanol demand shares'!U21*'Indirect NH3 demand sources'!U$4</f>
        <v>0</v>
      </c>
      <c r="V21">
        <f>'Methanol demand shares'!V21*'Indirect NH3 demand sources'!V$4</f>
        <v>0</v>
      </c>
      <c r="W21">
        <f>'Methanol demand shares'!W21*'Indirect NH3 demand sources'!W$4</f>
        <v>1.6164599999999999E-4</v>
      </c>
      <c r="X21">
        <f>'Methanol demand shares'!X21*'Indirect NH3 demand sources'!X$4</f>
        <v>3.1358699999999999E-4</v>
      </c>
      <c r="Y21">
        <f>'Methanol demand shares'!Y21*'Indirect NH3 demand sources'!Y$4</f>
        <v>4.5634500000000004E-4</v>
      </c>
      <c r="Z21">
        <f>'Methanol demand shares'!Z21*'Indirect NH3 demand sources'!Z$4</f>
        <v>5.9042760000000002E-4</v>
      </c>
      <c r="AA21">
        <f>'Methanol demand shares'!AA21*'Indirect NH3 demand sources'!AA$4</f>
        <v>7.1584200000000006E-4</v>
      </c>
      <c r="AB21">
        <f>'Methanol demand shares'!AB21*'Indirect NH3 demand sources'!AB$4</f>
        <v>8.3351249999999997E-4</v>
      </c>
      <c r="AC21">
        <f>'Methanol demand shares'!AC21*'Indirect NH3 demand sources'!AC$4</f>
        <v>9.4374420000000001E-4</v>
      </c>
      <c r="AD21">
        <f>'Methanol demand shares'!AD21*'Indirect NH3 demand sources'!AD$4</f>
        <v>1.046946E-3</v>
      </c>
      <c r="AE21">
        <f>'Methanol demand shares'!AE21*'Indirect NH3 demand sources'!AE$4</f>
        <v>1.14349995E-3</v>
      </c>
      <c r="AF21">
        <f>'Methanol demand shares'!AF21*'Indirect NH3 demand sources'!AF$4</f>
        <v>1.23324E-3</v>
      </c>
      <c r="AG21">
        <f>'Methanol demand shares'!AG21*'Indirect NH3 demand sources'!AG$4</f>
        <v>1.3674032100000001E-3</v>
      </c>
      <c r="AH21">
        <f>'Methanol demand shares'!AH21*'Indirect NH3 demand sources'!AH$4</f>
        <v>1.4935257600000001E-3</v>
      </c>
      <c r="AI21">
        <f>'Methanol demand shares'!AI21*'Indirect NH3 demand sources'!AI$4</f>
        <v>1.6120159500000004E-3</v>
      </c>
      <c r="AJ21">
        <f>'Methanol demand shares'!AJ21*'Indirect NH3 demand sources'!AJ$4</f>
        <v>1.7232602400000005E-3</v>
      </c>
      <c r="AK21">
        <f>'Methanol demand shares'!AK21*'Indirect NH3 demand sources'!AK$4</f>
        <v>1.8272841000000005E-3</v>
      </c>
      <c r="AL21">
        <f>'Methanol demand shares'!AL21*'Indirect NH3 demand sources'!AL$4</f>
        <v>1.9236951600000007E-3</v>
      </c>
      <c r="AM21">
        <f>'Methanol demand shares'!AM21*'Indirect NH3 demand sources'!AM$4</f>
        <v>2.0137906800000009E-3</v>
      </c>
      <c r="AN21">
        <f>'Methanol demand shares'!AN21*'Indirect NH3 demand sources'!AN$4</f>
        <v>2.0979000600000008E-3</v>
      </c>
      <c r="AO21">
        <f>'Methanol demand shares'!AO21*'Indirect NH3 demand sources'!AO$4</f>
        <v>2.1763461000000009E-3</v>
      </c>
      <c r="AP21">
        <f>'Methanol demand shares'!AP21*'Indirect NH3 demand sources'!AP$4</f>
        <v>2.2490100000000001E-3</v>
      </c>
    </row>
    <row r="22" spans="1:42" x14ac:dyDescent="0.3">
      <c r="A22" t="s">
        <v>21</v>
      </c>
      <c r="B22">
        <f>'Methanol demand shares'!B22*'Indirect NH3 demand sources'!B$4</f>
        <v>0</v>
      </c>
      <c r="C22">
        <f>'Methanol demand shares'!C22*'Indirect NH3 demand sources'!C$4</f>
        <v>0</v>
      </c>
      <c r="D22">
        <f>'Methanol demand shares'!D22*'Indirect NH3 demand sources'!D$4</f>
        <v>0</v>
      </c>
      <c r="E22">
        <f>'Methanol demand shares'!E22*'Indirect NH3 demand sources'!E$4</f>
        <v>0</v>
      </c>
      <c r="F22">
        <f>'Methanol demand shares'!F22*'Indirect NH3 demand sources'!F$4</f>
        <v>0</v>
      </c>
      <c r="G22">
        <f>'Methanol demand shares'!G22*'Indirect NH3 demand sources'!G$4</f>
        <v>0</v>
      </c>
      <c r="H22">
        <f>'Methanol demand shares'!H22*'Indirect NH3 demand sources'!H$4</f>
        <v>0</v>
      </c>
      <c r="I22">
        <f>'Methanol demand shares'!I22*'Indirect NH3 demand sources'!I$4</f>
        <v>0</v>
      </c>
      <c r="J22">
        <f>'Methanol demand shares'!J22*'Indirect NH3 demand sources'!J$4</f>
        <v>0</v>
      </c>
      <c r="K22">
        <f>'Methanol demand shares'!K22*'Indirect NH3 demand sources'!K$4</f>
        <v>0</v>
      </c>
      <c r="L22">
        <f>'Methanol demand shares'!L22*'Indirect NH3 demand sources'!L$4</f>
        <v>0</v>
      </c>
      <c r="M22">
        <f>'Methanol demand shares'!M22*'Indirect NH3 demand sources'!M$4</f>
        <v>0</v>
      </c>
      <c r="N22">
        <f>'Methanol demand shares'!N22*'Indirect NH3 demand sources'!N$4</f>
        <v>0</v>
      </c>
      <c r="O22">
        <f>'Methanol demand shares'!O22*'Indirect NH3 demand sources'!O$4</f>
        <v>0</v>
      </c>
      <c r="P22">
        <f>'Methanol demand shares'!P22*'Indirect NH3 demand sources'!P$4</f>
        <v>0</v>
      </c>
      <c r="Q22">
        <f>'Methanol demand shares'!Q22*'Indirect NH3 demand sources'!Q$4</f>
        <v>0</v>
      </c>
      <c r="R22">
        <f>'Methanol demand shares'!R22*'Indirect NH3 demand sources'!R$4</f>
        <v>0</v>
      </c>
      <c r="S22">
        <f>'Methanol demand shares'!S22*'Indirect NH3 demand sources'!S$4</f>
        <v>0</v>
      </c>
      <c r="T22">
        <f>'Methanol demand shares'!T22*'Indirect NH3 demand sources'!T$4</f>
        <v>0</v>
      </c>
      <c r="U22">
        <f>'Methanol demand shares'!U22*'Indirect NH3 demand sources'!U$4</f>
        <v>0</v>
      </c>
      <c r="V22">
        <f>'Methanol demand shares'!V22*'Indirect NH3 demand sources'!V$4</f>
        <v>0</v>
      </c>
      <c r="W22">
        <f>'Methanol demand shares'!W22*'Indirect NH3 demand sources'!W$4</f>
        <v>3.1348049999999999E-4</v>
      </c>
      <c r="X22">
        <f>'Methanol demand shares'!X22*'Indirect NH3 demand sources'!X$4</f>
        <v>6.0572100000000004E-4</v>
      </c>
      <c r="Y22">
        <f>'Methanol demand shares'!Y22*'Indirect NH3 demand sources'!Y$4</f>
        <v>8.7791400000000004E-4</v>
      </c>
      <c r="Z22">
        <f>'Methanol demand shares'!Z22*'Indirect NH3 demand sources'!Z$4</f>
        <v>1.131186E-3</v>
      </c>
      <c r="AA22">
        <f>'Methanol demand shares'!AA22*'Indirect NH3 demand sources'!AA$4</f>
        <v>1.366005E-3</v>
      </c>
      <c r="AB22">
        <f>'Methanol demand shares'!AB22*'Indirect NH3 demand sources'!AB$4</f>
        <v>1.5862319999999999E-3</v>
      </c>
      <c r="AC22">
        <f>'Methanol demand shares'!AC22*'Indirect NH3 demand sources'!AC$4</f>
        <v>1.7910794999999998E-3</v>
      </c>
      <c r="AD22">
        <f>'Methanol demand shares'!AD22*'Indirect NH3 demand sources'!AD$4</f>
        <v>1.981404E-3</v>
      </c>
      <c r="AE22">
        <f>'Methanol demand shares'!AE22*'Indirect NH3 demand sources'!AE$4</f>
        <v>2.1580154999999998E-3</v>
      </c>
      <c r="AF22">
        <f>'Methanol demand shares'!AF22*'Indirect NH3 demand sources'!AF$4</f>
        <v>2.3206200000000002E-3</v>
      </c>
      <c r="AG22">
        <f>'Methanol demand shares'!AG22*'Indirect NH3 demand sources'!AG$4</f>
        <v>2.5725411000000003E-3</v>
      </c>
      <c r="AH22">
        <f>'Methanol demand shares'!AH22*'Indirect NH3 demand sources'!AH$4</f>
        <v>2.8091904000000006E-3</v>
      </c>
      <c r="AI22">
        <f>'Methanol demand shares'!AI22*'Indirect NH3 demand sources'!AI$4</f>
        <v>3.0313308000000008E-3</v>
      </c>
      <c r="AJ22">
        <f>'Methanol demand shares'!AJ22*'Indirect NH3 demand sources'!AJ$4</f>
        <v>3.2396832000000006E-3</v>
      </c>
      <c r="AK22">
        <f>'Methanol demand shares'!AK22*'Indirect NH3 demand sources'!AK$4</f>
        <v>3.4346460000000013E-3</v>
      </c>
      <c r="AL22">
        <f>'Methanol demand shares'!AL22*'Indirect NH3 demand sources'!AL$4</f>
        <v>3.611874000000001E-3</v>
      </c>
      <c r="AM22">
        <f>'Methanol demand shares'!AM22*'Indirect NH3 demand sources'!AM$4</f>
        <v>3.7767708000000012E-3</v>
      </c>
      <c r="AN22">
        <f>'Methanol demand shares'!AN22*'Indirect NH3 demand sources'!AN$4</f>
        <v>3.9300348000000009E-3</v>
      </c>
      <c r="AO22">
        <f>'Methanol demand shares'!AO22*'Indirect NH3 demand sources'!AO$4</f>
        <v>4.0722714000000016E-3</v>
      </c>
      <c r="AP22">
        <f>'Methanol demand shares'!AP22*'Indirect NH3 demand sources'!AP$4</f>
        <v>4.2019559999999997E-3</v>
      </c>
    </row>
    <row r="23" spans="1:42" x14ac:dyDescent="0.3">
      <c r="A23" t="s">
        <v>22</v>
      </c>
      <c r="B23">
        <f>'Methanol demand shares'!B23*'Indirect NH3 demand sources'!B$4</f>
        <v>0</v>
      </c>
      <c r="C23">
        <f>'Methanol demand shares'!C23*'Indirect NH3 demand sources'!C$4</f>
        <v>0</v>
      </c>
      <c r="D23">
        <f>'Methanol demand shares'!D23*'Indirect NH3 demand sources'!D$4</f>
        <v>0</v>
      </c>
      <c r="E23">
        <f>'Methanol demand shares'!E23*'Indirect NH3 demand sources'!E$4</f>
        <v>0</v>
      </c>
      <c r="F23">
        <f>'Methanol demand shares'!F23*'Indirect NH3 demand sources'!F$4</f>
        <v>0</v>
      </c>
      <c r="G23">
        <f>'Methanol demand shares'!G23*'Indirect NH3 demand sources'!G$4</f>
        <v>0</v>
      </c>
      <c r="H23">
        <f>'Methanol demand shares'!H23*'Indirect NH3 demand sources'!H$4</f>
        <v>0</v>
      </c>
      <c r="I23">
        <f>'Methanol demand shares'!I23*'Indirect NH3 demand sources'!I$4</f>
        <v>0</v>
      </c>
      <c r="J23">
        <f>'Methanol demand shares'!J23*'Indirect NH3 demand sources'!J$4</f>
        <v>0</v>
      </c>
      <c r="K23">
        <f>'Methanol demand shares'!K23*'Indirect NH3 demand sources'!K$4</f>
        <v>0</v>
      </c>
      <c r="L23">
        <f>'Methanol demand shares'!L23*'Indirect NH3 demand sources'!L$4</f>
        <v>0</v>
      </c>
      <c r="M23">
        <f>'Methanol demand shares'!M23*'Indirect NH3 demand sources'!M$4</f>
        <v>0</v>
      </c>
      <c r="N23">
        <f>'Methanol demand shares'!N23*'Indirect NH3 demand sources'!N$4</f>
        <v>0</v>
      </c>
      <c r="O23">
        <f>'Methanol demand shares'!O23*'Indirect NH3 demand sources'!O$4</f>
        <v>0</v>
      </c>
      <c r="P23">
        <f>'Methanol demand shares'!P23*'Indirect NH3 demand sources'!P$4</f>
        <v>0</v>
      </c>
      <c r="Q23">
        <f>'Methanol demand shares'!Q23*'Indirect NH3 demand sources'!Q$4</f>
        <v>0</v>
      </c>
      <c r="R23">
        <f>'Methanol demand shares'!R23*'Indirect NH3 demand sources'!R$4</f>
        <v>0</v>
      </c>
      <c r="S23">
        <f>'Methanol demand shares'!S23*'Indirect NH3 demand sources'!S$4</f>
        <v>0</v>
      </c>
      <c r="T23">
        <f>'Methanol demand shares'!T23*'Indirect NH3 demand sources'!T$4</f>
        <v>0</v>
      </c>
      <c r="U23">
        <f>'Methanol demand shares'!U23*'Indirect NH3 demand sources'!U$4</f>
        <v>0</v>
      </c>
      <c r="V23">
        <f>'Methanol demand shares'!V23*'Indirect NH3 demand sources'!V$4</f>
        <v>0</v>
      </c>
      <c r="W23">
        <f>'Methanol demand shares'!W23*'Indirect NH3 demand sources'!W$4</f>
        <v>1.1989799999999999E-3</v>
      </c>
      <c r="X23">
        <f>'Methanol demand shares'!X23*'Indirect NH3 demand sources'!X$4</f>
        <v>2.355069E-3</v>
      </c>
      <c r="Y23">
        <f>'Methanol demand shares'!Y23*'Indirect NH3 demand sources'!Y$4</f>
        <v>3.4698959999999997E-3</v>
      </c>
      <c r="Z23">
        <f>'Methanol demand shares'!Z23*'Indirect NH3 demand sources'!Z$4</f>
        <v>4.5450480000000003E-3</v>
      </c>
      <c r="AA23">
        <f>'Methanol demand shares'!AA23*'Indirect NH3 demand sources'!AA$4</f>
        <v>5.5733100000000006E-3</v>
      </c>
      <c r="AB23">
        <f>'Methanol demand shares'!AB23*'Indirect NH3 demand sources'!AB$4</f>
        <v>6.5308499999999995E-3</v>
      </c>
      <c r="AC23">
        <f>'Methanol demand shares'!AC23*'Indirect NH3 demand sources'!AC$4</f>
        <v>7.4411924999999999E-3</v>
      </c>
      <c r="AD23">
        <f>'Methanol demand shares'!AD23*'Indirect NH3 demand sources'!AD$4</f>
        <v>8.3064000000000002E-3</v>
      </c>
      <c r="AE23">
        <f>'Methanol demand shares'!AE23*'Indirect NH3 demand sources'!AE$4</f>
        <v>9.1284165E-3</v>
      </c>
      <c r="AF23">
        <f>'Methanol demand shares'!AF23*'Indirect NH3 demand sources'!AF$4</f>
        <v>9.8955299999999996E-3</v>
      </c>
      <c r="AG23">
        <f>'Methanol demand shares'!AG23*'Indirect NH3 demand sources'!AG$4</f>
        <v>1.1032424100000002E-2</v>
      </c>
      <c r="AH23">
        <f>'Methanol demand shares'!AH23*'Indirect NH3 demand sources'!AH$4</f>
        <v>1.2115833600000002E-2</v>
      </c>
      <c r="AI23">
        <f>'Methanol demand shares'!AI23*'Indirect NH3 demand sources'!AI$4</f>
        <v>1.3147978800000003E-2</v>
      </c>
      <c r="AJ23">
        <f>'Methanol demand shares'!AJ23*'Indirect NH3 demand sources'!AJ$4</f>
        <v>1.4130955800000003E-2</v>
      </c>
      <c r="AK23">
        <f>'Methanol demand shares'!AK23*'Indirect NH3 demand sources'!AK$4</f>
        <v>1.5069837000000003E-2</v>
      </c>
      <c r="AL23">
        <f>'Methanol demand shares'!AL23*'Indirect NH3 demand sources'!AL$4</f>
        <v>1.5971982000000003E-2</v>
      </c>
      <c r="AM23">
        <f>'Methanol demand shares'!AM23*'Indirect NH3 demand sources'!AM$4</f>
        <v>1.6831910700000004E-2</v>
      </c>
      <c r="AN23">
        <f>'Methanol demand shares'!AN23*'Indirect NH3 demand sources'!AN$4</f>
        <v>1.7651321400000006E-2</v>
      </c>
      <c r="AO23">
        <f>'Methanol demand shares'!AO23*'Indirect NH3 demand sources'!AO$4</f>
        <v>1.8431836800000007E-2</v>
      </c>
      <c r="AP23">
        <f>'Methanol demand shares'!AP23*'Indirect NH3 demand sources'!AP$4</f>
        <v>1.9181411999999998E-2</v>
      </c>
    </row>
    <row r="24" spans="1:42" x14ac:dyDescent="0.3">
      <c r="A24" t="s">
        <v>23</v>
      </c>
      <c r="B24">
        <f>'Methanol demand shares'!B24*'Indirect NH3 demand sources'!B$4</f>
        <v>0</v>
      </c>
      <c r="C24">
        <f>'Methanol demand shares'!C24*'Indirect NH3 demand sources'!C$4</f>
        <v>0</v>
      </c>
      <c r="D24">
        <f>'Methanol demand shares'!D24*'Indirect NH3 demand sources'!D$4</f>
        <v>0</v>
      </c>
      <c r="E24">
        <f>'Methanol demand shares'!E24*'Indirect NH3 demand sources'!E$4</f>
        <v>0</v>
      </c>
      <c r="F24">
        <f>'Methanol demand shares'!F24*'Indirect NH3 demand sources'!F$4</f>
        <v>0</v>
      </c>
      <c r="G24">
        <f>'Methanol demand shares'!G24*'Indirect NH3 demand sources'!G$4</f>
        <v>0</v>
      </c>
      <c r="H24">
        <f>'Methanol demand shares'!H24*'Indirect NH3 demand sources'!H$4</f>
        <v>0</v>
      </c>
      <c r="I24">
        <f>'Methanol demand shares'!I24*'Indirect NH3 demand sources'!I$4</f>
        <v>0</v>
      </c>
      <c r="J24">
        <f>'Methanol demand shares'!J24*'Indirect NH3 demand sources'!J$4</f>
        <v>0</v>
      </c>
      <c r="K24">
        <f>'Methanol demand shares'!K24*'Indirect NH3 demand sources'!K$4</f>
        <v>0</v>
      </c>
      <c r="L24">
        <f>'Methanol demand shares'!L24*'Indirect NH3 demand sources'!L$4</f>
        <v>0</v>
      </c>
      <c r="M24">
        <f>'Methanol demand shares'!M24*'Indirect NH3 demand sources'!M$4</f>
        <v>0</v>
      </c>
      <c r="N24">
        <f>'Methanol demand shares'!N24*'Indirect NH3 demand sources'!N$4</f>
        <v>0</v>
      </c>
      <c r="O24">
        <f>'Methanol demand shares'!O24*'Indirect NH3 demand sources'!O$4</f>
        <v>0</v>
      </c>
      <c r="P24">
        <f>'Methanol demand shares'!P24*'Indirect NH3 demand sources'!P$4</f>
        <v>0</v>
      </c>
      <c r="Q24">
        <f>'Methanol demand shares'!Q24*'Indirect NH3 demand sources'!Q$4</f>
        <v>0</v>
      </c>
      <c r="R24">
        <f>'Methanol demand shares'!R24*'Indirect NH3 demand sources'!R$4</f>
        <v>0</v>
      </c>
      <c r="S24">
        <f>'Methanol demand shares'!S24*'Indirect NH3 demand sources'!S$4</f>
        <v>0</v>
      </c>
      <c r="T24">
        <f>'Methanol demand shares'!T24*'Indirect NH3 demand sources'!T$4</f>
        <v>0</v>
      </c>
      <c r="U24">
        <f>'Methanol demand shares'!U24*'Indirect NH3 demand sources'!U$4</f>
        <v>0</v>
      </c>
      <c r="V24">
        <f>'Methanol demand shares'!V24*'Indirect NH3 demand sources'!V$4</f>
        <v>0</v>
      </c>
      <c r="W24">
        <f>'Methanol demand shares'!W24*'Indirect NH3 demand sources'!W$4</f>
        <v>0</v>
      </c>
      <c r="X24">
        <f>'Methanol demand shares'!X24*'Indirect NH3 demand sources'!X$4</f>
        <v>0</v>
      </c>
      <c r="Y24">
        <f>'Methanol demand shares'!Y24*'Indirect NH3 demand sources'!Y$4</f>
        <v>0</v>
      </c>
      <c r="Z24">
        <f>'Methanol demand shares'!Z24*'Indirect NH3 demand sources'!Z$4</f>
        <v>0</v>
      </c>
      <c r="AA24">
        <f>'Methanol demand shares'!AA24*'Indirect NH3 demand sources'!AA$4</f>
        <v>0</v>
      </c>
      <c r="AB24">
        <f>'Methanol demand shares'!AB24*'Indirect NH3 demand sources'!AB$4</f>
        <v>0</v>
      </c>
      <c r="AC24">
        <f>'Methanol demand shares'!AC24*'Indirect NH3 demand sources'!AC$4</f>
        <v>0</v>
      </c>
      <c r="AD24">
        <f>'Methanol demand shares'!AD24*'Indirect NH3 demand sources'!AD$4</f>
        <v>0</v>
      </c>
      <c r="AE24">
        <f>'Methanol demand shares'!AE24*'Indirect NH3 demand sources'!AE$4</f>
        <v>0</v>
      </c>
      <c r="AF24">
        <f>'Methanol demand shares'!AF24*'Indirect NH3 demand sources'!AF$4</f>
        <v>0</v>
      </c>
      <c r="AG24">
        <f>'Methanol demand shares'!AG24*'Indirect NH3 demand sources'!AG$4</f>
        <v>0</v>
      </c>
      <c r="AH24">
        <f>'Methanol demand shares'!AH24*'Indirect NH3 demand sources'!AH$4</f>
        <v>0</v>
      </c>
      <c r="AI24">
        <f>'Methanol demand shares'!AI24*'Indirect NH3 demand sources'!AI$4</f>
        <v>0</v>
      </c>
      <c r="AJ24">
        <f>'Methanol demand shares'!AJ24*'Indirect NH3 demand sources'!AJ$4</f>
        <v>0</v>
      </c>
      <c r="AK24">
        <f>'Methanol demand shares'!AK24*'Indirect NH3 demand sources'!AK$4</f>
        <v>0</v>
      </c>
      <c r="AL24">
        <f>'Methanol demand shares'!AL24*'Indirect NH3 demand sources'!AL$4</f>
        <v>0</v>
      </c>
      <c r="AM24">
        <f>'Methanol demand shares'!AM24*'Indirect NH3 demand sources'!AM$4</f>
        <v>0</v>
      </c>
      <c r="AN24">
        <f>'Methanol demand shares'!AN24*'Indirect NH3 demand sources'!AN$4</f>
        <v>0</v>
      </c>
      <c r="AO24">
        <f>'Methanol demand shares'!AO24*'Indirect NH3 demand sources'!AO$4</f>
        <v>0</v>
      </c>
      <c r="AP24">
        <f>'Methanol demand shares'!AP24*'Indirect NH3 demand sources'!AP$4</f>
        <v>0</v>
      </c>
    </row>
    <row r="25" spans="1:42" x14ac:dyDescent="0.3">
      <c r="A25" t="s">
        <v>24</v>
      </c>
      <c r="B25">
        <f>'Methanol demand shares'!B25*'Indirect NH3 demand sources'!B$4</f>
        <v>0</v>
      </c>
      <c r="C25">
        <f>'Methanol demand shares'!C25*'Indirect NH3 demand sources'!C$4</f>
        <v>0</v>
      </c>
      <c r="D25">
        <f>'Methanol demand shares'!D25*'Indirect NH3 demand sources'!D$4</f>
        <v>0</v>
      </c>
      <c r="E25">
        <f>'Methanol demand shares'!E25*'Indirect NH3 demand sources'!E$4</f>
        <v>0</v>
      </c>
      <c r="F25">
        <f>'Methanol demand shares'!F25*'Indirect NH3 demand sources'!F$4</f>
        <v>0</v>
      </c>
      <c r="G25">
        <f>'Methanol demand shares'!G25*'Indirect NH3 demand sources'!G$4</f>
        <v>0</v>
      </c>
      <c r="H25">
        <f>'Methanol demand shares'!H25*'Indirect NH3 demand sources'!H$4</f>
        <v>0</v>
      </c>
      <c r="I25">
        <f>'Methanol demand shares'!I25*'Indirect NH3 demand sources'!I$4</f>
        <v>0</v>
      </c>
      <c r="J25">
        <f>'Methanol demand shares'!J25*'Indirect NH3 demand sources'!J$4</f>
        <v>0</v>
      </c>
      <c r="K25">
        <f>'Methanol demand shares'!K25*'Indirect NH3 demand sources'!K$4</f>
        <v>0</v>
      </c>
      <c r="L25">
        <f>'Methanol demand shares'!L25*'Indirect NH3 demand sources'!L$4</f>
        <v>0</v>
      </c>
      <c r="M25">
        <f>'Methanol demand shares'!M25*'Indirect NH3 demand sources'!M$4</f>
        <v>0</v>
      </c>
      <c r="N25">
        <f>'Methanol demand shares'!N25*'Indirect NH3 demand sources'!N$4</f>
        <v>0</v>
      </c>
      <c r="O25">
        <f>'Methanol demand shares'!O25*'Indirect NH3 demand sources'!O$4</f>
        <v>0</v>
      </c>
      <c r="P25">
        <f>'Methanol demand shares'!P25*'Indirect NH3 demand sources'!P$4</f>
        <v>0</v>
      </c>
      <c r="Q25">
        <f>'Methanol demand shares'!Q25*'Indirect NH3 demand sources'!Q$4</f>
        <v>0</v>
      </c>
      <c r="R25">
        <f>'Methanol demand shares'!R25*'Indirect NH3 demand sources'!R$4</f>
        <v>0</v>
      </c>
      <c r="S25">
        <f>'Methanol demand shares'!S25*'Indirect NH3 demand sources'!S$4</f>
        <v>0</v>
      </c>
      <c r="T25">
        <f>'Methanol demand shares'!T25*'Indirect NH3 demand sources'!T$4</f>
        <v>0</v>
      </c>
      <c r="U25">
        <f>'Methanol demand shares'!U25*'Indirect NH3 demand sources'!U$4</f>
        <v>0</v>
      </c>
      <c r="V25">
        <f>'Methanol demand shares'!V25*'Indirect NH3 demand sources'!V$4</f>
        <v>0</v>
      </c>
      <c r="W25">
        <f>'Methanol demand shares'!W25*'Indirect NH3 demand sources'!W$4</f>
        <v>4.3616745E-3</v>
      </c>
      <c r="X25">
        <f>'Methanol demand shares'!X25*'Indirect NH3 demand sources'!X$4</f>
        <v>8.5614000000000003E-3</v>
      </c>
      <c r="Y25">
        <f>'Methanol demand shares'!Y25*'Indirect NH3 demand sources'!Y$4</f>
        <v>1.2605206499999999E-2</v>
      </c>
      <c r="Z25">
        <f>'Methanol demand shares'!Z25*'Indirect NH3 demand sources'!Z$4</f>
        <v>1.6499046E-2</v>
      </c>
      <c r="AA25">
        <f>'Methanol demand shares'!AA25*'Indirect NH3 demand sources'!AA$4</f>
        <v>2.022057E-2</v>
      </c>
      <c r="AB25">
        <f>'Methanol demand shares'!AB25*'Indirect NH3 demand sources'!AB$4</f>
        <v>2.3729093999999999E-2</v>
      </c>
      <c r="AC25">
        <f>'Methanol demand shares'!AC25*'Indirect NH3 demand sources'!AC$4</f>
        <v>2.7075058499999999E-2</v>
      </c>
      <c r="AD25">
        <f>'Methanol demand shares'!AD25*'Indirect NH3 demand sources'!AD$4</f>
        <v>3.0265200000000003E-2</v>
      </c>
      <c r="AE25">
        <f>'Methanol demand shares'!AE25*'Indirect NH3 demand sources'!AE$4</f>
        <v>3.3305836499999998E-2</v>
      </c>
      <c r="AF25">
        <f>'Methanol demand shares'!AF25*'Indirect NH3 demand sources'!AF$4</f>
        <v>3.6137924999999994E-2</v>
      </c>
      <c r="AG25">
        <f>'Methanol demand shares'!AG25*'Indirect NH3 demand sources'!AG$4</f>
        <v>4.0251501900000007E-2</v>
      </c>
      <c r="AH25">
        <f>'Methanol demand shares'!AH25*'Indirect NH3 demand sources'!AH$4</f>
        <v>4.4162342400000006E-2</v>
      </c>
      <c r="AI25">
        <f>'Methanol demand shares'!AI25*'Indirect NH3 demand sources'!AI$4</f>
        <v>4.7879268900000015E-2</v>
      </c>
      <c r="AJ25">
        <f>'Methanol demand shares'!AJ25*'Indirect NH3 demand sources'!AJ$4</f>
        <v>5.141078280000002E-2</v>
      </c>
      <c r="AK25">
        <f>'Methanol demand shares'!AK25*'Indirect NH3 demand sources'!AK$4</f>
        <v>5.4713157000000019E-2</v>
      </c>
      <c r="AL25">
        <f>'Methanol demand shares'!AL25*'Indirect NH3 demand sources'!AL$4</f>
        <v>5.7726586800000014E-2</v>
      </c>
      <c r="AM25">
        <f>'Methanol demand shares'!AM25*'Indirect NH3 demand sources'!AM$4</f>
        <v>6.0561685800000015E-2</v>
      </c>
      <c r="AN25">
        <f>'Methanol demand shares'!AN25*'Indirect NH3 demand sources'!AN$4</f>
        <v>6.3227176800000034E-2</v>
      </c>
      <c r="AO25">
        <f>'Methanol demand shares'!AO25*'Indirect NH3 demand sources'!AO$4</f>
        <v>6.5731354200000022E-2</v>
      </c>
      <c r="AP25">
        <f>'Methanol demand shares'!AP25*'Indirect NH3 demand sources'!AP$4</f>
        <v>6.8046551999999996E-2</v>
      </c>
    </row>
    <row r="26" spans="1:42" x14ac:dyDescent="0.3">
      <c r="A26" t="s">
        <v>25</v>
      </c>
      <c r="B26">
        <f>'Methanol demand shares'!B26*'Indirect NH3 demand sources'!B$4</f>
        <v>0</v>
      </c>
      <c r="C26">
        <f>'Methanol demand shares'!C26*'Indirect NH3 demand sources'!C$4</f>
        <v>0</v>
      </c>
      <c r="D26">
        <f>'Methanol demand shares'!D26*'Indirect NH3 demand sources'!D$4</f>
        <v>0</v>
      </c>
      <c r="E26">
        <f>'Methanol demand shares'!E26*'Indirect NH3 demand sources'!E$4</f>
        <v>0</v>
      </c>
      <c r="F26">
        <f>'Methanol demand shares'!F26*'Indirect NH3 demand sources'!F$4</f>
        <v>0</v>
      </c>
      <c r="G26">
        <f>'Methanol demand shares'!G26*'Indirect NH3 demand sources'!G$4</f>
        <v>0</v>
      </c>
      <c r="H26">
        <f>'Methanol demand shares'!H26*'Indirect NH3 demand sources'!H$4</f>
        <v>0</v>
      </c>
      <c r="I26">
        <f>'Methanol demand shares'!I26*'Indirect NH3 demand sources'!I$4</f>
        <v>0</v>
      </c>
      <c r="J26">
        <f>'Methanol demand shares'!J26*'Indirect NH3 demand sources'!J$4</f>
        <v>0</v>
      </c>
      <c r="K26">
        <f>'Methanol demand shares'!K26*'Indirect NH3 demand sources'!K$4</f>
        <v>0</v>
      </c>
      <c r="L26">
        <f>'Methanol demand shares'!L26*'Indirect NH3 demand sources'!L$4</f>
        <v>0</v>
      </c>
      <c r="M26">
        <f>'Methanol demand shares'!M26*'Indirect NH3 demand sources'!M$4</f>
        <v>0</v>
      </c>
      <c r="N26">
        <f>'Methanol demand shares'!N26*'Indirect NH3 demand sources'!N$4</f>
        <v>0</v>
      </c>
      <c r="O26">
        <f>'Methanol demand shares'!O26*'Indirect NH3 demand sources'!O$4</f>
        <v>0</v>
      </c>
      <c r="P26">
        <f>'Methanol demand shares'!P26*'Indirect NH3 demand sources'!P$4</f>
        <v>0</v>
      </c>
      <c r="Q26">
        <f>'Methanol demand shares'!Q26*'Indirect NH3 demand sources'!Q$4</f>
        <v>0</v>
      </c>
      <c r="R26">
        <f>'Methanol demand shares'!R26*'Indirect NH3 demand sources'!R$4</f>
        <v>0</v>
      </c>
      <c r="S26">
        <f>'Methanol demand shares'!S26*'Indirect NH3 demand sources'!S$4</f>
        <v>0</v>
      </c>
      <c r="T26">
        <f>'Methanol demand shares'!T26*'Indirect NH3 demand sources'!T$4</f>
        <v>0</v>
      </c>
      <c r="U26">
        <f>'Methanol demand shares'!U26*'Indirect NH3 demand sources'!U$4</f>
        <v>0</v>
      </c>
      <c r="V26">
        <f>'Methanol demand shares'!V26*'Indirect NH3 demand sources'!V$4</f>
        <v>0</v>
      </c>
      <c r="W26">
        <f>'Methanol demand shares'!W26*'Indirect NH3 demand sources'!W$4</f>
        <v>2.6462400000000003E-4</v>
      </c>
      <c r="X26">
        <f>'Methanol demand shares'!X26*'Indirect NH3 demand sources'!X$4</f>
        <v>5.1654300000000006E-4</v>
      </c>
      <c r="Y26">
        <f>'Methanol demand shares'!Y26*'Indirect NH3 demand sources'!Y$4</f>
        <v>7.5632849999999997E-4</v>
      </c>
      <c r="Z26">
        <f>'Methanol demand shares'!Z26*'Indirect NH3 demand sources'!Z$4</f>
        <v>9.8452800000000014E-4</v>
      </c>
      <c r="AA26">
        <f>'Methanol demand shares'!AA26*'Indirect NH3 demand sources'!AA$4</f>
        <v>1.20012E-3</v>
      </c>
      <c r="AB26">
        <f>'Methanol demand shares'!AB26*'Indirect NH3 demand sources'!AB$4</f>
        <v>1.4026949999999998E-3</v>
      </c>
      <c r="AC26">
        <f>'Methanol demand shares'!AC26*'Indirect NH3 demand sources'!AC$4</f>
        <v>1.5941519999999999E-3</v>
      </c>
      <c r="AD26">
        <f>'Methanol demand shares'!AD26*'Indirect NH3 demand sources'!AD$4</f>
        <v>1.7750159999999999E-3</v>
      </c>
      <c r="AE26">
        <f>'Methanol demand shares'!AE26*'Indirect NH3 demand sources'!AE$4</f>
        <v>1.9457955000000001E-3</v>
      </c>
      <c r="AF26">
        <f>'Methanol demand shares'!AF26*'Indirect NH3 demand sources'!AF$4</f>
        <v>2.1038400000000001E-3</v>
      </c>
      <c r="AG26">
        <f>'Methanol demand shares'!AG26*'Indirect NH3 demand sources'!AG$4</f>
        <v>2.3449914E-3</v>
      </c>
      <c r="AH26">
        <f>'Methanol demand shares'!AH26*'Indirect NH3 demand sources'!AH$4</f>
        <v>2.5747200000000004E-3</v>
      </c>
      <c r="AI26">
        <f>'Methanol demand shares'!AI26*'Indirect NH3 demand sources'!AI$4</f>
        <v>2.7934950000000004E-3</v>
      </c>
      <c r="AJ26">
        <f>'Methanol demand shares'!AJ26*'Indirect NH3 demand sources'!AJ$4</f>
        <v>3.0017754000000009E-3</v>
      </c>
      <c r="AK26">
        <f>'Methanol demand shares'!AK26*'Indirect NH3 demand sources'!AK$4</f>
        <v>3.1988730000000009E-3</v>
      </c>
      <c r="AL26">
        <f>'Methanol demand shares'!AL26*'Indirect NH3 demand sources'!AL$4</f>
        <v>3.3835392000000014E-3</v>
      </c>
      <c r="AM26">
        <f>'Methanol demand shares'!AM26*'Indirect NH3 demand sources'!AM$4</f>
        <v>3.5586243000000012E-3</v>
      </c>
      <c r="AN26">
        <f>'Methanol demand shares'!AN26*'Indirect NH3 demand sources'!AN$4</f>
        <v>3.7245432000000012E-3</v>
      </c>
      <c r="AO26">
        <f>'Methanol demand shares'!AO26*'Indirect NH3 demand sources'!AO$4</f>
        <v>3.8816856000000017E-3</v>
      </c>
      <c r="AP26">
        <f>'Methanol demand shares'!AP26*'Indirect NH3 demand sources'!AP$4</f>
        <v>4.0311000000000001E-3</v>
      </c>
    </row>
    <row r="27" spans="1:42" x14ac:dyDescent="0.3">
      <c r="A27" t="s">
        <v>26</v>
      </c>
      <c r="B27">
        <f>'Methanol demand shares'!B27*'Indirect NH3 demand sources'!B$4</f>
        <v>0</v>
      </c>
      <c r="C27">
        <f>'Methanol demand shares'!C27*'Indirect NH3 demand sources'!C$4</f>
        <v>0</v>
      </c>
      <c r="D27">
        <f>'Methanol demand shares'!D27*'Indirect NH3 demand sources'!D$4</f>
        <v>0</v>
      </c>
      <c r="E27">
        <f>'Methanol demand shares'!E27*'Indirect NH3 demand sources'!E$4</f>
        <v>0</v>
      </c>
      <c r="F27">
        <f>'Methanol demand shares'!F27*'Indirect NH3 demand sources'!F$4</f>
        <v>0</v>
      </c>
      <c r="G27">
        <f>'Methanol demand shares'!G27*'Indirect NH3 demand sources'!G$4</f>
        <v>0</v>
      </c>
      <c r="H27">
        <f>'Methanol demand shares'!H27*'Indirect NH3 demand sources'!H$4</f>
        <v>0</v>
      </c>
      <c r="I27">
        <f>'Methanol demand shares'!I27*'Indirect NH3 demand sources'!I$4</f>
        <v>0</v>
      </c>
      <c r="J27">
        <f>'Methanol demand shares'!J27*'Indirect NH3 demand sources'!J$4</f>
        <v>0</v>
      </c>
      <c r="K27">
        <f>'Methanol demand shares'!K27*'Indirect NH3 demand sources'!K$4</f>
        <v>0</v>
      </c>
      <c r="L27">
        <f>'Methanol demand shares'!L27*'Indirect NH3 demand sources'!L$4</f>
        <v>0</v>
      </c>
      <c r="M27">
        <f>'Methanol demand shares'!M27*'Indirect NH3 demand sources'!M$4</f>
        <v>0</v>
      </c>
      <c r="N27">
        <f>'Methanol demand shares'!N27*'Indirect NH3 demand sources'!N$4</f>
        <v>0</v>
      </c>
      <c r="O27">
        <f>'Methanol demand shares'!O27*'Indirect NH3 demand sources'!O$4</f>
        <v>0</v>
      </c>
      <c r="P27">
        <f>'Methanol demand shares'!P27*'Indirect NH3 demand sources'!P$4</f>
        <v>0</v>
      </c>
      <c r="Q27">
        <f>'Methanol demand shares'!Q27*'Indirect NH3 demand sources'!Q$4</f>
        <v>0</v>
      </c>
      <c r="R27">
        <f>'Methanol demand shares'!R27*'Indirect NH3 demand sources'!R$4</f>
        <v>0</v>
      </c>
      <c r="S27">
        <f>'Methanol demand shares'!S27*'Indirect NH3 demand sources'!S$4</f>
        <v>0</v>
      </c>
      <c r="T27">
        <f>'Methanol demand shares'!T27*'Indirect NH3 demand sources'!T$4</f>
        <v>0</v>
      </c>
      <c r="U27">
        <f>'Methanol demand shares'!U27*'Indirect NH3 demand sources'!U$4</f>
        <v>0</v>
      </c>
      <c r="V27">
        <f>'Methanol demand shares'!V27*'Indirect NH3 demand sources'!V$4</f>
        <v>0</v>
      </c>
      <c r="W27">
        <f>'Methanol demand shares'!W27*'Indirect NH3 demand sources'!W$4</f>
        <v>5.9820899999999994E-4</v>
      </c>
      <c r="X27">
        <f>'Methanol demand shares'!X27*'Indirect NH3 demand sources'!X$4</f>
        <v>1.1673720000000001E-3</v>
      </c>
      <c r="Y27">
        <f>'Methanol demand shares'!Y27*'Indirect NH3 demand sources'!Y$4</f>
        <v>1.7087355E-3</v>
      </c>
      <c r="Z27">
        <f>'Methanol demand shares'!Z27*'Indirect NH3 demand sources'!Z$4</f>
        <v>2.2235220000000003E-3</v>
      </c>
      <c r="AA27">
        <f>'Methanol demand shares'!AA27*'Indirect NH3 demand sources'!AA$4</f>
        <v>2.7119849999999997E-3</v>
      </c>
      <c r="AB27">
        <f>'Methanol demand shares'!AB27*'Indirect NH3 demand sources'!AB$4</f>
        <v>3.1623750000000003E-3</v>
      </c>
      <c r="AC27">
        <f>'Methanol demand shares'!AC27*'Indirect NH3 demand sources'!AC$4</f>
        <v>3.5855504999999996E-3</v>
      </c>
      <c r="AD27">
        <f>'Methanol demand shares'!AD27*'Indirect NH3 demand sources'!AD$4</f>
        <v>3.9828720000000001E-3</v>
      </c>
      <c r="AE27">
        <f>'Methanol demand shares'!AE27*'Indirect NH3 demand sources'!AE$4</f>
        <v>4.35564E-3</v>
      </c>
      <c r="AF27">
        <f>'Methanol demand shares'!AF27*'Indirect NH3 demand sources'!AF$4</f>
        <v>4.7024400000000004E-3</v>
      </c>
      <c r="AG27">
        <f>'Methanol demand shares'!AG27*'Indirect NH3 demand sources'!AG$4</f>
        <v>5.2114131000000011E-3</v>
      </c>
      <c r="AH27">
        <f>'Methanol demand shares'!AH27*'Indirect NH3 demand sources'!AH$4</f>
        <v>5.688902400000001E-3</v>
      </c>
      <c r="AI27">
        <f>'Methanol demand shares'!AI27*'Indirect NH3 demand sources'!AI$4</f>
        <v>6.136380900000001E-3</v>
      </c>
      <c r="AJ27">
        <f>'Methanol demand shares'!AJ27*'Indirect NH3 demand sources'!AJ$4</f>
        <v>6.5553696000000021E-3</v>
      </c>
      <c r="AK27">
        <f>'Methanol demand shares'!AK27*'Indirect NH3 demand sources'!AK$4</f>
        <v>6.946480500000002E-3</v>
      </c>
      <c r="AL27">
        <f>'Methanol demand shares'!AL27*'Indirect NH3 demand sources'!AL$4</f>
        <v>7.3041192000000022E-3</v>
      </c>
      <c r="AM27">
        <f>'Methanol demand shares'!AM27*'Indirect NH3 demand sources'!AM$4</f>
        <v>7.6367016000000029E-3</v>
      </c>
      <c r="AN27">
        <f>'Methanol demand shares'!AN27*'Indirect NH3 demand sources'!AN$4</f>
        <v>7.9455480000000037E-3</v>
      </c>
      <c r="AO27">
        <f>'Methanol demand shares'!AO27*'Indirect NH3 demand sources'!AO$4</f>
        <v>8.2319031000000036E-3</v>
      </c>
      <c r="AP27">
        <f>'Methanol demand shares'!AP27*'Indirect NH3 demand sources'!AP$4</f>
        <v>8.4954599999999998E-3</v>
      </c>
    </row>
    <row r="28" spans="1:42" x14ac:dyDescent="0.3">
      <c r="A28" t="s">
        <v>27</v>
      </c>
      <c r="B28">
        <f>'Methanol demand shares'!B28*'Indirect NH3 demand sources'!B$4</f>
        <v>0</v>
      </c>
      <c r="C28">
        <f>'Methanol demand shares'!C28*'Indirect NH3 demand sources'!C$4</f>
        <v>0</v>
      </c>
      <c r="D28">
        <f>'Methanol demand shares'!D28*'Indirect NH3 demand sources'!D$4</f>
        <v>0</v>
      </c>
      <c r="E28">
        <f>'Methanol demand shares'!E28*'Indirect NH3 demand sources'!E$4</f>
        <v>0</v>
      </c>
      <c r="F28">
        <f>'Methanol demand shares'!F28*'Indirect NH3 demand sources'!F$4</f>
        <v>0</v>
      </c>
      <c r="G28">
        <f>'Methanol demand shares'!G28*'Indirect NH3 demand sources'!G$4</f>
        <v>0</v>
      </c>
      <c r="H28">
        <f>'Methanol demand shares'!H28*'Indirect NH3 demand sources'!H$4</f>
        <v>0</v>
      </c>
      <c r="I28">
        <f>'Methanol demand shares'!I28*'Indirect NH3 demand sources'!I$4</f>
        <v>0</v>
      </c>
      <c r="J28">
        <f>'Methanol demand shares'!J28*'Indirect NH3 demand sources'!J$4</f>
        <v>0</v>
      </c>
      <c r="K28">
        <f>'Methanol demand shares'!K28*'Indirect NH3 demand sources'!K$4</f>
        <v>0</v>
      </c>
      <c r="L28">
        <f>'Methanol demand shares'!L28*'Indirect NH3 demand sources'!L$4</f>
        <v>0</v>
      </c>
      <c r="M28">
        <f>'Methanol demand shares'!M28*'Indirect NH3 demand sources'!M$4</f>
        <v>0</v>
      </c>
      <c r="N28">
        <f>'Methanol demand shares'!N28*'Indirect NH3 demand sources'!N$4</f>
        <v>0</v>
      </c>
      <c r="O28">
        <f>'Methanol demand shares'!O28*'Indirect NH3 demand sources'!O$4</f>
        <v>0</v>
      </c>
      <c r="P28">
        <f>'Methanol demand shares'!P28*'Indirect NH3 demand sources'!P$4</f>
        <v>0</v>
      </c>
      <c r="Q28">
        <f>'Methanol demand shares'!Q28*'Indirect NH3 demand sources'!Q$4</f>
        <v>0</v>
      </c>
      <c r="R28">
        <f>'Methanol demand shares'!R28*'Indirect NH3 demand sources'!R$4</f>
        <v>0</v>
      </c>
      <c r="S28">
        <f>'Methanol demand shares'!S28*'Indirect NH3 demand sources'!S$4</f>
        <v>0</v>
      </c>
      <c r="T28">
        <f>'Methanol demand shares'!T28*'Indirect NH3 demand sources'!T$4</f>
        <v>0</v>
      </c>
      <c r="U28">
        <f>'Methanol demand shares'!U28*'Indirect NH3 demand sources'!U$4</f>
        <v>0</v>
      </c>
      <c r="V28">
        <f>'Methanol demand shares'!V28*'Indirect NH3 demand sources'!V$4</f>
        <v>0</v>
      </c>
      <c r="W28">
        <f>'Methanol demand shares'!W28*'Indirect NH3 demand sources'!W$4</f>
        <v>5.3414249999999999E-4</v>
      </c>
      <c r="X28">
        <f>'Methanol demand shares'!X28*'Indirect NH3 demand sources'!X$4</f>
        <v>1.0361279999999999E-3</v>
      </c>
      <c r="Y28">
        <f>'Methanol demand shares'!Y28*'Indirect NH3 demand sources'!Y$4</f>
        <v>1.5075495000000001E-3</v>
      </c>
      <c r="Z28">
        <f>'Methanol demand shares'!Z28*'Indirect NH3 demand sources'!Z$4</f>
        <v>1.9499579999999999E-3</v>
      </c>
      <c r="AA28">
        <f>'Methanol demand shares'!AA28*'Indirect NH3 demand sources'!AA$4</f>
        <v>2.3650049999999999E-3</v>
      </c>
      <c r="AB28">
        <f>'Methanol demand shares'!AB28*'Indirect NH3 demand sources'!AB$4</f>
        <v>2.7478799999999999E-3</v>
      </c>
      <c r="AC28">
        <f>'Methanol demand shares'!AC28*'Indirect NH3 demand sources'!AC$4</f>
        <v>3.1042829999999998E-3</v>
      </c>
      <c r="AD28">
        <f>'Methanol demand shares'!AD28*'Indirect NH3 demand sources'!AD$4</f>
        <v>3.435708E-3</v>
      </c>
      <c r="AE28">
        <f>'Methanol demand shares'!AE28*'Indirect NH3 demand sources'!AE$4</f>
        <v>3.7434960000000002E-3</v>
      </c>
      <c r="AF28">
        <f>'Methanol demand shares'!AF28*'Indirect NH3 demand sources'!AF$4</f>
        <v>4.0279799999999996E-3</v>
      </c>
      <c r="AG28">
        <f>'Methanol demand shares'!AG28*'Indirect NH3 demand sources'!AG$4</f>
        <v>4.4647929000000003E-3</v>
      </c>
      <c r="AH28">
        <f>'Methanol demand shares'!AH28*'Indirect NH3 demand sources'!AH$4</f>
        <v>4.8748032000000005E-3</v>
      </c>
      <c r="AI28">
        <f>'Methanol demand shares'!AI28*'Indirect NH3 demand sources'!AI$4</f>
        <v>5.2593108000000017E-3</v>
      </c>
      <c r="AJ28">
        <f>'Methanol demand shares'!AJ28*'Indirect NH3 demand sources'!AJ$4</f>
        <v>5.6195568000000007E-3</v>
      </c>
      <c r="AK28">
        <f>'Methanol demand shares'!AK28*'Indirect NH3 demand sources'!AK$4</f>
        <v>5.9555760000000015E-3</v>
      </c>
      <c r="AL28">
        <f>'Methanol demand shares'!AL28*'Indirect NH3 demand sources'!AL$4</f>
        <v>6.2711064000000021E-3</v>
      </c>
      <c r="AM28">
        <f>'Methanol demand shares'!AM28*'Indirect NH3 demand sources'!AM$4</f>
        <v>6.565689900000002E-3</v>
      </c>
      <c r="AN28">
        <f>'Methanol demand shares'!AN28*'Indirect NH3 demand sources'!AN$4</f>
        <v>6.8402754000000026E-3</v>
      </c>
      <c r="AO28">
        <f>'Methanol demand shares'!AO28*'Indirect NH3 demand sources'!AO$4</f>
        <v>7.0958124000000027E-3</v>
      </c>
      <c r="AP28">
        <f>'Methanol demand shares'!AP28*'Indirect NH3 demand sources'!AP$4</f>
        <v>7.3310760000000006E-3</v>
      </c>
    </row>
    <row r="29" spans="1:42" x14ac:dyDescent="0.3">
      <c r="A29" t="s">
        <v>28</v>
      </c>
      <c r="B29">
        <f>'Methanol demand shares'!B29*'Indirect NH3 demand sources'!B$4</f>
        <v>0</v>
      </c>
      <c r="C29">
        <f>'Methanol demand shares'!C29*'Indirect NH3 demand sources'!C$4</f>
        <v>0</v>
      </c>
      <c r="D29">
        <f>'Methanol demand shares'!D29*'Indirect NH3 demand sources'!D$4</f>
        <v>0</v>
      </c>
      <c r="E29">
        <f>'Methanol demand shares'!E29*'Indirect NH3 demand sources'!E$4</f>
        <v>0</v>
      </c>
      <c r="F29">
        <f>'Methanol demand shares'!F29*'Indirect NH3 demand sources'!F$4</f>
        <v>0</v>
      </c>
      <c r="G29">
        <f>'Methanol demand shares'!G29*'Indirect NH3 demand sources'!G$4</f>
        <v>0</v>
      </c>
      <c r="H29">
        <f>'Methanol demand shares'!H29*'Indirect NH3 demand sources'!H$4</f>
        <v>0</v>
      </c>
      <c r="I29">
        <f>'Methanol demand shares'!I29*'Indirect NH3 demand sources'!I$4</f>
        <v>0</v>
      </c>
      <c r="J29">
        <f>'Methanol demand shares'!J29*'Indirect NH3 demand sources'!J$4</f>
        <v>0</v>
      </c>
      <c r="K29">
        <f>'Methanol demand shares'!K29*'Indirect NH3 demand sources'!K$4</f>
        <v>0</v>
      </c>
      <c r="L29">
        <f>'Methanol demand shares'!L29*'Indirect NH3 demand sources'!L$4</f>
        <v>0</v>
      </c>
      <c r="M29">
        <f>'Methanol demand shares'!M29*'Indirect NH3 demand sources'!M$4</f>
        <v>0</v>
      </c>
      <c r="N29">
        <f>'Methanol demand shares'!N29*'Indirect NH3 demand sources'!N$4</f>
        <v>0</v>
      </c>
      <c r="O29">
        <f>'Methanol demand shares'!O29*'Indirect NH3 demand sources'!O$4</f>
        <v>0</v>
      </c>
      <c r="P29">
        <f>'Methanol demand shares'!P29*'Indirect NH3 demand sources'!P$4</f>
        <v>0</v>
      </c>
      <c r="Q29">
        <f>'Methanol demand shares'!Q29*'Indirect NH3 demand sources'!Q$4</f>
        <v>0</v>
      </c>
      <c r="R29">
        <f>'Methanol demand shares'!R29*'Indirect NH3 demand sources'!R$4</f>
        <v>0</v>
      </c>
      <c r="S29">
        <f>'Methanol demand shares'!S29*'Indirect NH3 demand sources'!S$4</f>
        <v>0</v>
      </c>
      <c r="T29">
        <f>'Methanol demand shares'!T29*'Indirect NH3 demand sources'!T$4</f>
        <v>0</v>
      </c>
      <c r="U29">
        <f>'Methanol demand shares'!U29*'Indirect NH3 demand sources'!U$4</f>
        <v>0</v>
      </c>
      <c r="V29">
        <f>'Methanol demand shares'!V29*'Indirect NH3 demand sources'!V$4</f>
        <v>0</v>
      </c>
      <c r="W29">
        <f>'Methanol demand shares'!W29*'Indirect NH3 demand sources'!W$4</f>
        <v>1.6262024999999999E-3</v>
      </c>
      <c r="X29">
        <f>'Methanol demand shares'!X29*'Indirect NH3 demand sources'!X$4</f>
        <v>3.179304E-3</v>
      </c>
      <c r="Y29">
        <f>'Methanol demand shares'!Y29*'Indirect NH3 demand sources'!Y$4</f>
        <v>4.6620315000000002E-3</v>
      </c>
      <c r="Z29">
        <f>'Methanol demand shares'!Z29*'Indirect NH3 demand sources'!Z$4</f>
        <v>6.0771240000000006E-3</v>
      </c>
      <c r="AA29">
        <f>'Methanol demand shares'!AA29*'Indirect NH3 demand sources'!AA$4</f>
        <v>7.4109075000000002E-3</v>
      </c>
      <c r="AB29">
        <f>'Methanol demand shares'!AB29*'Indirect NH3 demand sources'!AB$4</f>
        <v>8.6558219999999988E-3</v>
      </c>
      <c r="AC29">
        <f>'Methanol demand shares'!AC29*'Indirect NH3 demand sources'!AC$4</f>
        <v>9.8296589999999993E-3</v>
      </c>
      <c r="AD29">
        <f>'Methanol demand shares'!AD29*'Indirect NH3 demand sources'!AD$4</f>
        <v>1.0935851999999999E-2</v>
      </c>
      <c r="AE29">
        <f>'Methanol demand shares'!AE29*'Indirect NH3 demand sources'!AE$4</f>
        <v>1.19776725E-2</v>
      </c>
      <c r="AF29">
        <f>'Methanol demand shares'!AF29*'Indirect NH3 demand sources'!AF$4</f>
        <v>1.2945885000000001E-2</v>
      </c>
      <c r="AG29">
        <f>'Methanol demand shares'!AG29*'Indirect NH3 demand sources'!AG$4</f>
        <v>1.4381955E-2</v>
      </c>
      <c r="AH29">
        <f>'Methanol demand shares'!AH29*'Indirect NH3 demand sources'!AH$4</f>
        <v>1.5738643200000003E-2</v>
      </c>
      <c r="AI29">
        <f>'Methanol demand shares'!AI29*'Indirect NH3 demand sources'!AI$4</f>
        <v>1.7019743700000003E-2</v>
      </c>
      <c r="AJ29">
        <f>'Methanol demand shares'!AJ29*'Indirect NH3 demand sources'!AJ$4</f>
        <v>1.8228974400000004E-2</v>
      </c>
      <c r="AK29">
        <f>'Methanol demand shares'!AK29*'Indirect NH3 demand sources'!AK$4</f>
        <v>1.9367887500000007E-2</v>
      </c>
      <c r="AL29">
        <f>'Methanol demand shares'!AL29*'Indirect NH3 demand sources'!AL$4</f>
        <v>2.0402610000000009E-2</v>
      </c>
      <c r="AM29">
        <f>'Methanol demand shares'!AM29*'Indirect NH3 demand sources'!AM$4</f>
        <v>2.1371496300000008E-2</v>
      </c>
      <c r="AN29">
        <f>'Methanol demand shares'!AN29*'Indirect NH3 demand sources'!AN$4</f>
        <v>2.227806240000001E-2</v>
      </c>
      <c r="AO29">
        <f>'Methanol demand shares'!AO29*'Indirect NH3 demand sources'!AO$4</f>
        <v>2.3125529100000011E-2</v>
      </c>
      <c r="AP29">
        <f>'Methanol demand shares'!AP29*'Indirect NH3 demand sources'!AP$4</f>
        <v>2.3915232000000002E-2</v>
      </c>
    </row>
    <row r="30" spans="1:42" x14ac:dyDescent="0.3">
      <c r="A30" t="s">
        <v>29</v>
      </c>
      <c r="B30">
        <f>'Methanol demand shares'!B30*'Indirect NH3 demand sources'!B$4</f>
        <v>0</v>
      </c>
      <c r="C30">
        <f>'Methanol demand shares'!C30*'Indirect NH3 demand sources'!C$4</f>
        <v>0</v>
      </c>
      <c r="D30">
        <f>'Methanol demand shares'!D30*'Indirect NH3 demand sources'!D$4</f>
        <v>0</v>
      </c>
      <c r="E30">
        <f>'Methanol demand shares'!E30*'Indirect NH3 demand sources'!E$4</f>
        <v>0</v>
      </c>
      <c r="F30">
        <f>'Methanol demand shares'!F30*'Indirect NH3 demand sources'!F$4</f>
        <v>0</v>
      </c>
      <c r="G30">
        <f>'Methanol demand shares'!G30*'Indirect NH3 demand sources'!G$4</f>
        <v>0</v>
      </c>
      <c r="H30">
        <f>'Methanol demand shares'!H30*'Indirect NH3 demand sources'!H$4</f>
        <v>0</v>
      </c>
      <c r="I30">
        <f>'Methanol demand shares'!I30*'Indirect NH3 demand sources'!I$4</f>
        <v>0</v>
      </c>
      <c r="J30">
        <f>'Methanol demand shares'!J30*'Indirect NH3 demand sources'!J$4</f>
        <v>0</v>
      </c>
      <c r="K30">
        <f>'Methanol demand shares'!K30*'Indirect NH3 demand sources'!K$4</f>
        <v>0</v>
      </c>
      <c r="L30">
        <f>'Methanol demand shares'!L30*'Indirect NH3 demand sources'!L$4</f>
        <v>0</v>
      </c>
      <c r="M30">
        <f>'Methanol demand shares'!M30*'Indirect NH3 demand sources'!M$4</f>
        <v>0</v>
      </c>
      <c r="N30">
        <f>'Methanol demand shares'!N30*'Indirect NH3 demand sources'!N$4</f>
        <v>0</v>
      </c>
      <c r="O30">
        <f>'Methanol demand shares'!O30*'Indirect NH3 demand sources'!O$4</f>
        <v>0</v>
      </c>
      <c r="P30">
        <f>'Methanol demand shares'!P30*'Indirect NH3 demand sources'!P$4</f>
        <v>0</v>
      </c>
      <c r="Q30">
        <f>'Methanol demand shares'!Q30*'Indirect NH3 demand sources'!Q$4</f>
        <v>0</v>
      </c>
      <c r="R30">
        <f>'Methanol demand shares'!R30*'Indirect NH3 demand sources'!R$4</f>
        <v>0</v>
      </c>
      <c r="S30">
        <f>'Methanol demand shares'!S30*'Indirect NH3 demand sources'!S$4</f>
        <v>0</v>
      </c>
      <c r="T30">
        <f>'Methanol demand shares'!T30*'Indirect NH3 demand sources'!T$4</f>
        <v>0</v>
      </c>
      <c r="U30">
        <f>'Methanol demand shares'!U30*'Indirect NH3 demand sources'!U$4</f>
        <v>0</v>
      </c>
      <c r="V30">
        <f>'Methanol demand shares'!V30*'Indirect NH3 demand sources'!V$4</f>
        <v>0</v>
      </c>
      <c r="W30">
        <f>'Methanol demand shares'!W30*'Indirect NH3 demand sources'!W$4</f>
        <v>7.7885100000000011E-4</v>
      </c>
      <c r="X30">
        <f>'Methanol demand shares'!X30*'Indirect NH3 demand sources'!X$4</f>
        <v>1.497492E-3</v>
      </c>
      <c r="Y30">
        <f>'Methanol demand shares'!Y30*'Indirect NH3 demand sources'!Y$4</f>
        <v>2.1594915000000001E-3</v>
      </c>
      <c r="Z30">
        <f>'Methanol demand shares'!Z30*'Indirect NH3 demand sources'!Z$4</f>
        <v>2.7682800000000001E-3</v>
      </c>
      <c r="AA30">
        <f>'Methanol demand shares'!AA30*'Indirect NH3 demand sources'!AA$4</f>
        <v>3.3279824999999999E-3</v>
      </c>
      <c r="AB30">
        <f>'Methanol demand shares'!AB30*'Indirect NH3 demand sources'!AB$4</f>
        <v>3.8343240000000001E-3</v>
      </c>
      <c r="AC30">
        <f>'Methanol demand shares'!AC30*'Indirect NH3 demand sources'!AC$4</f>
        <v>4.2952874999999998E-3</v>
      </c>
      <c r="AD30">
        <f>'Methanol demand shares'!AD30*'Indirect NH3 demand sources'!AD$4</f>
        <v>4.713816E-3</v>
      </c>
      <c r="AE30">
        <f>'Methanol demand shares'!AE30*'Indirect NH3 demand sources'!AE$4</f>
        <v>5.092821E-3</v>
      </c>
      <c r="AF30">
        <f>'Methanol demand shares'!AF30*'Indirect NH3 demand sources'!AF$4</f>
        <v>5.4348299999999999E-3</v>
      </c>
      <c r="AG30">
        <f>'Methanol demand shares'!AG30*'Indirect NH3 demand sources'!AG$4</f>
        <v>5.9740560000000002E-3</v>
      </c>
      <c r="AH30">
        <f>'Methanol demand shares'!AH30*'Indirect NH3 demand sources'!AH$4</f>
        <v>6.4685184000000005E-3</v>
      </c>
      <c r="AI30">
        <f>'Methanol demand shares'!AI30*'Indirect NH3 demand sources'!AI$4</f>
        <v>6.9210090000000023E-3</v>
      </c>
      <c r="AJ30">
        <f>'Methanol demand shares'!AJ30*'Indirect NH3 demand sources'!AJ$4</f>
        <v>7.3341918000000023E-3</v>
      </c>
      <c r="AK30">
        <f>'Methanol demand shares'!AK30*'Indirect NH3 demand sources'!AK$4</f>
        <v>7.7106900000000018E-3</v>
      </c>
      <c r="AL30">
        <f>'Methanol demand shares'!AL30*'Indirect NH3 demand sources'!AL$4</f>
        <v>8.0530176000000019E-3</v>
      </c>
      <c r="AM30">
        <f>'Methanol demand shares'!AM30*'Indirect NH3 demand sources'!AM$4</f>
        <v>8.3619162000000014E-3</v>
      </c>
      <c r="AN30">
        <f>'Methanol demand shares'!AN30*'Indirect NH3 demand sources'!AN$4</f>
        <v>8.6436216000000034E-3</v>
      </c>
      <c r="AO30">
        <f>'Methanol demand shares'!AO30*'Indirect NH3 demand sources'!AO$4</f>
        <v>8.8974957000000025E-3</v>
      </c>
      <c r="AP30">
        <f>'Methanol demand shares'!AP30*'Indirect NH3 demand sources'!AP$4</f>
        <v>9.1249199999999999E-3</v>
      </c>
    </row>
    <row r="31" spans="1:42" x14ac:dyDescent="0.3">
      <c r="A31" t="s">
        <v>30</v>
      </c>
      <c r="B31">
        <f>'Methanol demand shares'!B31*'Indirect NH3 demand sources'!B$4</f>
        <v>0</v>
      </c>
      <c r="C31">
        <f>'Methanol demand shares'!C31*'Indirect NH3 demand sources'!C$4</f>
        <v>0</v>
      </c>
      <c r="D31">
        <f>'Methanol demand shares'!D31*'Indirect NH3 demand sources'!D$4</f>
        <v>0</v>
      </c>
      <c r="E31">
        <f>'Methanol demand shares'!E31*'Indirect NH3 demand sources'!E$4</f>
        <v>0</v>
      </c>
      <c r="F31">
        <f>'Methanol demand shares'!F31*'Indirect NH3 demand sources'!F$4</f>
        <v>0</v>
      </c>
      <c r="G31">
        <f>'Methanol demand shares'!G31*'Indirect NH3 demand sources'!G$4</f>
        <v>0</v>
      </c>
      <c r="H31">
        <f>'Methanol demand shares'!H31*'Indirect NH3 demand sources'!H$4</f>
        <v>0</v>
      </c>
      <c r="I31">
        <f>'Methanol demand shares'!I31*'Indirect NH3 demand sources'!I$4</f>
        <v>0</v>
      </c>
      <c r="J31">
        <f>'Methanol demand shares'!J31*'Indirect NH3 demand sources'!J$4</f>
        <v>0</v>
      </c>
      <c r="K31">
        <f>'Methanol demand shares'!K31*'Indirect NH3 demand sources'!K$4</f>
        <v>0</v>
      </c>
      <c r="L31">
        <f>'Methanol demand shares'!L31*'Indirect NH3 demand sources'!L$4</f>
        <v>0</v>
      </c>
      <c r="M31">
        <f>'Methanol demand shares'!M31*'Indirect NH3 demand sources'!M$4</f>
        <v>0</v>
      </c>
      <c r="N31">
        <f>'Methanol demand shares'!N31*'Indirect NH3 demand sources'!N$4</f>
        <v>0</v>
      </c>
      <c r="O31">
        <f>'Methanol demand shares'!O31*'Indirect NH3 demand sources'!O$4</f>
        <v>0</v>
      </c>
      <c r="P31">
        <f>'Methanol demand shares'!P31*'Indirect NH3 demand sources'!P$4</f>
        <v>0</v>
      </c>
      <c r="Q31">
        <f>'Methanol demand shares'!Q31*'Indirect NH3 demand sources'!Q$4</f>
        <v>0</v>
      </c>
      <c r="R31">
        <f>'Methanol demand shares'!R31*'Indirect NH3 demand sources'!R$4</f>
        <v>0</v>
      </c>
      <c r="S31">
        <f>'Methanol demand shares'!S31*'Indirect NH3 demand sources'!S$4</f>
        <v>0</v>
      </c>
      <c r="T31">
        <f>'Methanol demand shares'!T31*'Indirect NH3 demand sources'!T$4</f>
        <v>0</v>
      </c>
      <c r="U31">
        <f>'Methanol demand shares'!U31*'Indirect NH3 demand sources'!U$4</f>
        <v>0</v>
      </c>
      <c r="V31">
        <f>'Methanol demand shares'!V31*'Indirect NH3 demand sources'!V$4</f>
        <v>0</v>
      </c>
      <c r="W31">
        <f>'Methanol demand shares'!W31*'Indirect NH3 demand sources'!W$4</f>
        <v>3.9574650000000005E-4</v>
      </c>
      <c r="X31">
        <f>'Methanol demand shares'!X31*'Indirect NH3 demand sources'!X$4</f>
        <v>8.0211599999999996E-4</v>
      </c>
      <c r="Y31">
        <f>'Methanol demand shares'!Y31*'Indirect NH3 demand sources'!Y$4</f>
        <v>1.213965E-3</v>
      </c>
      <c r="Z31">
        <f>'Methanol demand shares'!Z31*'Indirect NH3 demand sources'!Z$4</f>
        <v>1.62915E-3</v>
      </c>
      <c r="AA31">
        <f>'Methanol demand shares'!AA31*'Indirect NH3 demand sources'!AA$4</f>
        <v>2.0484000000000001E-3</v>
      </c>
      <c r="AB31">
        <f>'Methanol demand shares'!AB31*'Indirect NH3 demand sources'!AB$4</f>
        <v>2.4656400000000003E-3</v>
      </c>
      <c r="AC31">
        <f>'Methanol demand shares'!AC31*'Indirect NH3 demand sources'!AC$4</f>
        <v>2.8762754999999999E-3</v>
      </c>
      <c r="AD31">
        <f>'Methanol demand shares'!AD31*'Indirect NH3 demand sources'!AD$4</f>
        <v>3.2829479999999999E-3</v>
      </c>
      <c r="AE31">
        <f>'Methanol demand shares'!AE31*'Indirect NH3 demand sources'!AE$4</f>
        <v>3.6845145E-3</v>
      </c>
      <c r="AF31">
        <f>'Methanol demand shares'!AF31*'Indirect NH3 demand sources'!AF$4</f>
        <v>4.0779149999999997E-3</v>
      </c>
      <c r="AG31">
        <f>'Methanol demand shares'!AG31*'Indirect NH3 demand sources'!AG$4</f>
        <v>4.6413675000000001E-3</v>
      </c>
      <c r="AH31">
        <f>'Methanol demand shares'!AH31*'Indirect NH3 demand sources'!AH$4</f>
        <v>5.1939264000000008E-3</v>
      </c>
      <c r="AI31">
        <f>'Methanol demand shares'!AI31*'Indirect NH3 demand sources'!AI$4</f>
        <v>5.735557500000002E-3</v>
      </c>
      <c r="AJ31">
        <f>'Methanol demand shares'!AJ31*'Indirect NH3 demand sources'!AJ$4</f>
        <v>6.2646480000000011E-3</v>
      </c>
      <c r="AK31">
        <f>'Methanol demand shares'!AK31*'Indirect NH3 demand sources'!AK$4</f>
        <v>6.7798635000000012E-3</v>
      </c>
      <c r="AL31">
        <f>'Methanol demand shares'!AL31*'Indirect NH3 demand sources'!AL$4</f>
        <v>7.280079600000002E-3</v>
      </c>
      <c r="AM31">
        <f>'Methanol demand shares'!AM31*'Indirect NH3 demand sources'!AM$4</f>
        <v>7.7643225000000029E-3</v>
      </c>
      <c r="AN31">
        <f>'Methanol demand shares'!AN31*'Indirect NH3 demand sources'!AN$4</f>
        <v>8.2318116000000031E-3</v>
      </c>
      <c r="AO31">
        <f>'Methanol demand shares'!AO31*'Indirect NH3 demand sources'!AO$4</f>
        <v>8.6819595000000045E-3</v>
      </c>
      <c r="AP31">
        <f>'Methanol demand shares'!AP31*'Indirect NH3 demand sources'!AP$4</f>
        <v>9.1143000000000005E-3</v>
      </c>
    </row>
    <row r="32" spans="1:42" x14ac:dyDescent="0.3">
      <c r="A32" t="s">
        <v>31</v>
      </c>
      <c r="B32">
        <f>'Methanol demand shares'!B32*'Indirect NH3 demand sources'!B$4</f>
        <v>0</v>
      </c>
      <c r="C32">
        <f>'Methanol demand shares'!C32*'Indirect NH3 demand sources'!C$4</f>
        <v>0</v>
      </c>
      <c r="D32">
        <f>'Methanol demand shares'!D32*'Indirect NH3 demand sources'!D$4</f>
        <v>0</v>
      </c>
      <c r="E32">
        <f>'Methanol demand shares'!E32*'Indirect NH3 demand sources'!E$4</f>
        <v>0</v>
      </c>
      <c r="F32">
        <f>'Methanol demand shares'!F32*'Indirect NH3 demand sources'!F$4</f>
        <v>0</v>
      </c>
      <c r="G32">
        <f>'Methanol demand shares'!G32*'Indirect NH3 demand sources'!G$4</f>
        <v>0</v>
      </c>
      <c r="H32">
        <f>'Methanol demand shares'!H32*'Indirect NH3 demand sources'!H$4</f>
        <v>0</v>
      </c>
      <c r="I32">
        <f>'Methanol demand shares'!I32*'Indirect NH3 demand sources'!I$4</f>
        <v>0</v>
      </c>
      <c r="J32">
        <f>'Methanol demand shares'!J32*'Indirect NH3 demand sources'!J$4</f>
        <v>0</v>
      </c>
      <c r="K32">
        <f>'Methanol demand shares'!K32*'Indirect NH3 demand sources'!K$4</f>
        <v>0</v>
      </c>
      <c r="L32">
        <f>'Methanol demand shares'!L32*'Indirect NH3 demand sources'!L$4</f>
        <v>0</v>
      </c>
      <c r="M32">
        <f>'Methanol demand shares'!M32*'Indirect NH3 demand sources'!M$4</f>
        <v>0</v>
      </c>
      <c r="N32">
        <f>'Methanol demand shares'!N32*'Indirect NH3 demand sources'!N$4</f>
        <v>0</v>
      </c>
      <c r="O32">
        <f>'Methanol demand shares'!O32*'Indirect NH3 demand sources'!O$4</f>
        <v>0</v>
      </c>
      <c r="P32">
        <f>'Methanol demand shares'!P32*'Indirect NH3 demand sources'!P$4</f>
        <v>0</v>
      </c>
      <c r="Q32">
        <f>'Methanol demand shares'!Q32*'Indirect NH3 demand sources'!Q$4</f>
        <v>0</v>
      </c>
      <c r="R32">
        <f>'Methanol demand shares'!R32*'Indirect NH3 demand sources'!R$4</f>
        <v>0</v>
      </c>
      <c r="S32">
        <f>'Methanol demand shares'!S32*'Indirect NH3 demand sources'!S$4</f>
        <v>0</v>
      </c>
      <c r="T32">
        <f>'Methanol demand shares'!T32*'Indirect NH3 demand sources'!T$4</f>
        <v>0</v>
      </c>
      <c r="U32">
        <f>'Methanol demand shares'!U32*'Indirect NH3 demand sources'!U$4</f>
        <v>0</v>
      </c>
      <c r="V32">
        <f>'Methanol demand shares'!V32*'Indirect NH3 demand sources'!V$4</f>
        <v>0</v>
      </c>
      <c r="W32">
        <f>'Methanol demand shares'!W32*'Indirect NH3 demand sources'!W$4</f>
        <v>3.4726950000000003E-6</v>
      </c>
      <c r="X32">
        <f>'Methanol demand shares'!X32*'Indirect NH3 demand sources'!X$4</f>
        <v>6.4533300000000001E-6</v>
      </c>
      <c r="Y32">
        <f>'Methanol demand shares'!Y32*'Indirect NH3 demand sources'!Y$4</f>
        <v>8.9963549999999994E-6</v>
      </c>
      <c r="Z32">
        <f>'Methanol demand shares'!Z32*'Indirect NH3 demand sources'!Z$4</f>
        <v>1.1150519999999999E-5</v>
      </c>
      <c r="AA32">
        <f>'Methanol demand shares'!AA32*'Indirect NH3 demand sources'!AA$4</f>
        <v>1.2958725E-5</v>
      </c>
      <c r="AB32">
        <f>'Methanol demand shares'!AB32*'Indirect NH3 demand sources'!AB$4</f>
        <v>1.443546E-5</v>
      </c>
      <c r="AC32">
        <f>'Methanol demand shares'!AC32*'Indirect NH3 demand sources'!AC$4</f>
        <v>1.5636704999999999E-5</v>
      </c>
      <c r="AD32">
        <f>'Methanol demand shares'!AD32*'Indirect NH3 demand sources'!AD$4</f>
        <v>1.65954E-5</v>
      </c>
      <c r="AE32">
        <f>'Methanol demand shares'!AE32*'Indirect NH3 demand sources'!AE$4</f>
        <v>1.7339805E-5</v>
      </c>
      <c r="AF32">
        <f>'Methanol demand shares'!AF32*'Indirect NH3 demand sources'!AF$4</f>
        <v>1.7895899999999999E-5</v>
      </c>
      <c r="AG32">
        <f>'Methanol demand shares'!AG32*'Indirect NH3 demand sources'!AG$4</f>
        <v>1.9023749999999999E-5</v>
      </c>
      <c r="AH32">
        <f>'Methanol demand shares'!AH32*'Indirect NH3 demand sources'!AH$4</f>
        <v>1.9920960000000002E-5</v>
      </c>
      <c r="AI32">
        <f>'Methanol demand shares'!AI32*'Indirect NH3 demand sources'!AI$4</f>
        <v>2.0614203900000003E-5</v>
      </c>
      <c r="AJ32">
        <f>'Methanol demand shares'!AJ32*'Indirect NH3 demand sources'!AJ$4</f>
        <v>2.1127883400000005E-5</v>
      </c>
      <c r="AK32">
        <f>'Methanol demand shares'!AK32*'Indirect NH3 demand sources'!AK$4</f>
        <v>2.1483520500000008E-5</v>
      </c>
      <c r="AL32">
        <f>'Methanol demand shares'!AL32*'Indirect NH3 demand sources'!AL$4</f>
        <v>2.1700720800000008E-5</v>
      </c>
      <c r="AM32">
        <f>'Methanol demand shares'!AM32*'Indirect NH3 demand sources'!AM$4</f>
        <v>2.1796948800000006E-5</v>
      </c>
      <c r="AN32">
        <f>'Methanol demand shares'!AN32*'Indirect NH3 demand sources'!AN$4</f>
        <v>2.1787897200000007E-5</v>
      </c>
      <c r="AO32">
        <f>'Methanol demand shares'!AO32*'Indirect NH3 demand sources'!AO$4</f>
        <v>2.168759280000001E-5</v>
      </c>
      <c r="AP32">
        <f>'Methanol demand shares'!AP32*'Indirect NH3 demand sources'!AP$4</f>
        <v>2.1508703999999997E-5</v>
      </c>
    </row>
    <row r="33" spans="1:42" x14ac:dyDescent="0.3">
      <c r="A33" t="s">
        <v>32</v>
      </c>
      <c r="B33">
        <f>'Methanol demand shares'!B33*'Indirect NH3 demand sources'!B$4</f>
        <v>0</v>
      </c>
      <c r="C33">
        <f>'Methanol demand shares'!C33*'Indirect NH3 demand sources'!C$4</f>
        <v>0</v>
      </c>
      <c r="D33">
        <f>'Methanol demand shares'!D33*'Indirect NH3 demand sources'!D$4</f>
        <v>0</v>
      </c>
      <c r="E33">
        <f>'Methanol demand shares'!E33*'Indirect NH3 demand sources'!E$4</f>
        <v>0</v>
      </c>
      <c r="F33">
        <f>'Methanol demand shares'!F33*'Indirect NH3 demand sources'!F$4</f>
        <v>0</v>
      </c>
      <c r="G33">
        <f>'Methanol demand shares'!G33*'Indirect NH3 demand sources'!G$4</f>
        <v>0</v>
      </c>
      <c r="H33">
        <f>'Methanol demand shares'!H33*'Indirect NH3 demand sources'!H$4</f>
        <v>0</v>
      </c>
      <c r="I33">
        <f>'Methanol demand shares'!I33*'Indirect NH3 demand sources'!I$4</f>
        <v>0</v>
      </c>
      <c r="J33">
        <f>'Methanol demand shares'!J33*'Indirect NH3 demand sources'!J$4</f>
        <v>0</v>
      </c>
      <c r="K33">
        <f>'Methanol demand shares'!K33*'Indirect NH3 demand sources'!K$4</f>
        <v>0</v>
      </c>
      <c r="L33">
        <f>'Methanol demand shares'!L33*'Indirect NH3 demand sources'!L$4</f>
        <v>0</v>
      </c>
      <c r="M33">
        <f>'Methanol demand shares'!M33*'Indirect NH3 demand sources'!M$4</f>
        <v>0</v>
      </c>
      <c r="N33">
        <f>'Methanol demand shares'!N33*'Indirect NH3 demand sources'!N$4</f>
        <v>0</v>
      </c>
      <c r="O33">
        <f>'Methanol demand shares'!O33*'Indirect NH3 demand sources'!O$4</f>
        <v>0</v>
      </c>
      <c r="P33">
        <f>'Methanol demand shares'!P33*'Indirect NH3 demand sources'!P$4</f>
        <v>0</v>
      </c>
      <c r="Q33">
        <f>'Methanol demand shares'!Q33*'Indirect NH3 demand sources'!Q$4</f>
        <v>0</v>
      </c>
      <c r="R33">
        <f>'Methanol demand shares'!R33*'Indirect NH3 demand sources'!R$4</f>
        <v>0</v>
      </c>
      <c r="S33">
        <f>'Methanol demand shares'!S33*'Indirect NH3 demand sources'!S$4</f>
        <v>0</v>
      </c>
      <c r="T33">
        <f>'Methanol demand shares'!T33*'Indirect NH3 demand sources'!T$4</f>
        <v>0</v>
      </c>
      <c r="U33">
        <f>'Methanol demand shares'!U33*'Indirect NH3 demand sources'!U$4</f>
        <v>0</v>
      </c>
      <c r="V33">
        <f>'Methanol demand shares'!V33*'Indirect NH3 demand sources'!V$4</f>
        <v>0</v>
      </c>
      <c r="W33">
        <f>'Methanol demand shares'!W33*'Indirect NH3 demand sources'!W$4</f>
        <v>1.4078834999999999E-4</v>
      </c>
      <c r="X33">
        <f>'Methanol demand shares'!X33*'Indirect NH3 demand sources'!X$4</f>
        <v>2.7557039999999997E-4</v>
      </c>
      <c r="Y33">
        <f>'Methanol demand shares'!Y33*'Indirect NH3 demand sources'!Y$4</f>
        <v>4.0460714999999997E-4</v>
      </c>
      <c r="Z33">
        <f>'Methanol demand shares'!Z33*'Indirect NH3 demand sources'!Z$4</f>
        <v>5.2814579999999999E-4</v>
      </c>
      <c r="AA33">
        <f>'Methanol demand shares'!AA33*'Indirect NH3 demand sources'!AA$4</f>
        <v>6.4672125000000003E-4</v>
      </c>
      <c r="AB33">
        <f>'Methanol demand shares'!AB33*'Indirect NH3 demand sources'!AB$4</f>
        <v>7.628976E-4</v>
      </c>
      <c r="AC33">
        <f>'Methanol demand shares'!AC33*'Indirect NH3 demand sources'!AC$4</f>
        <v>8.7505109999999999E-4</v>
      </c>
      <c r="AD33">
        <f>'Methanol demand shares'!AD33*'Indirect NH3 demand sources'!AD$4</f>
        <v>9.8332439999999997E-4</v>
      </c>
      <c r="AE33">
        <f>'Methanol demand shares'!AE33*'Indirect NH3 demand sources'!AE$4</f>
        <v>1.0878367500000001E-3</v>
      </c>
      <c r="AF33">
        <f>'Methanol demand shares'!AF33*'Indirect NH3 demand sources'!AF$4</f>
        <v>1.1888685E-3</v>
      </c>
      <c r="AG33">
        <f>'Methanol demand shares'!AG33*'Indirect NH3 demand sources'!AG$4</f>
        <v>1.33207974E-3</v>
      </c>
      <c r="AH33">
        <f>'Methanol demand shares'!AH33*'Indirect NH3 demand sources'!AH$4</f>
        <v>1.4701632000000001E-3</v>
      </c>
      <c r="AI33">
        <f>'Methanol demand shares'!AI33*'Indirect NH3 demand sources'!AI$4</f>
        <v>1.6033319400000003E-3</v>
      </c>
      <c r="AJ33">
        <f>'Methanol demand shares'!AJ33*'Indirect NH3 demand sources'!AJ$4</f>
        <v>1.7317755000000005E-3</v>
      </c>
      <c r="AK33">
        <f>'Methanol demand shares'!AK33*'Indirect NH3 demand sources'!AK$4</f>
        <v>1.8554998500000005E-3</v>
      </c>
      <c r="AL33">
        <f>'Methanol demand shares'!AL33*'Indirect NH3 demand sources'!AL$4</f>
        <v>1.9727127600000006E-3</v>
      </c>
      <c r="AM33">
        <f>'Methanol demand shares'!AM33*'Indirect NH3 demand sources'!AM$4</f>
        <v>2.0854359900000009E-3</v>
      </c>
      <c r="AN33">
        <f>'Methanol demand shares'!AN33*'Indirect NH3 demand sources'!AN$4</f>
        <v>2.1938374800000008E-3</v>
      </c>
      <c r="AO33">
        <f>'Methanol demand shares'!AO33*'Indirect NH3 demand sources'!AO$4</f>
        <v>2.2980810000000009E-3</v>
      </c>
      <c r="AP33">
        <f>'Methanol demand shares'!AP33*'Indirect NH3 demand sources'!AP$4</f>
        <v>2.3979635999999997E-3</v>
      </c>
    </row>
    <row r="34" spans="1:42" x14ac:dyDescent="0.3">
      <c r="A34" t="s">
        <v>33</v>
      </c>
      <c r="B34">
        <f>'Methanol demand shares'!B34*'Indirect NH3 demand sources'!B$4</f>
        <v>0</v>
      </c>
      <c r="C34">
        <f>'Methanol demand shares'!C34*'Indirect NH3 demand sources'!C$4</f>
        <v>0</v>
      </c>
      <c r="D34">
        <f>'Methanol demand shares'!D34*'Indirect NH3 demand sources'!D$4</f>
        <v>0</v>
      </c>
      <c r="E34">
        <f>'Methanol demand shares'!E34*'Indirect NH3 demand sources'!E$4</f>
        <v>0</v>
      </c>
      <c r="F34">
        <f>'Methanol demand shares'!F34*'Indirect NH3 demand sources'!F$4</f>
        <v>0</v>
      </c>
      <c r="G34">
        <f>'Methanol demand shares'!G34*'Indirect NH3 demand sources'!G$4</f>
        <v>0</v>
      </c>
      <c r="H34">
        <f>'Methanol demand shares'!H34*'Indirect NH3 demand sources'!H$4</f>
        <v>0</v>
      </c>
      <c r="I34">
        <f>'Methanol demand shares'!I34*'Indirect NH3 demand sources'!I$4</f>
        <v>0</v>
      </c>
      <c r="J34">
        <f>'Methanol demand shares'!J34*'Indirect NH3 demand sources'!J$4</f>
        <v>0</v>
      </c>
      <c r="K34">
        <f>'Methanol demand shares'!K34*'Indirect NH3 demand sources'!K$4</f>
        <v>0</v>
      </c>
      <c r="L34">
        <f>'Methanol demand shares'!L34*'Indirect NH3 demand sources'!L$4</f>
        <v>0</v>
      </c>
      <c r="M34">
        <f>'Methanol demand shares'!M34*'Indirect NH3 demand sources'!M$4</f>
        <v>0</v>
      </c>
      <c r="N34">
        <f>'Methanol demand shares'!N34*'Indirect NH3 demand sources'!N$4</f>
        <v>0</v>
      </c>
      <c r="O34">
        <f>'Methanol demand shares'!O34*'Indirect NH3 demand sources'!O$4</f>
        <v>0</v>
      </c>
      <c r="P34">
        <f>'Methanol demand shares'!P34*'Indirect NH3 demand sources'!P$4</f>
        <v>0</v>
      </c>
      <c r="Q34">
        <f>'Methanol demand shares'!Q34*'Indirect NH3 demand sources'!Q$4</f>
        <v>0</v>
      </c>
      <c r="R34">
        <f>'Methanol demand shares'!R34*'Indirect NH3 demand sources'!R$4</f>
        <v>0</v>
      </c>
      <c r="S34">
        <f>'Methanol demand shares'!S34*'Indirect NH3 demand sources'!S$4</f>
        <v>0</v>
      </c>
      <c r="T34">
        <f>'Methanol demand shares'!T34*'Indirect NH3 demand sources'!T$4</f>
        <v>0</v>
      </c>
      <c r="U34">
        <f>'Methanol demand shares'!U34*'Indirect NH3 demand sources'!U$4</f>
        <v>0</v>
      </c>
      <c r="V34">
        <f>'Methanol demand shares'!V34*'Indirect NH3 demand sources'!V$4</f>
        <v>0</v>
      </c>
      <c r="W34">
        <f>'Methanol demand shares'!W34*'Indirect NH3 demand sources'!W$4</f>
        <v>4.2273915000000002E-3</v>
      </c>
      <c r="X34">
        <f>'Methanol demand shares'!X34*'Indirect NH3 demand sources'!X$4</f>
        <v>7.9042710000000009E-3</v>
      </c>
      <c r="Y34">
        <f>'Methanol demand shares'!Y34*'Indirect NH3 demand sources'!Y$4</f>
        <v>1.1086222499999999E-2</v>
      </c>
      <c r="Z34">
        <f>'Methanol demand shares'!Z34*'Indirect NH3 demand sources'!Z$4</f>
        <v>1.3823778E-2</v>
      </c>
      <c r="AA34">
        <f>'Methanol demand shares'!AA34*'Indirect NH3 demand sources'!AA$4</f>
        <v>1.6161584999999999E-2</v>
      </c>
      <c r="AB34">
        <f>'Methanol demand shares'!AB34*'Indirect NH3 demand sources'!AB$4</f>
        <v>1.8110438999999999E-2</v>
      </c>
      <c r="AC34">
        <f>'Methanol demand shares'!AC34*'Indirect NH3 demand sources'!AC$4</f>
        <v>1.9733773499999999E-2</v>
      </c>
      <c r="AD34">
        <f>'Methanol demand shares'!AD34*'Indirect NH3 demand sources'!AD$4</f>
        <v>2.106738E-2</v>
      </c>
      <c r="AE34">
        <f>'Methanol demand shares'!AE34*'Indirect NH3 demand sources'!AE$4</f>
        <v>2.2143509999999998E-2</v>
      </c>
      <c r="AF34">
        <f>'Methanol demand shares'!AF34*'Indirect NH3 demand sources'!AF$4</f>
        <v>2.299008E-2</v>
      </c>
      <c r="AG34">
        <f>'Methanol demand shares'!AG34*'Indirect NH3 demand sources'!AG$4</f>
        <v>2.4581951100000003E-2</v>
      </c>
      <c r="AH34">
        <f>'Methanol demand shares'!AH34*'Indirect NH3 demand sources'!AH$4</f>
        <v>2.5891737600000006E-2</v>
      </c>
      <c r="AI34">
        <f>'Methanol demand shares'!AI34*'Indirect NH3 demand sources'!AI$4</f>
        <v>2.6949910200000003E-2</v>
      </c>
      <c r="AJ34">
        <f>'Methanol demand shares'!AJ34*'Indirect NH3 demand sources'!AJ$4</f>
        <v>2.7783381600000007E-2</v>
      </c>
      <c r="AK34">
        <f>'Methanol demand shares'!AK34*'Indirect NH3 demand sources'!AK$4</f>
        <v>2.8416741000000006E-2</v>
      </c>
      <c r="AL34">
        <f>'Methanol demand shares'!AL34*'Indirect NH3 demand sources'!AL$4</f>
        <v>2.887249800000001E-2</v>
      </c>
      <c r="AM34">
        <f>'Methanol demand shares'!AM34*'Indirect NH3 demand sources'!AM$4</f>
        <v>2.9170894500000009E-2</v>
      </c>
      <c r="AN34">
        <f>'Methanol demand shares'!AN34*'Indirect NH3 demand sources'!AN$4</f>
        <v>2.9330157600000011E-2</v>
      </c>
      <c r="AO34">
        <f>'Methanol demand shares'!AO34*'Indirect NH3 demand sources'!AO$4</f>
        <v>2.9366959800000012E-2</v>
      </c>
      <c r="AP34">
        <f>'Methanol demand shares'!AP34*'Indirect NH3 demand sources'!AP$4</f>
        <v>2.929644E-2</v>
      </c>
    </row>
    <row r="35" spans="1:42" x14ac:dyDescent="0.3">
      <c r="A35" t="s">
        <v>34</v>
      </c>
      <c r="B35">
        <f>'Methanol demand shares'!B35*'Indirect NH3 demand sources'!B$4</f>
        <v>0</v>
      </c>
      <c r="C35">
        <f>'Methanol demand shares'!C35*'Indirect NH3 demand sources'!C$4</f>
        <v>0</v>
      </c>
      <c r="D35">
        <f>'Methanol demand shares'!D35*'Indirect NH3 demand sources'!D$4</f>
        <v>0</v>
      </c>
      <c r="E35">
        <f>'Methanol demand shares'!E35*'Indirect NH3 demand sources'!E$4</f>
        <v>0</v>
      </c>
      <c r="F35">
        <f>'Methanol demand shares'!F35*'Indirect NH3 demand sources'!F$4</f>
        <v>0</v>
      </c>
      <c r="G35">
        <f>'Methanol demand shares'!G35*'Indirect NH3 demand sources'!G$4</f>
        <v>0</v>
      </c>
      <c r="H35">
        <f>'Methanol demand shares'!H35*'Indirect NH3 demand sources'!H$4</f>
        <v>0</v>
      </c>
      <c r="I35">
        <f>'Methanol demand shares'!I35*'Indirect NH3 demand sources'!I$4</f>
        <v>0</v>
      </c>
      <c r="J35">
        <f>'Methanol demand shares'!J35*'Indirect NH3 demand sources'!J$4</f>
        <v>0</v>
      </c>
      <c r="K35">
        <f>'Methanol demand shares'!K35*'Indirect NH3 demand sources'!K$4</f>
        <v>0</v>
      </c>
      <c r="L35">
        <f>'Methanol demand shares'!L35*'Indirect NH3 demand sources'!L$4</f>
        <v>0</v>
      </c>
      <c r="M35">
        <f>'Methanol demand shares'!M35*'Indirect NH3 demand sources'!M$4</f>
        <v>0</v>
      </c>
      <c r="N35">
        <f>'Methanol demand shares'!N35*'Indirect NH3 demand sources'!N$4</f>
        <v>0</v>
      </c>
      <c r="O35">
        <f>'Methanol demand shares'!O35*'Indirect NH3 demand sources'!O$4</f>
        <v>0</v>
      </c>
      <c r="P35">
        <f>'Methanol demand shares'!P35*'Indirect NH3 demand sources'!P$4</f>
        <v>0</v>
      </c>
      <c r="Q35">
        <f>'Methanol demand shares'!Q35*'Indirect NH3 demand sources'!Q$4</f>
        <v>0</v>
      </c>
      <c r="R35">
        <f>'Methanol demand shares'!R35*'Indirect NH3 demand sources'!R$4</f>
        <v>0</v>
      </c>
      <c r="S35">
        <f>'Methanol demand shares'!S35*'Indirect NH3 demand sources'!S$4</f>
        <v>0</v>
      </c>
      <c r="T35">
        <f>'Methanol demand shares'!T35*'Indirect NH3 demand sources'!T$4</f>
        <v>0</v>
      </c>
      <c r="U35">
        <f>'Methanol demand shares'!U35*'Indirect NH3 demand sources'!U$4</f>
        <v>0</v>
      </c>
      <c r="V35">
        <f>'Methanol demand shares'!V35*'Indirect NH3 demand sources'!V$4</f>
        <v>0</v>
      </c>
      <c r="W35">
        <f>'Methanol demand shares'!W35*'Indirect NH3 demand sources'!W$4</f>
        <v>5.8210650000000005E-5</v>
      </c>
      <c r="X35">
        <f>'Methanol demand shares'!X35*'Indirect NH3 demand sources'!X$4</f>
        <v>1.166286E-4</v>
      </c>
      <c r="Y35">
        <f>'Methanol demand shares'!Y35*'Indirect NH3 demand sources'!Y$4</f>
        <v>1.7506125000000001E-4</v>
      </c>
      <c r="Z35">
        <f>'Methanol demand shares'!Z35*'Indirect NH3 demand sources'!Z$4</f>
        <v>2.3319659999999998E-4</v>
      </c>
      <c r="AA35">
        <f>'Methanol demand shares'!AA35*'Indirect NH3 demand sources'!AA$4</f>
        <v>2.9143799999999998E-4</v>
      </c>
      <c r="AB35">
        <f>'Methanol demand shares'!AB35*'Indirect NH3 demand sources'!AB$4</f>
        <v>3.4886610000000001E-4</v>
      </c>
      <c r="AC35">
        <f>'Methanol demand shares'!AC35*'Indirect NH3 demand sources'!AC$4</f>
        <v>4.057536E-4</v>
      </c>
      <c r="AD35">
        <f>'Methanol demand shares'!AD35*'Indirect NH3 demand sources'!AD$4</f>
        <v>4.6179359999999994E-4</v>
      </c>
      <c r="AE35">
        <f>'Methanol demand shares'!AE35*'Indirect NH3 demand sources'!AE$4</f>
        <v>5.1699329999999998E-4</v>
      </c>
      <c r="AF35">
        <f>'Methanol demand shares'!AF35*'Indirect NH3 demand sources'!AF$4</f>
        <v>5.7126449999999999E-4</v>
      </c>
      <c r="AG35">
        <f>'Methanol demand shares'!AG35*'Indirect NH3 demand sources'!AG$4</f>
        <v>6.497811900000001E-4</v>
      </c>
      <c r="AH35">
        <f>'Methanol demand shares'!AH35*'Indirect NH3 demand sources'!AH$4</f>
        <v>7.271097600000002E-4</v>
      </c>
      <c r="AI35">
        <f>'Methanol demand shares'!AI35*'Indirect NH3 demand sources'!AI$4</f>
        <v>8.034807300000002E-4</v>
      </c>
      <c r="AJ35">
        <f>'Methanol demand shares'!AJ35*'Indirect NH3 demand sources'!AJ$4</f>
        <v>8.7880572000000013E-4</v>
      </c>
      <c r="AK35">
        <f>'Methanol demand shares'!AK35*'Indirect NH3 demand sources'!AK$4</f>
        <v>9.5301405000000031E-4</v>
      </c>
      <c r="AL35">
        <f>'Methanol demand shares'!AL35*'Indirect NH3 demand sources'!AL$4</f>
        <v>1.0260438000000002E-3</v>
      </c>
      <c r="AM35">
        <f>'Methanol demand shares'!AM35*'Indirect NH3 demand sources'!AM$4</f>
        <v>1.0978337700000005E-3</v>
      </c>
      <c r="AN35">
        <f>'Methanol demand shares'!AN35*'Indirect NH3 demand sources'!AN$4</f>
        <v>1.1683288200000004E-3</v>
      </c>
      <c r="AO35">
        <f>'Methanol demand shares'!AO35*'Indirect NH3 demand sources'!AO$4</f>
        <v>1.2374822100000005E-3</v>
      </c>
      <c r="AP35">
        <f>'Methanol demand shares'!AP35*'Indirect NH3 demand sources'!AP$4</f>
        <v>1.305252E-3</v>
      </c>
    </row>
    <row r="36" spans="1:42" x14ac:dyDescent="0.3">
      <c r="A36" t="s">
        <v>35</v>
      </c>
      <c r="B36">
        <f>'Methanol demand shares'!B36*'Indirect NH3 demand sources'!B$4</f>
        <v>0</v>
      </c>
      <c r="C36">
        <f>'Methanol demand shares'!C36*'Indirect NH3 demand sources'!C$4</f>
        <v>0</v>
      </c>
      <c r="D36">
        <f>'Methanol demand shares'!D36*'Indirect NH3 demand sources'!D$4</f>
        <v>0</v>
      </c>
      <c r="E36">
        <f>'Methanol demand shares'!E36*'Indirect NH3 demand sources'!E$4</f>
        <v>0</v>
      </c>
      <c r="F36">
        <f>'Methanol demand shares'!F36*'Indirect NH3 demand sources'!F$4</f>
        <v>0</v>
      </c>
      <c r="G36">
        <f>'Methanol demand shares'!G36*'Indirect NH3 demand sources'!G$4</f>
        <v>0</v>
      </c>
      <c r="H36">
        <f>'Methanol demand shares'!H36*'Indirect NH3 demand sources'!H$4</f>
        <v>0</v>
      </c>
      <c r="I36">
        <f>'Methanol demand shares'!I36*'Indirect NH3 demand sources'!I$4</f>
        <v>0</v>
      </c>
      <c r="J36">
        <f>'Methanol demand shares'!J36*'Indirect NH3 demand sources'!J$4</f>
        <v>0</v>
      </c>
      <c r="K36">
        <f>'Methanol demand shares'!K36*'Indirect NH3 demand sources'!K$4</f>
        <v>0</v>
      </c>
      <c r="L36">
        <f>'Methanol demand shares'!L36*'Indirect NH3 demand sources'!L$4</f>
        <v>0</v>
      </c>
      <c r="M36">
        <f>'Methanol demand shares'!M36*'Indirect NH3 demand sources'!M$4</f>
        <v>0</v>
      </c>
      <c r="N36">
        <f>'Methanol demand shares'!N36*'Indirect NH3 demand sources'!N$4</f>
        <v>0</v>
      </c>
      <c r="O36">
        <f>'Methanol demand shares'!O36*'Indirect NH3 demand sources'!O$4</f>
        <v>0</v>
      </c>
      <c r="P36">
        <f>'Methanol demand shares'!P36*'Indirect NH3 demand sources'!P$4</f>
        <v>0</v>
      </c>
      <c r="Q36">
        <f>'Methanol demand shares'!Q36*'Indirect NH3 demand sources'!Q$4</f>
        <v>0</v>
      </c>
      <c r="R36">
        <f>'Methanol demand shares'!R36*'Indirect NH3 demand sources'!R$4</f>
        <v>0</v>
      </c>
      <c r="S36">
        <f>'Methanol demand shares'!S36*'Indirect NH3 demand sources'!S$4</f>
        <v>0</v>
      </c>
      <c r="T36">
        <f>'Methanol demand shares'!T36*'Indirect NH3 demand sources'!T$4</f>
        <v>0</v>
      </c>
      <c r="U36">
        <f>'Methanol demand shares'!U36*'Indirect NH3 demand sources'!U$4</f>
        <v>0</v>
      </c>
      <c r="V36">
        <f>'Methanol demand shares'!V36*'Indirect NH3 demand sources'!V$4</f>
        <v>0</v>
      </c>
      <c r="W36">
        <f>'Methanol demand shares'!W36*'Indirect NH3 demand sources'!W$4</f>
        <v>8.0655725999999997E-2</v>
      </c>
      <c r="X36">
        <f>'Methanol demand shares'!X36*'Indirect NH3 demand sources'!X$4</f>
        <v>0.15921228600000001</v>
      </c>
      <c r="Y36">
        <f>'Methanol demand shares'!Y36*'Indirect NH3 demand sources'!Y$4</f>
        <v>0.235749924</v>
      </c>
      <c r="Z36">
        <f>'Methanol demand shares'!Z36*'Indirect NH3 demand sources'!Z$4</f>
        <v>0.31034636399999999</v>
      </c>
      <c r="AA36">
        <f>'Methanol demand shares'!AA36*'Indirect NH3 demand sources'!AA$4</f>
        <v>0.38304537</v>
      </c>
      <c r="AB36">
        <f>'Methanol demand shares'!AB36*'Indirect NH3 demand sources'!AB$4</f>
        <v>0.45311521500000002</v>
      </c>
      <c r="AC36">
        <f>'Methanol demand shares'!AC36*'Indirect NH3 demand sources'!AC$4</f>
        <v>0.52118234699999999</v>
      </c>
      <c r="AD36">
        <f>'Methanol demand shares'!AD36*'Indirect NH3 demand sources'!AD$4</f>
        <v>0.587319276</v>
      </c>
      <c r="AE36">
        <f>'Methanol demand shares'!AE36*'Indirect NH3 demand sources'!AE$4</f>
        <v>0.65159222849999998</v>
      </c>
      <c r="AF36">
        <f>'Methanol demand shares'!AF36*'Indirect NH3 demand sources'!AF$4</f>
        <v>0.71402782499999995</v>
      </c>
      <c r="AG36">
        <f>'Methanol demand shares'!AG36*'Indirect NH3 demand sources'!AG$4</f>
        <v>0.80383367070000011</v>
      </c>
      <c r="AH36">
        <f>'Methanol demand shares'!AH36*'Indirect NH3 demand sources'!AH$4</f>
        <v>0.89137530240000007</v>
      </c>
      <c r="AI36">
        <f>'Methanol demand shares'!AI36*'Indirect NH3 demand sources'!AI$4</f>
        <v>0.97672300200000017</v>
      </c>
      <c r="AJ36">
        <f>'Methanol demand shares'!AJ36*'Indirect NH3 demand sources'!AJ$4</f>
        <v>1.0599453774000003</v>
      </c>
      <c r="AK36">
        <f>'Methanol demand shares'!AK36*'Indirect NH3 demand sources'!AK$4</f>
        <v>1.1411062065000002</v>
      </c>
      <c r="AL36">
        <f>'Methanol demand shares'!AL36*'Indirect NH3 demand sources'!AL$4</f>
        <v>1.2202756260000003</v>
      </c>
      <c r="AM36">
        <f>'Methanol demand shares'!AM36*'Indirect NH3 demand sources'!AM$4</f>
        <v>1.2975165522000005</v>
      </c>
      <c r="AN36">
        <f>'Methanol demand shares'!AN36*'Indirect NH3 demand sources'!AN$4</f>
        <v>1.3728909378000005</v>
      </c>
      <c r="AO36">
        <f>'Methanol demand shares'!AO36*'Indirect NH3 demand sources'!AO$4</f>
        <v>1.4464598787000005</v>
      </c>
      <c r="AP36">
        <f>'Methanol demand shares'!AP36*'Indirect NH3 demand sources'!AP$4</f>
        <v>1.518290892</v>
      </c>
    </row>
    <row r="37" spans="1:42" x14ac:dyDescent="0.3">
      <c r="A37" t="s">
        <v>36</v>
      </c>
      <c r="B37">
        <f>'Methanol demand shares'!B37*'Indirect NH3 demand sources'!B$4</f>
        <v>0</v>
      </c>
      <c r="C37">
        <f>'Methanol demand shares'!C37*'Indirect NH3 demand sources'!C$4</f>
        <v>0</v>
      </c>
      <c r="D37">
        <f>'Methanol demand shares'!D37*'Indirect NH3 demand sources'!D$4</f>
        <v>0</v>
      </c>
      <c r="E37">
        <f>'Methanol demand shares'!E37*'Indirect NH3 demand sources'!E$4</f>
        <v>0</v>
      </c>
      <c r="F37">
        <f>'Methanol demand shares'!F37*'Indirect NH3 demand sources'!F$4</f>
        <v>0</v>
      </c>
      <c r="G37">
        <f>'Methanol demand shares'!G37*'Indirect NH3 demand sources'!G$4</f>
        <v>0</v>
      </c>
      <c r="H37">
        <f>'Methanol demand shares'!H37*'Indirect NH3 demand sources'!H$4</f>
        <v>0</v>
      </c>
      <c r="I37">
        <f>'Methanol demand shares'!I37*'Indirect NH3 demand sources'!I$4</f>
        <v>0</v>
      </c>
      <c r="J37">
        <f>'Methanol demand shares'!J37*'Indirect NH3 demand sources'!J$4</f>
        <v>0</v>
      </c>
      <c r="K37">
        <f>'Methanol demand shares'!K37*'Indirect NH3 demand sources'!K$4</f>
        <v>0</v>
      </c>
      <c r="L37">
        <f>'Methanol demand shares'!L37*'Indirect NH3 demand sources'!L$4</f>
        <v>0</v>
      </c>
      <c r="M37">
        <f>'Methanol demand shares'!M37*'Indirect NH3 demand sources'!M$4</f>
        <v>0</v>
      </c>
      <c r="N37">
        <f>'Methanol demand shares'!N37*'Indirect NH3 demand sources'!N$4</f>
        <v>0</v>
      </c>
      <c r="O37">
        <f>'Methanol demand shares'!O37*'Indirect NH3 demand sources'!O$4</f>
        <v>0</v>
      </c>
      <c r="P37">
        <f>'Methanol demand shares'!P37*'Indirect NH3 demand sources'!P$4</f>
        <v>0</v>
      </c>
      <c r="Q37">
        <f>'Methanol demand shares'!Q37*'Indirect NH3 demand sources'!Q$4</f>
        <v>0</v>
      </c>
      <c r="R37">
        <f>'Methanol demand shares'!R37*'Indirect NH3 demand sources'!R$4</f>
        <v>0</v>
      </c>
      <c r="S37">
        <f>'Methanol demand shares'!S37*'Indirect NH3 demand sources'!S$4</f>
        <v>0</v>
      </c>
      <c r="T37">
        <f>'Methanol demand shares'!T37*'Indirect NH3 demand sources'!T$4</f>
        <v>0</v>
      </c>
      <c r="U37">
        <f>'Methanol demand shares'!U37*'Indirect NH3 demand sources'!U$4</f>
        <v>0</v>
      </c>
      <c r="V37">
        <f>'Methanol demand shares'!V37*'Indirect NH3 demand sources'!V$4</f>
        <v>0</v>
      </c>
      <c r="W37">
        <f>'Methanol demand shares'!W37*'Indirect NH3 demand sources'!W$4</f>
        <v>1.6658884499999999E-2</v>
      </c>
      <c r="X37">
        <f>'Methanol demand shares'!X37*'Indirect NH3 demand sources'!X$4</f>
        <v>3.2539902000000002E-2</v>
      </c>
      <c r="Y37">
        <f>'Methanol demand shares'!Y37*'Indirect NH3 demand sources'!Y$4</f>
        <v>4.7667190500000005E-2</v>
      </c>
      <c r="Z37">
        <f>'Methanol demand shares'!Z37*'Indirect NH3 demand sources'!Z$4</f>
        <v>6.2064420000000002E-2</v>
      </c>
      <c r="AA37">
        <f>'Methanol demand shares'!AA37*'Indirect NH3 demand sources'!AA$4</f>
        <v>7.5748590000000005E-2</v>
      </c>
      <c r="AB37">
        <f>'Methanol demand shares'!AB37*'Indirect NH3 demand sources'!AB$4</f>
        <v>8.8629641999999995E-2</v>
      </c>
      <c r="AC37">
        <f>'Methanol demand shares'!AC37*'Indirect NH3 demand sources'!AC$4</f>
        <v>0.100811928</v>
      </c>
      <c r="AD37">
        <f>'Methanol demand shares'!AD37*'Indirect NH3 demand sources'!AD$4</f>
        <v>0.11231940000000001</v>
      </c>
      <c r="AE37">
        <f>'Methanol demand shares'!AE37*'Indirect NH3 demand sources'!AE$4</f>
        <v>0.1231747965</v>
      </c>
      <c r="AF37">
        <f>'Methanol demand shares'!AF37*'Indirect NH3 demand sources'!AF$4</f>
        <v>0.13339344</v>
      </c>
      <c r="AG37">
        <f>'Methanol demand shares'!AG37*'Indirect NH3 demand sources'!AG$4</f>
        <v>0.14908234860000003</v>
      </c>
      <c r="AH37">
        <f>'Methanol demand shares'!AH37*'Indirect NH3 demand sources'!AH$4</f>
        <v>0.16410656640000001</v>
      </c>
      <c r="AI37">
        <f>'Methanol demand shares'!AI37*'Indirect NH3 demand sources'!AI$4</f>
        <v>0.17848741830000003</v>
      </c>
      <c r="AJ37">
        <f>'Methanol demand shares'!AJ37*'Indirect NH3 demand sources'!AJ$4</f>
        <v>0.19224578880000007</v>
      </c>
      <c r="AK37">
        <f>'Methanol demand shares'!AK37*'Indirect NH3 demand sources'!AK$4</f>
        <v>0.20540155650000005</v>
      </c>
      <c r="AL37">
        <f>'Methanol demand shares'!AL37*'Indirect NH3 demand sources'!AL$4</f>
        <v>0.21797563680000007</v>
      </c>
      <c r="AM37">
        <f>'Methanol demand shares'!AM37*'Indirect NH3 demand sources'!AM$4</f>
        <v>0.2299875336000001</v>
      </c>
      <c r="AN37">
        <f>'Methanol demand shares'!AN37*'Indirect NH3 demand sources'!AN$4</f>
        <v>0.24145638240000009</v>
      </c>
      <c r="AO37">
        <f>'Methanol demand shares'!AO37*'Indirect NH3 demand sources'!AO$4</f>
        <v>0.2524010262000001</v>
      </c>
      <c r="AP37">
        <f>'Methanol demand shares'!AP37*'Indirect NH3 demand sources'!AP$4</f>
        <v>0.262841292</v>
      </c>
    </row>
    <row r="38" spans="1:42" x14ac:dyDescent="0.3">
      <c r="A38" t="s">
        <v>37</v>
      </c>
      <c r="B38">
        <f>'Methanol demand shares'!B38*'Indirect NH3 demand sources'!B$4</f>
        <v>0</v>
      </c>
      <c r="C38">
        <f>'Methanol demand shares'!C38*'Indirect NH3 demand sources'!C$4</f>
        <v>0</v>
      </c>
      <c r="D38">
        <f>'Methanol demand shares'!D38*'Indirect NH3 demand sources'!D$4</f>
        <v>0</v>
      </c>
      <c r="E38">
        <f>'Methanol demand shares'!E38*'Indirect NH3 demand sources'!E$4</f>
        <v>0</v>
      </c>
      <c r="F38">
        <f>'Methanol demand shares'!F38*'Indirect NH3 demand sources'!F$4</f>
        <v>0</v>
      </c>
      <c r="G38">
        <f>'Methanol demand shares'!G38*'Indirect NH3 demand sources'!G$4</f>
        <v>0</v>
      </c>
      <c r="H38">
        <f>'Methanol demand shares'!H38*'Indirect NH3 demand sources'!H$4</f>
        <v>0</v>
      </c>
      <c r="I38">
        <f>'Methanol demand shares'!I38*'Indirect NH3 demand sources'!I$4</f>
        <v>0</v>
      </c>
      <c r="J38">
        <f>'Methanol demand shares'!J38*'Indirect NH3 demand sources'!J$4</f>
        <v>0</v>
      </c>
      <c r="K38">
        <f>'Methanol demand shares'!K38*'Indirect NH3 demand sources'!K$4</f>
        <v>0</v>
      </c>
      <c r="L38">
        <f>'Methanol demand shares'!L38*'Indirect NH3 demand sources'!L$4</f>
        <v>0</v>
      </c>
      <c r="M38">
        <f>'Methanol demand shares'!M38*'Indirect NH3 demand sources'!M$4</f>
        <v>0</v>
      </c>
      <c r="N38">
        <f>'Methanol demand shares'!N38*'Indirect NH3 demand sources'!N$4</f>
        <v>0</v>
      </c>
      <c r="O38">
        <f>'Methanol demand shares'!O38*'Indirect NH3 demand sources'!O$4</f>
        <v>0</v>
      </c>
      <c r="P38">
        <f>'Methanol demand shares'!P38*'Indirect NH3 demand sources'!P$4</f>
        <v>0</v>
      </c>
      <c r="Q38">
        <f>'Methanol demand shares'!Q38*'Indirect NH3 demand sources'!Q$4</f>
        <v>0</v>
      </c>
      <c r="R38">
        <f>'Methanol demand shares'!R38*'Indirect NH3 demand sources'!R$4</f>
        <v>0</v>
      </c>
      <c r="S38">
        <f>'Methanol demand shares'!S38*'Indirect NH3 demand sources'!S$4</f>
        <v>0</v>
      </c>
      <c r="T38">
        <f>'Methanol demand shares'!T38*'Indirect NH3 demand sources'!T$4</f>
        <v>0</v>
      </c>
      <c r="U38">
        <f>'Methanol demand shares'!U38*'Indirect NH3 demand sources'!U$4</f>
        <v>0</v>
      </c>
      <c r="V38">
        <f>'Methanol demand shares'!V38*'Indirect NH3 demand sources'!V$4</f>
        <v>0</v>
      </c>
      <c r="W38">
        <f>'Methanol demand shares'!W38*'Indirect NH3 demand sources'!W$4</f>
        <v>8.0691779999999998E-3</v>
      </c>
      <c r="X38">
        <f>'Methanol demand shares'!X38*'Indirect NH3 demand sources'!X$4</f>
        <v>1.5849003E-2</v>
      </c>
      <c r="Y38">
        <f>'Methanol demand shares'!Y38*'Indirect NH3 demand sources'!Y$4</f>
        <v>2.3360985000000001E-2</v>
      </c>
      <c r="Z38">
        <f>'Methanol demand shares'!Z38*'Indirect NH3 demand sources'!Z$4</f>
        <v>3.0613794E-2</v>
      </c>
      <c r="AA38">
        <f>'Methanol demand shares'!AA38*'Indirect NH3 demand sources'!AA$4</f>
        <v>3.7615620000000002E-2</v>
      </c>
      <c r="AB38">
        <f>'Methanol demand shares'!AB38*'Indirect NH3 demand sources'!AB$4</f>
        <v>4.4307539999999999E-2</v>
      </c>
      <c r="AC38">
        <f>'Methanol demand shares'!AC38*'Indirect NH3 demand sources'!AC$4</f>
        <v>5.0749051500000003E-2</v>
      </c>
      <c r="AD38">
        <f>'Methanol demand shares'!AD38*'Indirect NH3 demand sources'!AD$4</f>
        <v>5.6950812000000003E-2</v>
      </c>
      <c r="AE38">
        <f>'Methanol demand shares'!AE38*'Indirect NH3 demand sources'!AE$4</f>
        <v>6.2922649500000011E-2</v>
      </c>
      <c r="AF38">
        <f>'Methanol demand shares'!AF38*'Indirect NH3 demand sources'!AF$4</f>
        <v>6.8670389999999998E-2</v>
      </c>
      <c r="AG38">
        <f>'Methanol demand shares'!AG38*'Indirect NH3 demand sources'!AG$4</f>
        <v>7.7005609200000005E-2</v>
      </c>
      <c r="AH38">
        <f>'Methanol demand shares'!AH38*'Indirect NH3 demand sources'!AH$4</f>
        <v>8.5061203200000018E-2</v>
      </c>
      <c r="AI38">
        <f>'Methanol demand shares'!AI38*'Indirect NH3 demand sources'!AI$4</f>
        <v>9.2847466800000028E-2</v>
      </c>
      <c r="AJ38">
        <f>'Methanol demand shares'!AJ38*'Indirect NH3 demand sources'!AJ$4</f>
        <v>0.10037437020000002</v>
      </c>
      <c r="AK38">
        <f>'Methanol demand shares'!AK38*'Indirect NH3 demand sources'!AK$4</f>
        <v>0.10765128450000004</v>
      </c>
      <c r="AL38">
        <f>'Methanol demand shares'!AL38*'Indirect NH3 demand sources'!AL$4</f>
        <v>0.11468804640000003</v>
      </c>
      <c r="AM38">
        <f>'Methanol demand shares'!AM38*'Indirect NH3 demand sources'!AM$4</f>
        <v>0.12149358210000005</v>
      </c>
      <c r="AN38">
        <f>'Methanol demand shares'!AN38*'Indirect NH3 demand sources'!AN$4</f>
        <v>0.12807663060000005</v>
      </c>
      <c r="AO38">
        <f>'Methanol demand shares'!AO38*'Indirect NH3 demand sources'!AO$4</f>
        <v>0.13444573890000003</v>
      </c>
      <c r="AP38">
        <f>'Methanol demand shares'!AP38*'Indirect NH3 demand sources'!AP$4</f>
        <v>0.14060987999999999</v>
      </c>
    </row>
    <row r="39" spans="1:42" x14ac:dyDescent="0.3">
      <c r="A39" t="s">
        <v>38</v>
      </c>
      <c r="B39">
        <f>'Methanol demand shares'!B39*'Indirect NH3 demand sources'!B$4</f>
        <v>0</v>
      </c>
      <c r="C39">
        <f>'Methanol demand shares'!C39*'Indirect NH3 demand sources'!C$4</f>
        <v>0</v>
      </c>
      <c r="D39">
        <f>'Methanol demand shares'!D39*'Indirect NH3 demand sources'!D$4</f>
        <v>0</v>
      </c>
      <c r="E39">
        <f>'Methanol demand shares'!E39*'Indirect NH3 demand sources'!E$4</f>
        <v>0</v>
      </c>
      <c r="F39">
        <f>'Methanol demand shares'!F39*'Indirect NH3 demand sources'!F$4</f>
        <v>0</v>
      </c>
      <c r="G39">
        <f>'Methanol demand shares'!G39*'Indirect NH3 demand sources'!G$4</f>
        <v>0</v>
      </c>
      <c r="H39">
        <f>'Methanol demand shares'!H39*'Indirect NH3 demand sources'!H$4</f>
        <v>0</v>
      </c>
      <c r="I39">
        <f>'Methanol demand shares'!I39*'Indirect NH3 demand sources'!I$4</f>
        <v>0</v>
      </c>
      <c r="J39">
        <f>'Methanol demand shares'!J39*'Indirect NH3 demand sources'!J$4</f>
        <v>0</v>
      </c>
      <c r="K39">
        <f>'Methanol demand shares'!K39*'Indirect NH3 demand sources'!K$4</f>
        <v>0</v>
      </c>
      <c r="L39">
        <f>'Methanol demand shares'!L39*'Indirect NH3 demand sources'!L$4</f>
        <v>0</v>
      </c>
      <c r="M39">
        <f>'Methanol demand shares'!M39*'Indirect NH3 demand sources'!M$4</f>
        <v>0</v>
      </c>
      <c r="N39">
        <f>'Methanol demand shares'!N39*'Indirect NH3 demand sources'!N$4</f>
        <v>0</v>
      </c>
      <c r="O39">
        <f>'Methanol demand shares'!O39*'Indirect NH3 demand sources'!O$4</f>
        <v>0</v>
      </c>
      <c r="P39">
        <f>'Methanol demand shares'!P39*'Indirect NH3 demand sources'!P$4</f>
        <v>0</v>
      </c>
      <c r="Q39">
        <f>'Methanol demand shares'!Q39*'Indirect NH3 demand sources'!Q$4</f>
        <v>0</v>
      </c>
      <c r="R39">
        <f>'Methanol demand shares'!R39*'Indirect NH3 demand sources'!R$4</f>
        <v>0</v>
      </c>
      <c r="S39">
        <f>'Methanol demand shares'!S39*'Indirect NH3 demand sources'!S$4</f>
        <v>0</v>
      </c>
      <c r="T39">
        <f>'Methanol demand shares'!T39*'Indirect NH3 demand sources'!T$4</f>
        <v>0</v>
      </c>
      <c r="U39">
        <f>'Methanol demand shares'!U39*'Indirect NH3 demand sources'!U$4</f>
        <v>0</v>
      </c>
      <c r="V39">
        <f>'Methanol demand shares'!V39*'Indirect NH3 demand sources'!V$4</f>
        <v>0</v>
      </c>
      <c r="W39">
        <f>'Methanol demand shares'!W39*'Indirect NH3 demand sources'!W$4</f>
        <v>1.609086E-3</v>
      </c>
      <c r="X39">
        <f>'Methanol demand shares'!X39*'Indirect NH3 demand sources'!X$4</f>
        <v>3.1982579999999998E-3</v>
      </c>
      <c r="Y39">
        <f>'Methanol demand shares'!Y39*'Indirect NH3 demand sources'!Y$4</f>
        <v>4.7677904999999998E-3</v>
      </c>
      <c r="Z39">
        <f>'Methanol demand shares'!Z39*'Indirect NH3 demand sources'!Z$4</f>
        <v>6.3182339999999998E-3</v>
      </c>
      <c r="AA39">
        <f>'Methanol demand shares'!AA39*'Indirect NH3 demand sources'!AA$4</f>
        <v>7.8495075000000001E-3</v>
      </c>
      <c r="AB39">
        <f>'Methanol demand shares'!AB39*'Indirect NH3 demand sources'!AB$4</f>
        <v>9.3465179999999998E-3</v>
      </c>
      <c r="AC39">
        <f>'Methanol demand shares'!AC39*'Indirect NH3 demand sources'!AC$4</f>
        <v>1.0820522999999999E-2</v>
      </c>
      <c r="AD39">
        <f>'Methanol demand shares'!AD39*'Indirect NH3 demand sources'!AD$4</f>
        <v>1.2272016E-2</v>
      </c>
      <c r="AE39">
        <f>'Methanol demand shares'!AE39*'Indirect NH3 demand sources'!AE$4</f>
        <v>1.3701689999999999E-2</v>
      </c>
      <c r="AF39">
        <f>'Methanol demand shares'!AF39*'Indirect NH3 demand sources'!AF$4</f>
        <v>1.5109335E-2</v>
      </c>
      <c r="AG39">
        <f>'Methanol demand shares'!AG39*'Indirect NH3 demand sources'!AG$4</f>
        <v>1.7034062400000001E-2</v>
      </c>
      <c r="AH39">
        <f>'Methanol demand shares'!AH39*'Indirect NH3 demand sources'!AH$4</f>
        <v>1.8915820800000004E-2</v>
      </c>
      <c r="AI39">
        <f>'Methanol demand shares'!AI39*'Indirect NH3 demand sources'!AI$4</f>
        <v>2.0755870200000005E-2</v>
      </c>
      <c r="AJ39">
        <f>'Methanol demand shares'!AJ39*'Indirect NH3 demand sources'!AJ$4</f>
        <v>2.2555470600000006E-2</v>
      </c>
      <c r="AK39">
        <f>'Methanol demand shares'!AK39*'Indirect NH3 demand sources'!AK$4</f>
        <v>2.4315780000000006E-2</v>
      </c>
      <c r="AL39">
        <f>'Methanol demand shares'!AL39*'Indirect NH3 demand sources'!AL$4</f>
        <v>2.6038143600000008E-2</v>
      </c>
      <c r="AM39">
        <f>'Methanol demand shares'!AM39*'Indirect NH3 demand sources'!AM$4</f>
        <v>2.7723762000000009E-2</v>
      </c>
      <c r="AN39">
        <f>'Methanol demand shares'!AN39*'Indirect NH3 demand sources'!AN$4</f>
        <v>2.9373787200000012E-2</v>
      </c>
      <c r="AO39">
        <f>'Methanol demand shares'!AO39*'Indirect NH3 demand sources'!AO$4</f>
        <v>3.0989447700000009E-2</v>
      </c>
      <c r="AP39">
        <f>'Methanol demand shares'!AP39*'Indirect NH3 demand sources'!AP$4</f>
        <v>3.2572080000000003E-2</v>
      </c>
    </row>
    <row r="40" spans="1:42" x14ac:dyDescent="0.3">
      <c r="A40" t="s">
        <v>39</v>
      </c>
      <c r="B40">
        <f>'Methanol demand shares'!B40*'Indirect NH3 demand sources'!B$4</f>
        <v>0</v>
      </c>
      <c r="C40">
        <f>'Methanol demand shares'!C40*'Indirect NH3 demand sources'!C$4</f>
        <v>0</v>
      </c>
      <c r="D40">
        <f>'Methanol demand shares'!D40*'Indirect NH3 demand sources'!D$4</f>
        <v>0</v>
      </c>
      <c r="E40">
        <f>'Methanol demand shares'!E40*'Indirect NH3 demand sources'!E$4</f>
        <v>0</v>
      </c>
      <c r="F40">
        <f>'Methanol demand shares'!F40*'Indirect NH3 demand sources'!F$4</f>
        <v>0</v>
      </c>
      <c r="G40">
        <f>'Methanol demand shares'!G40*'Indirect NH3 demand sources'!G$4</f>
        <v>0</v>
      </c>
      <c r="H40">
        <f>'Methanol demand shares'!H40*'Indirect NH3 demand sources'!H$4</f>
        <v>0</v>
      </c>
      <c r="I40">
        <f>'Methanol demand shares'!I40*'Indirect NH3 demand sources'!I$4</f>
        <v>0</v>
      </c>
      <c r="J40">
        <f>'Methanol demand shares'!J40*'Indirect NH3 demand sources'!J$4</f>
        <v>0</v>
      </c>
      <c r="K40">
        <f>'Methanol demand shares'!K40*'Indirect NH3 demand sources'!K$4</f>
        <v>0</v>
      </c>
      <c r="L40">
        <f>'Methanol demand shares'!L40*'Indirect NH3 demand sources'!L$4</f>
        <v>0</v>
      </c>
      <c r="M40">
        <f>'Methanol demand shares'!M40*'Indirect NH3 demand sources'!M$4</f>
        <v>0</v>
      </c>
      <c r="N40">
        <f>'Methanol demand shares'!N40*'Indirect NH3 demand sources'!N$4</f>
        <v>0</v>
      </c>
      <c r="O40">
        <f>'Methanol demand shares'!O40*'Indirect NH3 demand sources'!O$4</f>
        <v>0</v>
      </c>
      <c r="P40">
        <f>'Methanol demand shares'!P40*'Indirect NH3 demand sources'!P$4</f>
        <v>0</v>
      </c>
      <c r="Q40">
        <f>'Methanol demand shares'!Q40*'Indirect NH3 demand sources'!Q$4</f>
        <v>0</v>
      </c>
      <c r="R40">
        <f>'Methanol demand shares'!R40*'Indirect NH3 demand sources'!R$4</f>
        <v>0</v>
      </c>
      <c r="S40">
        <f>'Methanol demand shares'!S40*'Indirect NH3 demand sources'!S$4</f>
        <v>0</v>
      </c>
      <c r="T40">
        <f>'Methanol demand shares'!T40*'Indirect NH3 demand sources'!T$4</f>
        <v>0</v>
      </c>
      <c r="U40">
        <f>'Methanol demand shares'!U40*'Indirect NH3 demand sources'!U$4</f>
        <v>0</v>
      </c>
      <c r="V40">
        <f>'Methanol demand shares'!V40*'Indirect NH3 demand sources'!V$4</f>
        <v>0</v>
      </c>
      <c r="W40">
        <f>'Methanol demand shares'!W40*'Indirect NH3 demand sources'!W$4</f>
        <v>4.0531050000000004E-4</v>
      </c>
      <c r="X40">
        <f>'Methanol demand shares'!X40*'Indirect NH3 demand sources'!X$4</f>
        <v>8.0642699999999997E-4</v>
      </c>
      <c r="Y40">
        <f>'Methanol demand shares'!Y40*'Indirect NH3 demand sources'!Y$4</f>
        <v>1.2028275E-3</v>
      </c>
      <c r="Z40">
        <f>'Methanol demand shares'!Z40*'Indirect NH3 demand sources'!Z$4</f>
        <v>1.5942840000000001E-3</v>
      </c>
      <c r="AA40">
        <f>'Methanol demand shares'!AA40*'Indirect NH3 demand sources'!AA$4</f>
        <v>1.980435E-3</v>
      </c>
      <c r="AB40">
        <f>'Methanol demand shares'!AB40*'Indirect NH3 demand sources'!AB$4</f>
        <v>2.357451E-3</v>
      </c>
      <c r="AC40">
        <f>'Methanol demand shares'!AC40*'Indirect NH3 demand sources'!AC$4</f>
        <v>2.7277530000000003E-3</v>
      </c>
      <c r="AD40">
        <f>'Methanol demand shares'!AD40*'Indirect NH3 demand sources'!AD$4</f>
        <v>3.0912240000000001E-3</v>
      </c>
      <c r="AE40">
        <f>'Methanol demand shares'!AE40*'Indirect NH3 demand sources'!AE$4</f>
        <v>3.4479269999999999E-3</v>
      </c>
      <c r="AF40">
        <f>'Methanol demand shares'!AF40*'Indirect NH3 demand sources'!AF$4</f>
        <v>3.7976850000000003E-3</v>
      </c>
      <c r="AG40">
        <f>'Methanol demand shares'!AG40*'Indirect NH3 demand sources'!AG$4</f>
        <v>4.2878934000000002E-3</v>
      </c>
      <c r="AH40">
        <f>'Methanol demand shares'!AH40*'Indirect NH3 demand sources'!AH$4</f>
        <v>4.7681664E-3</v>
      </c>
      <c r="AI40">
        <f>'Methanol demand shares'!AI40*'Indirect NH3 demand sources'!AI$4</f>
        <v>5.2386924000000015E-3</v>
      </c>
      <c r="AJ40">
        <f>'Methanol demand shares'!AJ40*'Indirect NH3 demand sources'!AJ$4</f>
        <v>5.6996316000000012E-3</v>
      </c>
      <c r="AK40">
        <f>'Methanol demand shares'!AK40*'Indirect NH3 demand sources'!AK$4</f>
        <v>6.1511865000000018E-3</v>
      </c>
      <c r="AL40">
        <f>'Methanol demand shares'!AL40*'Indirect NH3 demand sources'!AL$4</f>
        <v>6.5935848000000024E-3</v>
      </c>
      <c r="AM40">
        <f>'Methanol demand shares'!AM40*'Indirect NH3 demand sources'!AM$4</f>
        <v>7.027049700000002E-3</v>
      </c>
      <c r="AN40">
        <f>'Methanol demand shares'!AN40*'Indirect NH3 demand sources'!AN$4</f>
        <v>7.4517894000000031E-3</v>
      </c>
      <c r="AO40">
        <f>'Methanol demand shares'!AO40*'Indirect NH3 demand sources'!AO$4</f>
        <v>7.8680883000000028E-3</v>
      </c>
      <c r="AP40">
        <f>'Methanol demand shares'!AP40*'Indirect NH3 demand sources'!AP$4</f>
        <v>8.2761480000000005E-3</v>
      </c>
    </row>
    <row r="41" spans="1:42" x14ac:dyDescent="0.3">
      <c r="A41" t="s">
        <v>40</v>
      </c>
      <c r="B41">
        <f>'Methanol demand shares'!B41*'Indirect NH3 demand sources'!B$4</f>
        <v>0</v>
      </c>
      <c r="C41">
        <f>'Methanol demand shares'!C41*'Indirect NH3 demand sources'!C$4</f>
        <v>0</v>
      </c>
      <c r="D41">
        <f>'Methanol demand shares'!D41*'Indirect NH3 demand sources'!D$4</f>
        <v>0</v>
      </c>
      <c r="E41">
        <f>'Methanol demand shares'!E41*'Indirect NH3 demand sources'!E$4</f>
        <v>0</v>
      </c>
      <c r="F41">
        <f>'Methanol demand shares'!F41*'Indirect NH3 demand sources'!F$4</f>
        <v>0</v>
      </c>
      <c r="G41">
        <f>'Methanol demand shares'!G41*'Indirect NH3 demand sources'!G$4</f>
        <v>0</v>
      </c>
      <c r="H41">
        <f>'Methanol demand shares'!H41*'Indirect NH3 demand sources'!H$4</f>
        <v>0</v>
      </c>
      <c r="I41">
        <f>'Methanol demand shares'!I41*'Indirect NH3 demand sources'!I$4</f>
        <v>0</v>
      </c>
      <c r="J41">
        <f>'Methanol demand shares'!J41*'Indirect NH3 demand sources'!J$4</f>
        <v>0</v>
      </c>
      <c r="K41">
        <f>'Methanol demand shares'!K41*'Indirect NH3 demand sources'!K$4</f>
        <v>0</v>
      </c>
      <c r="L41">
        <f>'Methanol demand shares'!L41*'Indirect NH3 demand sources'!L$4</f>
        <v>0</v>
      </c>
      <c r="M41">
        <f>'Methanol demand shares'!M41*'Indirect NH3 demand sources'!M$4</f>
        <v>0</v>
      </c>
      <c r="N41">
        <f>'Methanol demand shares'!N41*'Indirect NH3 demand sources'!N$4</f>
        <v>0</v>
      </c>
      <c r="O41">
        <f>'Methanol demand shares'!O41*'Indirect NH3 demand sources'!O$4</f>
        <v>0</v>
      </c>
      <c r="P41">
        <f>'Methanol demand shares'!P41*'Indirect NH3 demand sources'!P$4</f>
        <v>0</v>
      </c>
      <c r="Q41">
        <f>'Methanol demand shares'!Q41*'Indirect NH3 demand sources'!Q$4</f>
        <v>0</v>
      </c>
      <c r="R41">
        <f>'Methanol demand shares'!R41*'Indirect NH3 demand sources'!R$4</f>
        <v>0</v>
      </c>
      <c r="S41">
        <f>'Methanol demand shares'!S41*'Indirect NH3 demand sources'!S$4</f>
        <v>0</v>
      </c>
      <c r="T41">
        <f>'Methanol demand shares'!T41*'Indirect NH3 demand sources'!T$4</f>
        <v>0</v>
      </c>
      <c r="U41">
        <f>'Methanol demand shares'!U41*'Indirect NH3 demand sources'!U$4</f>
        <v>0</v>
      </c>
      <c r="V41">
        <f>'Methanol demand shares'!V41*'Indirect NH3 demand sources'!V$4</f>
        <v>0</v>
      </c>
      <c r="W41">
        <f>'Methanol demand shares'!W41*'Indirect NH3 demand sources'!W$4</f>
        <v>2.5330864500000001E-2</v>
      </c>
      <c r="X41">
        <f>'Methanol demand shares'!X41*'Indirect NH3 demand sources'!X$4</f>
        <v>4.9902543000000008E-2</v>
      </c>
      <c r="Y41">
        <f>'Methanol demand shares'!Y41*'Indirect NH3 demand sources'!Y$4</f>
        <v>7.3744096499999995E-2</v>
      </c>
      <c r="Z41">
        <f>'Methanol demand shares'!Z41*'Indirect NH3 demand sources'!Z$4</f>
        <v>9.6883752000000004E-2</v>
      </c>
      <c r="AA41">
        <f>'Methanol demand shares'!AA41*'Indirect NH3 demand sources'!AA$4</f>
        <v>0.11933909250000001</v>
      </c>
      <c r="AB41">
        <f>'Methanol demand shares'!AB41*'Indirect NH3 demand sources'!AB$4</f>
        <v>0.14089059900000001</v>
      </c>
      <c r="AC41">
        <f>'Methanol demand shares'!AC41*'Indirect NH3 demand sources'!AC$4</f>
        <v>0.16173702300000001</v>
      </c>
      <c r="AD41">
        <f>'Methanol demand shares'!AD41*'Indirect NH3 demand sources'!AD$4</f>
        <v>0.18190573199999999</v>
      </c>
      <c r="AE41">
        <f>'Methanol demand shares'!AE41*'Indirect NH3 demand sources'!AE$4</f>
        <v>0.20142205200000002</v>
      </c>
      <c r="AF41">
        <f>'Methanol demand shares'!AF41*'Indirect NH3 demand sources'!AF$4</f>
        <v>0.22029894</v>
      </c>
      <c r="AG41">
        <f>'Methanol demand shares'!AG41*'Indirect NH3 demand sources'!AG$4</f>
        <v>0.24776484120000003</v>
      </c>
      <c r="AH41">
        <f>'Methanol demand shares'!AH41*'Indirect NH3 demand sources'!AH$4</f>
        <v>0.27448796160000005</v>
      </c>
      <c r="AI41">
        <f>'Methanol demand shares'!AI41*'Indirect NH3 demand sources'!AI$4</f>
        <v>0.30049477680000003</v>
      </c>
      <c r="AJ41">
        <f>'Methanol demand shares'!AJ41*'Indirect NH3 demand sources'!AJ$4</f>
        <v>0.32581123380000004</v>
      </c>
      <c r="AK41">
        <f>'Methanol demand shares'!AK41*'Indirect NH3 demand sources'!AK$4</f>
        <v>0.3504616980000001</v>
      </c>
      <c r="AL41">
        <f>'Methanol demand shares'!AL41*'Indirect NH3 demand sources'!AL$4</f>
        <v>0.37447241160000011</v>
      </c>
      <c r="AM41">
        <f>'Methanol demand shares'!AM41*'Indirect NH3 demand sources'!AM$4</f>
        <v>0.39786734790000017</v>
      </c>
      <c r="AN41">
        <f>'Methanol demand shares'!AN41*'Indirect NH3 demand sources'!AN$4</f>
        <v>0.42067008420000018</v>
      </c>
      <c r="AO41">
        <f>'Methanol demand shares'!AO41*'Indirect NH3 demand sources'!AO$4</f>
        <v>0.44290383900000019</v>
      </c>
      <c r="AP41">
        <f>'Methanol demand shares'!AP41*'Indirect NH3 demand sources'!AP$4</f>
        <v>0.46459378799999995</v>
      </c>
    </row>
    <row r="42" spans="1:42" x14ac:dyDescent="0.3">
      <c r="A42" t="s">
        <v>41</v>
      </c>
      <c r="B42">
        <f>'Methanol demand shares'!B42*'Indirect NH3 demand sources'!B$4</f>
        <v>0</v>
      </c>
      <c r="C42">
        <f>'Methanol demand shares'!C42*'Indirect NH3 demand sources'!C$4</f>
        <v>0</v>
      </c>
      <c r="D42">
        <f>'Methanol demand shares'!D42*'Indirect NH3 demand sources'!D$4</f>
        <v>0</v>
      </c>
      <c r="E42">
        <f>'Methanol demand shares'!E42*'Indirect NH3 demand sources'!E$4</f>
        <v>0</v>
      </c>
      <c r="F42">
        <f>'Methanol demand shares'!F42*'Indirect NH3 demand sources'!F$4</f>
        <v>0</v>
      </c>
      <c r="G42">
        <f>'Methanol demand shares'!G42*'Indirect NH3 demand sources'!G$4</f>
        <v>0</v>
      </c>
      <c r="H42">
        <f>'Methanol demand shares'!H42*'Indirect NH3 demand sources'!H$4</f>
        <v>0</v>
      </c>
      <c r="I42">
        <f>'Methanol demand shares'!I42*'Indirect NH3 demand sources'!I$4</f>
        <v>0</v>
      </c>
      <c r="J42">
        <f>'Methanol demand shares'!J42*'Indirect NH3 demand sources'!J$4</f>
        <v>0</v>
      </c>
      <c r="K42">
        <f>'Methanol demand shares'!K42*'Indirect NH3 demand sources'!K$4</f>
        <v>0</v>
      </c>
      <c r="L42">
        <f>'Methanol demand shares'!L42*'Indirect NH3 demand sources'!L$4</f>
        <v>0</v>
      </c>
      <c r="M42">
        <f>'Methanol demand shares'!M42*'Indirect NH3 demand sources'!M$4</f>
        <v>0</v>
      </c>
      <c r="N42">
        <f>'Methanol demand shares'!N42*'Indirect NH3 demand sources'!N$4</f>
        <v>0</v>
      </c>
      <c r="O42">
        <f>'Methanol demand shares'!O42*'Indirect NH3 demand sources'!O$4</f>
        <v>0</v>
      </c>
      <c r="P42">
        <f>'Methanol demand shares'!P42*'Indirect NH3 demand sources'!P$4</f>
        <v>0</v>
      </c>
      <c r="Q42">
        <f>'Methanol demand shares'!Q42*'Indirect NH3 demand sources'!Q$4</f>
        <v>0</v>
      </c>
      <c r="R42">
        <f>'Methanol demand shares'!R42*'Indirect NH3 demand sources'!R$4</f>
        <v>0</v>
      </c>
      <c r="S42">
        <f>'Methanol demand shares'!S42*'Indirect NH3 demand sources'!S$4</f>
        <v>0</v>
      </c>
      <c r="T42">
        <f>'Methanol demand shares'!T42*'Indirect NH3 demand sources'!T$4</f>
        <v>0</v>
      </c>
      <c r="U42">
        <f>'Methanol demand shares'!U42*'Indirect NH3 demand sources'!U$4</f>
        <v>0</v>
      </c>
      <c r="V42">
        <f>'Methanol demand shares'!V42*'Indirect NH3 demand sources'!V$4</f>
        <v>0</v>
      </c>
      <c r="W42">
        <f>'Methanol demand shares'!W42*'Indirect NH3 demand sources'!W$4</f>
        <v>6.2837850000000003E-4</v>
      </c>
      <c r="X42">
        <f>'Methanol demand shares'!X42*'Indirect NH3 demand sources'!X$4</f>
        <v>1.25478E-3</v>
      </c>
      <c r="Y42">
        <f>'Methanol demand shares'!Y42*'Indirect NH3 demand sources'!Y$4</f>
        <v>1.8793619999999999E-3</v>
      </c>
      <c r="Z42">
        <f>'Methanol demand shares'!Z42*'Indirect NH3 demand sources'!Z$4</f>
        <v>2.5022519999999999E-3</v>
      </c>
      <c r="AA42">
        <f>'Methanol demand shares'!AA42*'Indirect NH3 demand sources'!AA$4</f>
        <v>3.1233525E-3</v>
      </c>
      <c r="AB42">
        <f>'Methanol demand shares'!AB42*'Indirect NH3 demand sources'!AB$4</f>
        <v>3.7357470000000002E-3</v>
      </c>
      <c r="AC42">
        <f>'Methanol demand shares'!AC42*'Indirect NH3 demand sources'!AC$4</f>
        <v>4.3443644999999996E-3</v>
      </c>
      <c r="AD42">
        <f>'Methanol demand shares'!AD42*'Indirect NH3 demand sources'!AD$4</f>
        <v>4.9493760000000001E-3</v>
      </c>
      <c r="AE42">
        <f>'Methanol demand shares'!AE42*'Indirect NH3 demand sources'!AE$4</f>
        <v>5.5509299999999999E-3</v>
      </c>
      <c r="AF42">
        <f>'Methanol demand shares'!AF42*'Indirect NH3 demand sources'!AF$4</f>
        <v>6.1488599999999999E-3</v>
      </c>
      <c r="AG42">
        <f>'Methanol demand shares'!AG42*'Indirect NH3 demand sources'!AG$4</f>
        <v>7.004655900000001E-3</v>
      </c>
      <c r="AH42">
        <f>'Methanol demand shares'!AH42*'Indirect NH3 demand sources'!AH$4</f>
        <v>7.8590592000000008E-3</v>
      </c>
      <c r="AI42">
        <f>'Methanol demand shares'!AI42*'Indirect NH3 demand sources'!AI$4</f>
        <v>8.7121047000000024E-3</v>
      </c>
      <c r="AJ42">
        <f>'Methanol demand shares'!AJ42*'Indirect NH3 demand sources'!AJ$4</f>
        <v>9.5638374000000023E-3</v>
      </c>
      <c r="AK42">
        <f>'Methanol demand shares'!AK42*'Indirect NH3 demand sources'!AK$4</f>
        <v>1.0414327500000002E-2</v>
      </c>
      <c r="AL42">
        <f>'Methanol demand shares'!AL42*'Indirect NH3 demand sources'!AL$4</f>
        <v>1.1263725600000003E-2</v>
      </c>
      <c r="AM42">
        <f>'Methanol demand shares'!AM42*'Indirect NH3 demand sources'!AM$4</f>
        <v>1.2112194600000004E-2</v>
      </c>
      <c r="AN42">
        <f>'Methanol demand shares'!AN42*'Indirect NH3 demand sources'!AN$4</f>
        <v>1.2959867400000005E-2</v>
      </c>
      <c r="AO42">
        <f>'Methanol demand shares'!AO42*'Indirect NH3 demand sources'!AO$4</f>
        <v>1.3806961500000006E-2</v>
      </c>
      <c r="AP42">
        <f>'Methanol demand shares'!AP42*'Indirect NH3 demand sources'!AP$4</f>
        <v>1.4653728000000001E-2</v>
      </c>
    </row>
    <row r="43" spans="1:42" x14ac:dyDescent="0.3">
      <c r="A43" t="s">
        <v>42</v>
      </c>
      <c r="B43">
        <f>'Methanol demand shares'!B43*'Indirect NH3 demand sources'!B$4</f>
        <v>0</v>
      </c>
      <c r="C43">
        <f>'Methanol demand shares'!C43*'Indirect NH3 demand sources'!C$4</f>
        <v>0</v>
      </c>
      <c r="D43">
        <f>'Methanol demand shares'!D43*'Indirect NH3 demand sources'!D$4</f>
        <v>0</v>
      </c>
      <c r="E43">
        <f>'Methanol demand shares'!E43*'Indirect NH3 demand sources'!E$4</f>
        <v>0</v>
      </c>
      <c r="F43">
        <f>'Methanol demand shares'!F43*'Indirect NH3 demand sources'!F$4</f>
        <v>0</v>
      </c>
      <c r="G43">
        <f>'Methanol demand shares'!G43*'Indirect NH3 demand sources'!G$4</f>
        <v>0</v>
      </c>
      <c r="H43">
        <f>'Methanol demand shares'!H43*'Indirect NH3 demand sources'!H$4</f>
        <v>0</v>
      </c>
      <c r="I43">
        <f>'Methanol demand shares'!I43*'Indirect NH3 demand sources'!I$4</f>
        <v>0</v>
      </c>
      <c r="J43">
        <f>'Methanol demand shares'!J43*'Indirect NH3 demand sources'!J$4</f>
        <v>0</v>
      </c>
      <c r="K43">
        <f>'Methanol demand shares'!K43*'Indirect NH3 demand sources'!K$4</f>
        <v>0</v>
      </c>
      <c r="L43">
        <f>'Methanol demand shares'!L43*'Indirect NH3 demand sources'!L$4</f>
        <v>0</v>
      </c>
      <c r="M43">
        <f>'Methanol demand shares'!M43*'Indirect NH3 demand sources'!M$4</f>
        <v>0</v>
      </c>
      <c r="N43">
        <f>'Methanol demand shares'!N43*'Indirect NH3 demand sources'!N$4</f>
        <v>0</v>
      </c>
      <c r="O43">
        <f>'Methanol demand shares'!O43*'Indirect NH3 demand sources'!O$4</f>
        <v>0</v>
      </c>
      <c r="P43">
        <f>'Methanol demand shares'!P43*'Indirect NH3 demand sources'!P$4</f>
        <v>0</v>
      </c>
      <c r="Q43">
        <f>'Methanol demand shares'!Q43*'Indirect NH3 demand sources'!Q$4</f>
        <v>0</v>
      </c>
      <c r="R43">
        <f>'Methanol demand shares'!R43*'Indirect NH3 demand sources'!R$4</f>
        <v>0</v>
      </c>
      <c r="S43">
        <f>'Methanol demand shares'!S43*'Indirect NH3 demand sources'!S$4</f>
        <v>0</v>
      </c>
      <c r="T43">
        <f>'Methanol demand shares'!T43*'Indirect NH3 demand sources'!T$4</f>
        <v>0</v>
      </c>
      <c r="U43">
        <f>'Methanol demand shares'!U43*'Indirect NH3 demand sources'!U$4</f>
        <v>0</v>
      </c>
      <c r="V43">
        <f>'Methanol demand shares'!V43*'Indirect NH3 demand sources'!V$4</f>
        <v>0</v>
      </c>
      <c r="W43">
        <f>'Methanol demand shares'!W43*'Indirect NH3 demand sources'!W$4</f>
        <v>1.078795416</v>
      </c>
      <c r="X43">
        <f>'Methanol demand shares'!X43*'Indirect NH3 demand sources'!X$4</f>
        <v>2.1658595100000002</v>
      </c>
      <c r="Y43">
        <f>'Methanol demand shares'!Y43*'Indirect NH3 demand sources'!Y$4</f>
        <v>3.2610300434999999</v>
      </c>
      <c r="Z43">
        <f>'Methanol demand shares'!Z43*'Indirect NH3 demand sources'!Z$4</f>
        <v>4.3641338039999997</v>
      </c>
      <c r="AA43">
        <f>'Methanol demand shares'!AA43*'Indirect NH3 demand sources'!AA$4</f>
        <v>5.4745370250000001</v>
      </c>
      <c r="AB43">
        <f>'Methanol demand shares'!AB43*'Indirect NH3 demand sources'!AB$4</f>
        <v>6.594130593</v>
      </c>
      <c r="AC43">
        <f>'Methanol demand shares'!AC43*'Indirect NH3 demand sources'!AC$4</f>
        <v>7.7213687984999995</v>
      </c>
      <c r="AD43">
        <f>'Methanol demand shares'!AD43*'Indirect NH3 demand sources'!AD$4</f>
        <v>8.8559903760000012</v>
      </c>
      <c r="AE43">
        <f>'Methanol demand shares'!AE43*'Indirect NH3 demand sources'!AE$4</f>
        <v>9.9976577940000002</v>
      </c>
      <c r="AF43">
        <f>'Methanol demand shares'!AF43*'Indirect NH3 demand sources'!AF$4</f>
        <v>11.1454293</v>
      </c>
      <c r="AG43">
        <f>'Methanol demand shares'!AG43*'Indirect NH3 demand sources'!AG$4</f>
        <v>12.735756912600001</v>
      </c>
      <c r="AH43">
        <f>'Methanol demand shares'!AH43*'Indirect NH3 demand sources'!AH$4</f>
        <v>14.332396704000002</v>
      </c>
      <c r="AI43">
        <f>'Methanol demand shares'!AI43*'Indirect NH3 demand sources'!AI$4</f>
        <v>15.934940664000004</v>
      </c>
      <c r="AJ43">
        <f>'Methanol demand shares'!AJ43*'Indirect NH3 demand sources'!AJ$4</f>
        <v>17.542959782400004</v>
      </c>
      <c r="AK43">
        <f>'Methanol demand shares'!AK43*'Indirect NH3 demand sources'!AK$4</f>
        <v>19.155948738000006</v>
      </c>
      <c r="AL43">
        <f>'Methanol demand shares'!AL43*'Indirect NH3 demand sources'!AL$4</f>
        <v>20.773511440800007</v>
      </c>
      <c r="AM43">
        <f>'Methanol demand shares'!AM43*'Indirect NH3 demand sources'!AM$4</f>
        <v>22.395132995400008</v>
      </c>
      <c r="AN43">
        <f>'Methanol demand shares'!AN43*'Indirect NH3 demand sources'!AN$4</f>
        <v>24.020284325400009</v>
      </c>
      <c r="AO43">
        <f>'Methanol demand shares'!AO43*'Indirect NH3 demand sources'!AO$4</f>
        <v>25.648417746600011</v>
      </c>
      <c r="AP43">
        <f>'Methanol demand shares'!AP43*'Indirect NH3 demand sources'!AP$4</f>
        <v>27.279100944</v>
      </c>
    </row>
    <row r="44" spans="1:42" x14ac:dyDescent="0.3">
      <c r="A44" t="s">
        <v>43</v>
      </c>
      <c r="B44">
        <f>'Methanol demand shares'!B44*'Indirect NH3 demand sources'!B$4</f>
        <v>0</v>
      </c>
      <c r="C44">
        <f>'Methanol demand shares'!C44*'Indirect NH3 demand sources'!C$4</f>
        <v>0</v>
      </c>
      <c r="D44">
        <f>'Methanol demand shares'!D44*'Indirect NH3 demand sources'!D$4</f>
        <v>0</v>
      </c>
      <c r="E44">
        <f>'Methanol demand shares'!E44*'Indirect NH3 demand sources'!E$4</f>
        <v>0</v>
      </c>
      <c r="F44">
        <f>'Methanol demand shares'!F44*'Indirect NH3 demand sources'!F$4</f>
        <v>0</v>
      </c>
      <c r="G44">
        <f>'Methanol demand shares'!G44*'Indirect NH3 demand sources'!G$4</f>
        <v>0</v>
      </c>
      <c r="H44">
        <f>'Methanol demand shares'!H44*'Indirect NH3 demand sources'!H$4</f>
        <v>0</v>
      </c>
      <c r="I44">
        <f>'Methanol demand shares'!I44*'Indirect NH3 demand sources'!I$4</f>
        <v>0</v>
      </c>
      <c r="J44">
        <f>'Methanol demand shares'!J44*'Indirect NH3 demand sources'!J$4</f>
        <v>0</v>
      </c>
      <c r="K44">
        <f>'Methanol demand shares'!K44*'Indirect NH3 demand sources'!K$4</f>
        <v>0</v>
      </c>
      <c r="L44">
        <f>'Methanol demand shares'!L44*'Indirect NH3 demand sources'!L$4</f>
        <v>0</v>
      </c>
      <c r="M44">
        <f>'Methanol demand shares'!M44*'Indirect NH3 demand sources'!M$4</f>
        <v>0</v>
      </c>
      <c r="N44">
        <f>'Methanol demand shares'!N44*'Indirect NH3 demand sources'!N$4</f>
        <v>0</v>
      </c>
      <c r="O44">
        <f>'Methanol demand shares'!O44*'Indirect NH3 demand sources'!O$4</f>
        <v>0</v>
      </c>
      <c r="P44">
        <f>'Methanol demand shares'!P44*'Indirect NH3 demand sources'!P$4</f>
        <v>0</v>
      </c>
      <c r="Q44">
        <f>'Methanol demand shares'!Q44*'Indirect NH3 demand sources'!Q$4</f>
        <v>0</v>
      </c>
      <c r="R44">
        <f>'Methanol demand shares'!R44*'Indirect NH3 demand sources'!R$4</f>
        <v>0</v>
      </c>
      <c r="S44">
        <f>'Methanol demand shares'!S44*'Indirect NH3 demand sources'!S$4</f>
        <v>0</v>
      </c>
      <c r="T44">
        <f>'Methanol demand shares'!T44*'Indirect NH3 demand sources'!T$4</f>
        <v>0</v>
      </c>
      <c r="U44">
        <f>'Methanol demand shares'!U44*'Indirect NH3 demand sources'!U$4</f>
        <v>0</v>
      </c>
      <c r="V44">
        <f>'Methanol demand shares'!V44*'Indirect NH3 demand sources'!V$4</f>
        <v>0</v>
      </c>
      <c r="W44">
        <f>'Methanol demand shares'!W44*'Indirect NH3 demand sources'!W$4</f>
        <v>3.7834036500000001E-2</v>
      </c>
      <c r="X44">
        <f>'Methanol demand shares'!X44*'Indirect NH3 demand sources'!X$4</f>
        <v>7.5325970999999992E-2</v>
      </c>
      <c r="Y44">
        <f>'Methanol demand shares'!Y44*'Indirect NH3 demand sources'!Y$4</f>
        <v>0.11246730299999999</v>
      </c>
      <c r="Z44">
        <f>'Methanol demand shares'!Z44*'Indirect NH3 demand sources'!Z$4</f>
        <v>0.149250984</v>
      </c>
      <c r="AA44">
        <f>'Methanol demand shares'!AA44*'Indirect NH3 demand sources'!AA$4</f>
        <v>0.1856559975</v>
      </c>
      <c r="AB44">
        <f>'Methanol demand shares'!AB44*'Indirect NH3 demand sources'!AB$4</f>
        <v>0.22121643600000002</v>
      </c>
      <c r="AC44">
        <f>'Methanol demand shares'!AC44*'Indirect NH3 demand sources'!AC$4</f>
        <v>0.25623040800000002</v>
      </c>
      <c r="AD44">
        <f>'Methanol demand shares'!AD44*'Indirect NH3 demand sources'!AD$4</f>
        <v>0.290692848</v>
      </c>
      <c r="AE44">
        <f>'Methanol demand shares'!AE44*'Indirect NH3 demand sources'!AE$4</f>
        <v>0.32459842799999999</v>
      </c>
      <c r="AF44">
        <f>'Methanol demand shares'!AF44*'Indirect NH3 demand sources'!AF$4</f>
        <v>0.35792464499999999</v>
      </c>
      <c r="AG44">
        <f>'Methanol demand shares'!AG44*'Indirect NH3 demand sources'!AG$4</f>
        <v>0.4048239636</v>
      </c>
      <c r="AH44">
        <f>'Methanol demand shares'!AH44*'Indirect NH3 demand sources'!AH$4</f>
        <v>0.45092803200000009</v>
      </c>
      <c r="AI44">
        <f>'Methanol demand shares'!AI44*'Indirect NH3 demand sources'!AI$4</f>
        <v>0.49623521640000007</v>
      </c>
      <c r="AJ44">
        <f>'Methanol demand shares'!AJ44*'Indirect NH3 demand sources'!AJ$4</f>
        <v>0.54074449260000013</v>
      </c>
      <c r="AK44">
        <f>'Methanol demand shares'!AK44*'Indirect NH3 demand sources'!AK$4</f>
        <v>0.5844538800000002</v>
      </c>
      <c r="AL44">
        <f>'Methanol demand shares'!AL44*'Indirect NH3 demand sources'!AL$4</f>
        <v>0.62736618840000025</v>
      </c>
      <c r="AM44">
        <f>'Methanol demand shares'!AM44*'Indirect NH3 demand sources'!AM$4</f>
        <v>0.66948213420000025</v>
      </c>
      <c r="AN44">
        <f>'Methanol demand shares'!AN44*'Indirect NH3 demand sources'!AN$4</f>
        <v>0.71080371240000029</v>
      </c>
      <c r="AO44">
        <f>'Methanol demand shares'!AO44*'Indirect NH3 demand sources'!AO$4</f>
        <v>0.75133407330000035</v>
      </c>
      <c r="AP44">
        <f>'Methanol demand shares'!AP44*'Indirect NH3 demand sources'!AP$4</f>
        <v>0.79108160399999994</v>
      </c>
    </row>
    <row r="45" spans="1:42" x14ac:dyDescent="0.3">
      <c r="A45" t="s">
        <v>44</v>
      </c>
      <c r="B45">
        <f>'Methanol demand shares'!B45*'Indirect NH3 demand sources'!B$4</f>
        <v>0</v>
      </c>
      <c r="C45">
        <f>'Methanol demand shares'!C45*'Indirect NH3 demand sources'!C$4</f>
        <v>0</v>
      </c>
      <c r="D45">
        <f>'Methanol demand shares'!D45*'Indirect NH3 demand sources'!D$4</f>
        <v>0</v>
      </c>
      <c r="E45">
        <f>'Methanol demand shares'!E45*'Indirect NH3 demand sources'!E$4</f>
        <v>0</v>
      </c>
      <c r="F45">
        <f>'Methanol demand shares'!F45*'Indirect NH3 demand sources'!F$4</f>
        <v>0</v>
      </c>
      <c r="G45">
        <f>'Methanol demand shares'!G45*'Indirect NH3 demand sources'!G$4</f>
        <v>0</v>
      </c>
      <c r="H45">
        <f>'Methanol demand shares'!H45*'Indirect NH3 demand sources'!H$4</f>
        <v>0</v>
      </c>
      <c r="I45">
        <f>'Methanol demand shares'!I45*'Indirect NH3 demand sources'!I$4</f>
        <v>0</v>
      </c>
      <c r="J45">
        <f>'Methanol demand shares'!J45*'Indirect NH3 demand sources'!J$4</f>
        <v>0</v>
      </c>
      <c r="K45">
        <f>'Methanol demand shares'!K45*'Indirect NH3 demand sources'!K$4</f>
        <v>0</v>
      </c>
      <c r="L45">
        <f>'Methanol demand shares'!L45*'Indirect NH3 demand sources'!L$4</f>
        <v>0</v>
      </c>
      <c r="M45">
        <f>'Methanol demand shares'!M45*'Indirect NH3 demand sources'!M$4</f>
        <v>0</v>
      </c>
      <c r="N45">
        <f>'Methanol demand shares'!N45*'Indirect NH3 demand sources'!N$4</f>
        <v>0</v>
      </c>
      <c r="O45">
        <f>'Methanol demand shares'!O45*'Indirect NH3 demand sources'!O$4</f>
        <v>0</v>
      </c>
      <c r="P45">
        <f>'Methanol demand shares'!P45*'Indirect NH3 demand sources'!P$4</f>
        <v>0</v>
      </c>
      <c r="Q45">
        <f>'Methanol demand shares'!Q45*'Indirect NH3 demand sources'!Q$4</f>
        <v>0</v>
      </c>
      <c r="R45">
        <f>'Methanol demand shares'!R45*'Indirect NH3 demand sources'!R$4</f>
        <v>0</v>
      </c>
      <c r="S45">
        <f>'Methanol demand shares'!S45*'Indirect NH3 demand sources'!S$4</f>
        <v>0</v>
      </c>
      <c r="T45">
        <f>'Methanol demand shares'!T45*'Indirect NH3 demand sources'!T$4</f>
        <v>0</v>
      </c>
      <c r="U45">
        <f>'Methanol demand shares'!U45*'Indirect NH3 demand sources'!U$4</f>
        <v>0</v>
      </c>
      <c r="V45">
        <f>'Methanol demand shares'!V45*'Indirect NH3 demand sources'!V$4</f>
        <v>0</v>
      </c>
      <c r="W45">
        <f>'Methanol demand shares'!W45*'Indirect NH3 demand sources'!W$4</f>
        <v>4.0857180000000003E-3</v>
      </c>
      <c r="X45">
        <f>'Methanol demand shares'!X45*'Indirect NH3 demand sources'!X$4</f>
        <v>8.0627130000000009E-3</v>
      </c>
      <c r="Y45">
        <f>'Methanol demand shares'!Y45*'Indirect NH3 demand sources'!Y$4</f>
        <v>1.1933982000000001E-2</v>
      </c>
      <c r="Z45">
        <f>'Methanol demand shares'!Z45*'Indirect NH3 demand sources'!Z$4</f>
        <v>1.570245E-2</v>
      </c>
      <c r="AA45">
        <f>'Methanol demand shares'!AA45*'Indirect NH3 demand sources'!AA$4</f>
        <v>1.9369402500000001E-2</v>
      </c>
      <c r="AB45">
        <f>'Methanol demand shares'!AB45*'Indirect NH3 demand sources'!AB$4</f>
        <v>2.2923908999999999E-2</v>
      </c>
      <c r="AC45">
        <f>'Methanol demand shares'!AC45*'Indirect NH3 demand sources'!AC$4</f>
        <v>2.6371967999999999E-2</v>
      </c>
      <c r="AD45">
        <f>'Methanol demand shares'!AD45*'Indirect NH3 demand sources'!AD$4</f>
        <v>2.9714867999999998E-2</v>
      </c>
      <c r="AE45">
        <f>'Methanol demand shares'!AE45*'Indirect NH3 demand sources'!AE$4</f>
        <v>3.2954147999999996E-2</v>
      </c>
      <c r="AF45">
        <f>'Methanol demand shares'!AF45*'Indirect NH3 demand sources'!AF$4</f>
        <v>3.6089850000000007E-2</v>
      </c>
      <c r="AG45">
        <f>'Methanol demand shares'!AG45*'Indirect NH3 demand sources'!AG$4</f>
        <v>4.0663560600000002E-2</v>
      </c>
      <c r="AH45">
        <f>'Methanol demand shares'!AH45*'Indirect NH3 demand sources'!AH$4</f>
        <v>4.5122534400000004E-2</v>
      </c>
      <c r="AI45">
        <f>'Methanol demand shares'!AI45*'Indirect NH3 demand sources'!AI$4</f>
        <v>4.9469228700000013E-2</v>
      </c>
      <c r="AJ45">
        <f>'Methanol demand shares'!AJ45*'Indirect NH3 demand sources'!AJ$4</f>
        <v>5.3706486600000006E-2</v>
      </c>
      <c r="AK45">
        <f>'Methanol demand shares'!AK45*'Indirect NH3 demand sources'!AK$4</f>
        <v>5.7837366000000015E-2</v>
      </c>
      <c r="AL45">
        <f>'Methanol demand shares'!AL45*'Indirect NH3 demand sources'!AL$4</f>
        <v>6.1865565600000019E-2</v>
      </c>
      <c r="AM45">
        <f>'Methanol demand shares'!AM45*'Indirect NH3 demand sources'!AM$4</f>
        <v>6.5794766400000024E-2</v>
      </c>
      <c r="AN45">
        <f>'Methanol demand shares'!AN45*'Indirect NH3 demand sources'!AN$4</f>
        <v>6.9628739400000028E-2</v>
      </c>
      <c r="AO45">
        <f>'Methanol demand shares'!AO45*'Indirect NH3 demand sources'!AO$4</f>
        <v>7.3371465000000038E-2</v>
      </c>
      <c r="AP45">
        <f>'Methanol demand shares'!AP45*'Indirect NH3 demand sources'!AP$4</f>
        <v>7.7027328000000006E-2</v>
      </c>
    </row>
    <row r="46" spans="1:42" x14ac:dyDescent="0.3">
      <c r="A46" t="s">
        <v>45</v>
      </c>
      <c r="B46">
        <f>'Methanol demand shares'!B46*'Indirect NH3 demand sources'!B$4</f>
        <v>0</v>
      </c>
      <c r="C46">
        <f>'Methanol demand shares'!C46*'Indirect NH3 demand sources'!C$4</f>
        <v>0</v>
      </c>
      <c r="D46">
        <f>'Methanol demand shares'!D46*'Indirect NH3 demand sources'!D$4</f>
        <v>0</v>
      </c>
      <c r="E46">
        <f>'Methanol demand shares'!E46*'Indirect NH3 demand sources'!E$4</f>
        <v>0</v>
      </c>
      <c r="F46">
        <f>'Methanol demand shares'!F46*'Indirect NH3 demand sources'!F$4</f>
        <v>0</v>
      </c>
      <c r="G46">
        <f>'Methanol demand shares'!G46*'Indirect NH3 demand sources'!G$4</f>
        <v>0</v>
      </c>
      <c r="H46">
        <f>'Methanol demand shares'!H46*'Indirect NH3 demand sources'!H$4</f>
        <v>0</v>
      </c>
      <c r="I46">
        <f>'Methanol demand shares'!I46*'Indirect NH3 demand sources'!I$4</f>
        <v>0</v>
      </c>
      <c r="J46">
        <f>'Methanol demand shares'!J46*'Indirect NH3 demand sources'!J$4</f>
        <v>0</v>
      </c>
      <c r="K46">
        <f>'Methanol demand shares'!K46*'Indirect NH3 demand sources'!K$4</f>
        <v>0</v>
      </c>
      <c r="L46">
        <f>'Methanol demand shares'!L46*'Indirect NH3 demand sources'!L$4</f>
        <v>0</v>
      </c>
      <c r="M46">
        <f>'Methanol demand shares'!M46*'Indirect NH3 demand sources'!M$4</f>
        <v>0</v>
      </c>
      <c r="N46">
        <f>'Methanol demand shares'!N46*'Indirect NH3 demand sources'!N$4</f>
        <v>0</v>
      </c>
      <c r="O46">
        <f>'Methanol demand shares'!O46*'Indirect NH3 demand sources'!O$4</f>
        <v>0</v>
      </c>
      <c r="P46">
        <f>'Methanol demand shares'!P46*'Indirect NH3 demand sources'!P$4</f>
        <v>0</v>
      </c>
      <c r="Q46">
        <f>'Methanol demand shares'!Q46*'Indirect NH3 demand sources'!Q$4</f>
        <v>0</v>
      </c>
      <c r="R46">
        <f>'Methanol demand shares'!R46*'Indirect NH3 demand sources'!R$4</f>
        <v>0</v>
      </c>
      <c r="S46">
        <f>'Methanol demand shares'!S46*'Indirect NH3 demand sources'!S$4</f>
        <v>0</v>
      </c>
      <c r="T46">
        <f>'Methanol demand shares'!T46*'Indirect NH3 demand sources'!T$4</f>
        <v>0</v>
      </c>
      <c r="U46">
        <f>'Methanol demand shares'!U46*'Indirect NH3 demand sources'!U$4</f>
        <v>0</v>
      </c>
      <c r="V46">
        <f>'Methanol demand shares'!V46*'Indirect NH3 demand sources'!V$4</f>
        <v>0</v>
      </c>
      <c r="W46">
        <f>'Methanol demand shares'!W46*'Indirect NH3 demand sources'!W$4</f>
        <v>1.4941553999999999E-2</v>
      </c>
      <c r="X46">
        <f>'Methanol demand shares'!X46*'Indirect NH3 demand sources'!X$4</f>
        <v>2.9538419999999999E-2</v>
      </c>
      <c r="Y46">
        <f>'Methanol demand shares'!Y46*'Indirect NH3 demand sources'!Y$4</f>
        <v>4.38006825E-2</v>
      </c>
      <c r="Z46">
        <f>'Methanol demand shares'!Z46*'Indirect NH3 demand sources'!Z$4</f>
        <v>5.7738299999999992E-2</v>
      </c>
      <c r="AA46">
        <f>'Methanol demand shares'!AA46*'Indirect NH3 demand sources'!AA$4</f>
        <v>7.135523249999999E-2</v>
      </c>
      <c r="AB46">
        <f>'Methanol demand shares'!AB46*'Indirect NH3 demand sources'!AB$4</f>
        <v>8.4387654000000006E-2</v>
      </c>
      <c r="AC46">
        <f>'Methanol demand shares'!AC46*'Indirect NH3 demand sources'!AC$4</f>
        <v>9.7038028499999998E-2</v>
      </c>
      <c r="AD46">
        <f>'Methanol demand shares'!AD46*'Indirect NH3 demand sources'!AD$4</f>
        <v>0.10931914799999999</v>
      </c>
      <c r="AE46">
        <f>'Methanol demand shares'!AE46*'Indirect NH3 demand sources'!AE$4</f>
        <v>0.121242771</v>
      </c>
      <c r="AF46">
        <f>'Methanol demand shares'!AF46*'Indirect NH3 demand sources'!AF$4</f>
        <v>0.13281339</v>
      </c>
      <c r="AG46">
        <f>'Methanol demand shares'!AG46*'Indirect NH3 demand sources'!AG$4</f>
        <v>0.15005359440000002</v>
      </c>
      <c r="AH46">
        <f>'Methanol demand shares'!AH46*'Indirect NH3 demand sources'!AH$4</f>
        <v>0.16698720000000003</v>
      </c>
      <c r="AI46">
        <f>'Methanol demand shares'!AI46*'Indirect NH3 demand sources'!AI$4</f>
        <v>0.18362240100000005</v>
      </c>
      <c r="AJ46">
        <f>'Methanol demand shares'!AJ46*'Indirect NH3 demand sources'!AJ$4</f>
        <v>0.19996732080000004</v>
      </c>
      <c r="AK46">
        <f>'Methanol demand shares'!AK46*'Indirect NH3 demand sources'!AK$4</f>
        <v>0.21602952300000008</v>
      </c>
      <c r="AL46">
        <f>'Methanol demand shares'!AL46*'Indirect NH3 demand sources'!AL$4</f>
        <v>0.23181794760000007</v>
      </c>
      <c r="AM46">
        <f>'Methanol demand shares'!AM46*'Indirect NH3 demand sources'!AM$4</f>
        <v>0.24734050110000011</v>
      </c>
      <c r="AN46">
        <f>'Methanol demand shares'!AN46*'Indirect NH3 demand sources'!AN$4</f>
        <v>0.26260509960000011</v>
      </c>
      <c r="AO46">
        <f>'Methanol demand shares'!AO46*'Indirect NH3 demand sources'!AO$4</f>
        <v>0.27761981250000012</v>
      </c>
      <c r="AP46">
        <f>'Methanol demand shares'!AP46*'Indirect NH3 demand sources'!AP$4</f>
        <v>0.292394196</v>
      </c>
    </row>
    <row r="47" spans="1:42" x14ac:dyDescent="0.3">
      <c r="A47" t="s">
        <v>46</v>
      </c>
      <c r="B47">
        <f>'Methanol demand shares'!B47*'Indirect NH3 demand sources'!B$4</f>
        <v>0</v>
      </c>
      <c r="C47">
        <f>'Methanol demand shares'!C47*'Indirect NH3 demand sources'!C$4</f>
        <v>0</v>
      </c>
      <c r="D47">
        <f>'Methanol demand shares'!D47*'Indirect NH3 demand sources'!D$4</f>
        <v>0</v>
      </c>
      <c r="E47">
        <f>'Methanol demand shares'!E47*'Indirect NH3 demand sources'!E$4</f>
        <v>0</v>
      </c>
      <c r="F47">
        <f>'Methanol demand shares'!F47*'Indirect NH3 demand sources'!F$4</f>
        <v>0</v>
      </c>
      <c r="G47">
        <f>'Methanol demand shares'!G47*'Indirect NH3 demand sources'!G$4</f>
        <v>0</v>
      </c>
      <c r="H47">
        <f>'Methanol demand shares'!H47*'Indirect NH3 demand sources'!H$4</f>
        <v>0</v>
      </c>
      <c r="I47">
        <f>'Methanol demand shares'!I47*'Indirect NH3 demand sources'!I$4</f>
        <v>0</v>
      </c>
      <c r="J47">
        <f>'Methanol demand shares'!J47*'Indirect NH3 demand sources'!J$4</f>
        <v>0</v>
      </c>
      <c r="K47">
        <f>'Methanol demand shares'!K47*'Indirect NH3 demand sources'!K$4</f>
        <v>0</v>
      </c>
      <c r="L47">
        <f>'Methanol demand shares'!L47*'Indirect NH3 demand sources'!L$4</f>
        <v>0</v>
      </c>
      <c r="M47">
        <f>'Methanol demand shares'!M47*'Indirect NH3 demand sources'!M$4</f>
        <v>0</v>
      </c>
      <c r="N47">
        <f>'Methanol demand shares'!N47*'Indirect NH3 demand sources'!N$4</f>
        <v>0</v>
      </c>
      <c r="O47">
        <f>'Methanol demand shares'!O47*'Indirect NH3 demand sources'!O$4</f>
        <v>0</v>
      </c>
      <c r="P47">
        <f>'Methanol demand shares'!P47*'Indirect NH3 demand sources'!P$4</f>
        <v>0</v>
      </c>
      <c r="Q47">
        <f>'Methanol demand shares'!Q47*'Indirect NH3 demand sources'!Q$4</f>
        <v>0</v>
      </c>
      <c r="R47">
        <f>'Methanol demand shares'!R47*'Indirect NH3 demand sources'!R$4</f>
        <v>0</v>
      </c>
      <c r="S47">
        <f>'Methanol demand shares'!S47*'Indirect NH3 demand sources'!S$4</f>
        <v>0</v>
      </c>
      <c r="T47">
        <f>'Methanol demand shares'!T47*'Indirect NH3 demand sources'!T$4</f>
        <v>0</v>
      </c>
      <c r="U47">
        <f>'Methanol demand shares'!U47*'Indirect NH3 demand sources'!U$4</f>
        <v>0</v>
      </c>
      <c r="V47">
        <f>'Methanol demand shares'!V47*'Indirect NH3 demand sources'!V$4</f>
        <v>0</v>
      </c>
      <c r="W47">
        <f>'Methanol demand shares'!W47*'Indirect NH3 demand sources'!W$4</f>
        <v>3.5923694999999995E-3</v>
      </c>
      <c r="X47">
        <f>'Methanol demand shares'!X47*'Indirect NH3 demand sources'!X$4</f>
        <v>7.087379999999999E-3</v>
      </c>
      <c r="Y47">
        <f>'Methanol demand shares'!Y47*'Indirect NH3 demand sources'!Y$4</f>
        <v>1.04878305E-2</v>
      </c>
      <c r="Z47">
        <f>'Methanol demand shares'!Z47*'Indirect NH3 demand sources'!Z$4</f>
        <v>1.3796513999999999E-2</v>
      </c>
      <c r="AA47">
        <f>'Methanol demand shares'!AA47*'Indirect NH3 demand sources'!AA$4</f>
        <v>1.70148075E-2</v>
      </c>
      <c r="AB47">
        <f>'Methanol demand shares'!AB47*'Indirect NH3 demand sources'!AB$4</f>
        <v>2.0072781000000001E-2</v>
      </c>
      <c r="AC47">
        <f>'Methanol demand shares'!AC47*'Indirect NH3 demand sources'!AC$4</f>
        <v>2.3026027499999997E-2</v>
      </c>
      <c r="AD47">
        <f>'Methanol demand shares'!AD47*'Indirect NH3 demand sources'!AD$4</f>
        <v>2.5878720000000001E-2</v>
      </c>
      <c r="AE47">
        <f>'Methanol demand shares'!AE47*'Indirect NH3 demand sources'!AE$4</f>
        <v>2.8634701500000002E-2</v>
      </c>
      <c r="AF47">
        <f>'Methanol demand shares'!AF47*'Indirect NH3 demand sources'!AF$4</f>
        <v>3.1296060000000001E-2</v>
      </c>
      <c r="AG47">
        <f>'Methanol demand shares'!AG47*'Indirect NH3 demand sources'!AG$4</f>
        <v>3.5251119900000003E-2</v>
      </c>
      <c r="AH47">
        <f>'Methanol demand shares'!AH47*'Indirect NH3 demand sources'!AH$4</f>
        <v>3.9110899200000007E-2</v>
      </c>
      <c r="AI47">
        <f>'Methanol demand shares'!AI47*'Indirect NH3 demand sources'!AI$4</f>
        <v>4.2878369700000009E-2</v>
      </c>
      <c r="AJ47">
        <f>'Methanol demand shares'!AJ47*'Indirect NH3 demand sources'!AJ$4</f>
        <v>4.6556429400000016E-2</v>
      </c>
      <c r="AK47">
        <f>'Methanol demand shares'!AK47*'Indirect NH3 demand sources'!AK$4</f>
        <v>5.0147739000000018E-2</v>
      </c>
      <c r="AL47">
        <f>'Methanol demand shares'!AL47*'Indirect NH3 demand sources'!AL$4</f>
        <v>5.3655393600000011E-2</v>
      </c>
      <c r="AM47">
        <f>'Methanol demand shares'!AM47*'Indirect NH3 demand sources'!AM$4</f>
        <v>5.7082063500000016E-2</v>
      </c>
      <c r="AN47">
        <f>'Methanol demand shares'!AN47*'Indirect NH3 demand sources'!AN$4</f>
        <v>6.0430462200000021E-2</v>
      </c>
      <c r="AO47">
        <f>'Methanol demand shares'!AO47*'Indirect NH3 demand sources'!AO$4</f>
        <v>6.3703354500000017E-2</v>
      </c>
      <c r="AP47">
        <f>'Methanol demand shares'!AP47*'Indirect NH3 demand sources'!AP$4</f>
        <v>6.6903695999999999E-2</v>
      </c>
    </row>
    <row r="48" spans="1:42" x14ac:dyDescent="0.3">
      <c r="A48" t="s">
        <v>47</v>
      </c>
      <c r="B48">
        <f>'Methanol demand shares'!B48*'Indirect NH3 demand sources'!B$4</f>
        <v>0</v>
      </c>
      <c r="C48">
        <f>'Methanol demand shares'!C48*'Indirect NH3 demand sources'!C$4</f>
        <v>0</v>
      </c>
      <c r="D48">
        <f>'Methanol demand shares'!D48*'Indirect NH3 demand sources'!D$4</f>
        <v>0</v>
      </c>
      <c r="E48">
        <f>'Methanol demand shares'!E48*'Indirect NH3 demand sources'!E$4</f>
        <v>0</v>
      </c>
      <c r="F48">
        <f>'Methanol demand shares'!F48*'Indirect NH3 demand sources'!F$4</f>
        <v>0</v>
      </c>
      <c r="G48">
        <f>'Methanol demand shares'!G48*'Indirect NH3 demand sources'!G$4</f>
        <v>0</v>
      </c>
      <c r="H48">
        <f>'Methanol demand shares'!H48*'Indirect NH3 demand sources'!H$4</f>
        <v>0</v>
      </c>
      <c r="I48">
        <f>'Methanol demand shares'!I48*'Indirect NH3 demand sources'!I$4</f>
        <v>0</v>
      </c>
      <c r="J48">
        <f>'Methanol demand shares'!J48*'Indirect NH3 demand sources'!J$4</f>
        <v>0</v>
      </c>
      <c r="K48">
        <f>'Methanol demand shares'!K48*'Indirect NH3 demand sources'!K$4</f>
        <v>0</v>
      </c>
      <c r="L48">
        <f>'Methanol demand shares'!L48*'Indirect NH3 demand sources'!L$4</f>
        <v>0</v>
      </c>
      <c r="M48">
        <f>'Methanol demand shares'!M48*'Indirect NH3 demand sources'!M$4</f>
        <v>0</v>
      </c>
      <c r="N48">
        <f>'Methanol demand shares'!N48*'Indirect NH3 demand sources'!N$4</f>
        <v>0</v>
      </c>
      <c r="O48">
        <f>'Methanol demand shares'!O48*'Indirect NH3 demand sources'!O$4</f>
        <v>0</v>
      </c>
      <c r="P48">
        <f>'Methanol demand shares'!P48*'Indirect NH3 demand sources'!P$4</f>
        <v>0</v>
      </c>
      <c r="Q48">
        <f>'Methanol demand shares'!Q48*'Indirect NH3 demand sources'!Q$4</f>
        <v>0</v>
      </c>
      <c r="R48">
        <f>'Methanol demand shares'!R48*'Indirect NH3 demand sources'!R$4</f>
        <v>0</v>
      </c>
      <c r="S48">
        <f>'Methanol demand shares'!S48*'Indirect NH3 demand sources'!S$4</f>
        <v>0</v>
      </c>
      <c r="T48">
        <f>'Methanol demand shares'!T48*'Indirect NH3 demand sources'!T$4</f>
        <v>0</v>
      </c>
      <c r="U48">
        <f>'Methanol demand shares'!U48*'Indirect NH3 demand sources'!U$4</f>
        <v>0</v>
      </c>
      <c r="V48">
        <f>'Methanol demand shares'!V48*'Indirect NH3 demand sources'!V$4</f>
        <v>0</v>
      </c>
      <c r="W48">
        <f>'Methanol demand shares'!W48*'Indirect NH3 demand sources'!W$4</f>
        <v>9.0398699999999998E-4</v>
      </c>
      <c r="X48">
        <f>'Methanol demand shares'!X48*'Indirect NH3 demand sources'!X$4</f>
        <v>1.7849699999999999E-3</v>
      </c>
      <c r="Y48">
        <f>'Methanol demand shares'!Y48*'Indirect NH3 demand sources'!Y$4</f>
        <v>2.6436059999999997E-3</v>
      </c>
      <c r="Z48">
        <f>'Methanol demand shares'!Z48*'Indirect NH3 demand sources'!Z$4</f>
        <v>3.4805399999999998E-3</v>
      </c>
      <c r="AA48">
        <f>'Methanol demand shares'!AA48*'Indirect NH3 demand sources'!AA$4</f>
        <v>4.2960749999999999E-3</v>
      </c>
      <c r="AB48">
        <f>'Methanol demand shares'!AB48*'Indirect NH3 demand sources'!AB$4</f>
        <v>5.0769539999999998E-3</v>
      </c>
      <c r="AC48">
        <f>'Methanol demand shares'!AC48*'Indirect NH3 demand sources'!AC$4</f>
        <v>5.8337895000000004E-3</v>
      </c>
      <c r="AD48">
        <f>'Methanol demand shares'!AD48*'Indirect NH3 demand sources'!AD$4</f>
        <v>6.5674319999999998E-3</v>
      </c>
      <c r="AE48">
        <f>'Methanol demand shares'!AE48*'Indirect NH3 demand sources'!AE$4</f>
        <v>7.2786600000000002E-3</v>
      </c>
      <c r="AF48">
        <f>'Methanol demand shares'!AF48*'Indirect NH3 demand sources'!AF$4</f>
        <v>7.9678200000000005E-3</v>
      </c>
      <c r="AG48">
        <f>'Methanol demand shares'!AG48*'Indirect NH3 demand sources'!AG$4</f>
        <v>8.9940015000000012E-3</v>
      </c>
      <c r="AH48">
        <f>'Methanol demand shares'!AH48*'Indirect NH3 demand sources'!AH$4</f>
        <v>1.0000012800000001E-2</v>
      </c>
      <c r="AI48">
        <f>'Methanol demand shares'!AI48*'Indirect NH3 demand sources'!AI$4</f>
        <v>1.0986390900000002E-2</v>
      </c>
      <c r="AJ48">
        <f>'Methanol demand shares'!AJ48*'Indirect NH3 demand sources'!AJ$4</f>
        <v>1.1953702800000002E-2</v>
      </c>
      <c r="AK48">
        <f>'Methanol demand shares'!AK48*'Indirect NH3 demand sources'!AK$4</f>
        <v>1.2902439000000005E-2</v>
      </c>
      <c r="AL48">
        <f>'Methanol demand shares'!AL48*'Indirect NH3 demand sources'!AL$4</f>
        <v>1.3833230400000004E-2</v>
      </c>
      <c r="AM48">
        <f>'Methanol demand shares'!AM48*'Indirect NH3 demand sources'!AM$4</f>
        <v>1.4746614300000004E-2</v>
      </c>
      <c r="AN48">
        <f>'Methanol demand shares'!AN48*'Indirect NH3 demand sources'!AN$4</f>
        <v>1.5643087800000004E-2</v>
      </c>
      <c r="AO48">
        <f>'Methanol demand shares'!AO48*'Indirect NH3 demand sources'!AO$4</f>
        <v>1.6523165100000008E-2</v>
      </c>
      <c r="AP48">
        <f>'Methanol demand shares'!AP48*'Indirect NH3 demand sources'!AP$4</f>
        <v>1.7387567999999999E-2</v>
      </c>
    </row>
    <row r="49" spans="1:42" x14ac:dyDescent="0.3">
      <c r="A49" t="s">
        <v>48</v>
      </c>
      <c r="B49">
        <f>'Methanol demand shares'!B49*'Indirect NH3 demand sources'!B$4</f>
        <v>0</v>
      </c>
      <c r="C49">
        <f>'Methanol demand shares'!C49*'Indirect NH3 demand sources'!C$4</f>
        <v>0</v>
      </c>
      <c r="D49">
        <f>'Methanol demand shares'!D49*'Indirect NH3 demand sources'!D$4</f>
        <v>0</v>
      </c>
      <c r="E49">
        <f>'Methanol demand shares'!E49*'Indirect NH3 demand sources'!E$4</f>
        <v>0</v>
      </c>
      <c r="F49">
        <f>'Methanol demand shares'!F49*'Indirect NH3 demand sources'!F$4</f>
        <v>0</v>
      </c>
      <c r="G49">
        <f>'Methanol demand shares'!G49*'Indirect NH3 demand sources'!G$4</f>
        <v>0</v>
      </c>
      <c r="H49">
        <f>'Methanol demand shares'!H49*'Indirect NH3 demand sources'!H$4</f>
        <v>0</v>
      </c>
      <c r="I49">
        <f>'Methanol demand shares'!I49*'Indirect NH3 demand sources'!I$4</f>
        <v>0</v>
      </c>
      <c r="J49">
        <f>'Methanol demand shares'!J49*'Indirect NH3 demand sources'!J$4</f>
        <v>0</v>
      </c>
      <c r="K49">
        <f>'Methanol demand shares'!K49*'Indirect NH3 demand sources'!K$4</f>
        <v>0</v>
      </c>
      <c r="L49">
        <f>'Methanol demand shares'!L49*'Indirect NH3 demand sources'!L$4</f>
        <v>0</v>
      </c>
      <c r="M49">
        <f>'Methanol demand shares'!M49*'Indirect NH3 demand sources'!M$4</f>
        <v>0</v>
      </c>
      <c r="N49">
        <f>'Methanol demand shares'!N49*'Indirect NH3 demand sources'!N$4</f>
        <v>0</v>
      </c>
      <c r="O49">
        <f>'Methanol demand shares'!O49*'Indirect NH3 demand sources'!O$4</f>
        <v>0</v>
      </c>
      <c r="P49">
        <f>'Methanol demand shares'!P49*'Indirect NH3 demand sources'!P$4</f>
        <v>0</v>
      </c>
      <c r="Q49">
        <f>'Methanol demand shares'!Q49*'Indirect NH3 demand sources'!Q$4</f>
        <v>0</v>
      </c>
      <c r="R49">
        <f>'Methanol demand shares'!R49*'Indirect NH3 demand sources'!R$4</f>
        <v>0</v>
      </c>
      <c r="S49">
        <f>'Methanol demand shares'!S49*'Indirect NH3 demand sources'!S$4</f>
        <v>0</v>
      </c>
      <c r="T49">
        <f>'Methanol demand shares'!T49*'Indirect NH3 demand sources'!T$4</f>
        <v>0</v>
      </c>
      <c r="U49">
        <f>'Methanol demand shares'!U49*'Indirect NH3 demand sources'!U$4</f>
        <v>0</v>
      </c>
      <c r="V49">
        <f>'Methanol demand shares'!V49*'Indirect NH3 demand sources'!V$4</f>
        <v>0</v>
      </c>
      <c r="W49">
        <f>'Methanol demand shares'!W49*'Indirect NH3 demand sources'!W$4</f>
        <v>1.6133219999999999E-3</v>
      </c>
      <c r="X49">
        <f>'Methanol demand shares'!X49*'Indirect NH3 demand sources'!X$4</f>
        <v>3.1812120000000001E-3</v>
      </c>
      <c r="Y49">
        <f>'Methanol demand shares'!Y49*'Indirect NH3 demand sources'!Y$4</f>
        <v>4.7051189999999998E-3</v>
      </c>
      <c r="Z49">
        <f>'Methanol demand shares'!Z49*'Indirect NH3 demand sources'!Z$4</f>
        <v>6.1864740000000008E-3</v>
      </c>
      <c r="AA49">
        <f>'Methanol demand shares'!AA49*'Indirect NH3 demand sources'!AA$4</f>
        <v>7.6260450000000006E-3</v>
      </c>
      <c r="AB49">
        <f>'Methanol demand shares'!AB49*'Indirect NH3 demand sources'!AB$4</f>
        <v>8.9984519999999988E-3</v>
      </c>
      <c r="AC49">
        <f>'Methanol demand shares'!AC49*'Indirect NH3 demand sources'!AC$4</f>
        <v>1.03244085E-2</v>
      </c>
      <c r="AD49">
        <f>'Methanol demand shares'!AD49*'Indirect NH3 demand sources'!AD$4</f>
        <v>1.160574E-2</v>
      </c>
      <c r="AE49">
        <f>'Methanol demand shares'!AE49*'Indirect NH3 demand sources'!AE$4</f>
        <v>1.2844143000000001E-2</v>
      </c>
      <c r="AF49">
        <f>'Methanol demand shares'!AF49*'Indirect NH3 demand sources'!AF$4</f>
        <v>1.4040495E-2</v>
      </c>
      <c r="AG49">
        <f>'Methanol demand shares'!AG49*'Indirect NH3 demand sources'!AG$4</f>
        <v>1.5819637500000001E-2</v>
      </c>
      <c r="AH49">
        <f>'Methanol demand shares'!AH49*'Indirect NH3 demand sources'!AH$4</f>
        <v>1.7557344000000003E-2</v>
      </c>
      <c r="AI49">
        <f>'Methanol demand shares'!AI49*'Indirect NH3 demand sources'!AI$4</f>
        <v>1.9254965700000005E-2</v>
      </c>
      <c r="AJ49">
        <f>'Methanol demand shares'!AJ49*'Indirect NH3 demand sources'!AJ$4</f>
        <v>2.0913867000000006E-2</v>
      </c>
      <c r="AK49">
        <f>'Methanol demand shares'!AK49*'Indirect NH3 demand sources'!AK$4</f>
        <v>2.2535268000000004E-2</v>
      </c>
      <c r="AL49">
        <f>'Methanol demand shares'!AL49*'Indirect NH3 demand sources'!AL$4</f>
        <v>2.4120606000000006E-2</v>
      </c>
      <c r="AM49">
        <f>'Methanol demand shares'!AM49*'Indirect NH3 demand sources'!AM$4</f>
        <v>2.5671076200000007E-2</v>
      </c>
      <c r="AN49">
        <f>'Methanol demand shares'!AN49*'Indirect NH3 demand sources'!AN$4</f>
        <v>2.7187982400000008E-2</v>
      </c>
      <c r="AO49">
        <f>'Methanol demand shares'!AO49*'Indirect NH3 demand sources'!AO$4</f>
        <v>2.8672552200000014E-2</v>
      </c>
      <c r="AP49">
        <f>'Methanol demand shares'!AP49*'Indirect NH3 demand sources'!AP$4</f>
        <v>3.0126168000000002E-2</v>
      </c>
    </row>
    <row r="50" spans="1:42" x14ac:dyDescent="0.3">
      <c r="A50" t="s">
        <v>49</v>
      </c>
      <c r="B50">
        <f>'Methanol demand shares'!B50*'Indirect NH3 demand sources'!B$4</f>
        <v>0</v>
      </c>
      <c r="C50">
        <f>'Methanol demand shares'!C50*'Indirect NH3 demand sources'!C$4</f>
        <v>0</v>
      </c>
      <c r="D50">
        <f>'Methanol demand shares'!D50*'Indirect NH3 demand sources'!D$4</f>
        <v>0</v>
      </c>
      <c r="E50">
        <f>'Methanol demand shares'!E50*'Indirect NH3 demand sources'!E$4</f>
        <v>0</v>
      </c>
      <c r="F50">
        <f>'Methanol demand shares'!F50*'Indirect NH3 demand sources'!F$4</f>
        <v>0</v>
      </c>
      <c r="G50">
        <f>'Methanol demand shares'!G50*'Indirect NH3 demand sources'!G$4</f>
        <v>0</v>
      </c>
      <c r="H50">
        <f>'Methanol demand shares'!H50*'Indirect NH3 demand sources'!H$4</f>
        <v>0</v>
      </c>
      <c r="I50">
        <f>'Methanol demand shares'!I50*'Indirect NH3 demand sources'!I$4</f>
        <v>0</v>
      </c>
      <c r="J50">
        <f>'Methanol demand shares'!J50*'Indirect NH3 demand sources'!J$4</f>
        <v>0</v>
      </c>
      <c r="K50">
        <f>'Methanol demand shares'!K50*'Indirect NH3 demand sources'!K$4</f>
        <v>0</v>
      </c>
      <c r="L50">
        <f>'Methanol demand shares'!L50*'Indirect NH3 demand sources'!L$4</f>
        <v>0</v>
      </c>
      <c r="M50">
        <f>'Methanol demand shares'!M50*'Indirect NH3 demand sources'!M$4</f>
        <v>0</v>
      </c>
      <c r="N50">
        <f>'Methanol demand shares'!N50*'Indirect NH3 demand sources'!N$4</f>
        <v>0</v>
      </c>
      <c r="O50">
        <f>'Methanol demand shares'!O50*'Indirect NH3 demand sources'!O$4</f>
        <v>0</v>
      </c>
      <c r="P50">
        <f>'Methanol demand shares'!P50*'Indirect NH3 demand sources'!P$4</f>
        <v>0</v>
      </c>
      <c r="Q50">
        <f>'Methanol demand shares'!Q50*'Indirect NH3 demand sources'!Q$4</f>
        <v>0</v>
      </c>
      <c r="R50">
        <f>'Methanol demand shares'!R50*'Indirect NH3 demand sources'!R$4</f>
        <v>0</v>
      </c>
      <c r="S50">
        <f>'Methanol demand shares'!S50*'Indirect NH3 demand sources'!S$4</f>
        <v>0</v>
      </c>
      <c r="T50">
        <f>'Methanol demand shares'!T50*'Indirect NH3 demand sources'!T$4</f>
        <v>0</v>
      </c>
      <c r="U50">
        <f>'Methanol demand shares'!U50*'Indirect NH3 demand sources'!U$4</f>
        <v>0</v>
      </c>
      <c r="V50">
        <f>'Methanol demand shares'!V50*'Indirect NH3 demand sources'!V$4</f>
        <v>0</v>
      </c>
      <c r="W50">
        <f>'Methanol demand shares'!W50*'Indirect NH3 demand sources'!W$4</f>
        <v>2.44960725E-2</v>
      </c>
      <c r="X50">
        <f>'Methanol demand shares'!X50*'Indirect NH3 demand sources'!X$4</f>
        <v>5.0035056000000001E-2</v>
      </c>
      <c r="Y50">
        <f>'Methanol demand shares'!Y50*'Indirect NH3 demand sources'!Y$4</f>
        <v>7.6460980499999998E-2</v>
      </c>
      <c r="Z50">
        <f>'Methanol demand shares'!Z50*'Indirect NH3 demand sources'!Z$4</f>
        <v>0.10362295199999999</v>
      </c>
      <c r="AA50">
        <f>'Methanol demand shares'!AA50*'Indirect NH3 demand sources'!AA$4</f>
        <v>0.1313720025</v>
      </c>
      <c r="AB50">
        <f>'Methanol demand shares'!AB50*'Indirect NH3 demand sources'!AB$4</f>
        <v>0.15920261099999999</v>
      </c>
      <c r="AC50">
        <f>'Methanol demand shares'!AC50*'Indirect NH3 demand sources'!AC$4</f>
        <v>0.18723332249999999</v>
      </c>
      <c r="AD50">
        <f>'Methanol demand shares'!AD50*'Indirect NH3 demand sources'!AD$4</f>
        <v>0.21532146000000002</v>
      </c>
      <c r="AE50">
        <f>'Methanol demand shares'!AE50*'Indirect NH3 demand sources'!AE$4</f>
        <v>0.24338226599999999</v>
      </c>
      <c r="AF50">
        <f>'Methanol demand shares'!AF50*'Indirect NH3 demand sources'!AF$4</f>
        <v>0.27130879499999999</v>
      </c>
      <c r="AG50">
        <f>'Methanol demand shares'!AG50*'Indirect NH3 demand sources'!AG$4</f>
        <v>0.3085011855</v>
      </c>
      <c r="AH50">
        <f>'Methanol demand shares'!AH50*'Indirect NH3 demand sources'!AH$4</f>
        <v>0.34519618560000009</v>
      </c>
      <c r="AI50">
        <f>'Methanol demand shares'!AI50*'Indirect NH3 demand sources'!AI$4</f>
        <v>0.38132139690000005</v>
      </c>
      <c r="AJ50">
        <f>'Methanol demand shares'!AJ50*'Indirect NH3 demand sources'!AJ$4</f>
        <v>0.41681514420000015</v>
      </c>
      <c r="AK50">
        <f>'Methanol demand shares'!AK50*'Indirect NH3 demand sources'!AK$4</f>
        <v>0.45162489000000011</v>
      </c>
      <c r="AL50">
        <f>'Methanol demand shares'!AL50*'Indirect NH3 demand sources'!AL$4</f>
        <v>0.48571087200000018</v>
      </c>
      <c r="AM50">
        <f>'Methanol demand shares'!AM50*'Indirect NH3 demand sources'!AM$4</f>
        <v>0.51903996210000025</v>
      </c>
      <c r="AN50">
        <f>'Methanol demand shares'!AN50*'Indirect NH3 demand sources'!AN$4</f>
        <v>0.55158750420000024</v>
      </c>
      <c r="AO50">
        <f>'Methanol demand shares'!AO50*'Indirect NH3 demand sources'!AO$4</f>
        <v>0.58333635180000021</v>
      </c>
      <c r="AP50">
        <f>'Methanol demand shares'!AP50*'Indirect NH3 demand sources'!AP$4</f>
        <v>0.61427898000000003</v>
      </c>
    </row>
    <row r="51" spans="1:42" x14ac:dyDescent="0.3">
      <c r="A51" t="s">
        <v>50</v>
      </c>
      <c r="B51">
        <f>'Methanol demand shares'!B51*'Indirect NH3 demand sources'!B$4</f>
        <v>0</v>
      </c>
      <c r="C51">
        <f>'Methanol demand shares'!C51*'Indirect NH3 demand sources'!C$4</f>
        <v>0</v>
      </c>
      <c r="D51">
        <f>'Methanol demand shares'!D51*'Indirect NH3 demand sources'!D$4</f>
        <v>0</v>
      </c>
      <c r="E51">
        <f>'Methanol demand shares'!E51*'Indirect NH3 demand sources'!E$4</f>
        <v>0</v>
      </c>
      <c r="F51">
        <f>'Methanol demand shares'!F51*'Indirect NH3 demand sources'!F$4</f>
        <v>0</v>
      </c>
      <c r="G51">
        <f>'Methanol demand shares'!G51*'Indirect NH3 demand sources'!G$4</f>
        <v>0</v>
      </c>
      <c r="H51">
        <f>'Methanol demand shares'!H51*'Indirect NH3 demand sources'!H$4</f>
        <v>0</v>
      </c>
      <c r="I51">
        <f>'Methanol demand shares'!I51*'Indirect NH3 demand sources'!I$4</f>
        <v>0</v>
      </c>
      <c r="J51">
        <f>'Methanol demand shares'!J51*'Indirect NH3 demand sources'!J$4</f>
        <v>0</v>
      </c>
      <c r="K51">
        <f>'Methanol demand shares'!K51*'Indirect NH3 demand sources'!K$4</f>
        <v>0</v>
      </c>
      <c r="L51">
        <f>'Methanol demand shares'!L51*'Indirect NH3 demand sources'!L$4</f>
        <v>0</v>
      </c>
      <c r="M51">
        <f>'Methanol demand shares'!M51*'Indirect NH3 demand sources'!M$4</f>
        <v>0</v>
      </c>
      <c r="N51">
        <f>'Methanol demand shares'!N51*'Indirect NH3 demand sources'!N$4</f>
        <v>0</v>
      </c>
      <c r="O51">
        <f>'Methanol demand shares'!O51*'Indirect NH3 demand sources'!O$4</f>
        <v>0</v>
      </c>
      <c r="P51">
        <f>'Methanol demand shares'!P51*'Indirect NH3 demand sources'!P$4</f>
        <v>0</v>
      </c>
      <c r="Q51">
        <f>'Methanol demand shares'!Q51*'Indirect NH3 demand sources'!Q$4</f>
        <v>0</v>
      </c>
      <c r="R51">
        <f>'Methanol demand shares'!R51*'Indirect NH3 demand sources'!R$4</f>
        <v>0</v>
      </c>
      <c r="S51">
        <f>'Methanol demand shares'!S51*'Indirect NH3 demand sources'!S$4</f>
        <v>0</v>
      </c>
      <c r="T51">
        <f>'Methanol demand shares'!T51*'Indirect NH3 demand sources'!T$4</f>
        <v>0</v>
      </c>
      <c r="U51">
        <f>'Methanol demand shares'!U51*'Indirect NH3 demand sources'!U$4</f>
        <v>0</v>
      </c>
      <c r="V51">
        <f>'Methanol demand shares'!V51*'Indirect NH3 demand sources'!V$4</f>
        <v>0</v>
      </c>
      <c r="W51">
        <f>'Methanol demand shares'!W51*'Indirect NH3 demand sources'!W$4</f>
        <v>1.6964405999999998E-2</v>
      </c>
      <c r="X51">
        <f>'Methanol demand shares'!X51*'Indirect NH3 demand sources'!X$4</f>
        <v>3.3845814000000002E-2</v>
      </c>
      <c r="Y51">
        <f>'Methanol demand shares'!Y51*'Indirect NH3 demand sources'!Y$4</f>
        <v>5.0507914499999994E-2</v>
      </c>
      <c r="Z51">
        <f>'Methanol demand shares'!Z51*'Indirect NH3 demand sources'!Z$4</f>
        <v>6.6835800000000001E-2</v>
      </c>
      <c r="AA51">
        <f>'Methanol demand shares'!AA51*'Indirect NH3 demand sources'!AA$4</f>
        <v>8.2728375000000007E-2</v>
      </c>
      <c r="AB51">
        <f>'Methanol demand shares'!AB51*'Indirect NH3 demand sources'!AB$4</f>
        <v>9.8344403999999996E-2</v>
      </c>
      <c r="AC51">
        <f>'Methanol demand shares'!AC51*'Indirect NH3 demand sources'!AC$4</f>
        <v>0.11344214700000001</v>
      </c>
      <c r="AD51">
        <f>'Methanol demand shares'!AD51*'Indirect NH3 demand sources'!AD$4</f>
        <v>0.1279506</v>
      </c>
      <c r="AE51">
        <f>'Methanol demand shares'!AE51*'Indirect NH3 demand sources'!AE$4</f>
        <v>0.1418445945</v>
      </c>
      <c r="AF51">
        <f>'Methanol demand shares'!AF51*'Indirect NH3 demand sources'!AF$4</f>
        <v>0.15508876500000002</v>
      </c>
      <c r="AG51">
        <f>'Methanol demand shares'!AG51*'Indirect NH3 demand sources'!AG$4</f>
        <v>0.1741388247</v>
      </c>
      <c r="AH51">
        <f>'Methanol demand shares'!AH51*'Indirect NH3 demand sources'!AH$4</f>
        <v>0.19236144000000002</v>
      </c>
      <c r="AI51">
        <f>'Methanol demand shares'!AI51*'Indirect NH3 demand sources'!AI$4</f>
        <v>0.20974097220000004</v>
      </c>
      <c r="AJ51">
        <f>'Methanol demand shares'!AJ51*'Indirect NH3 demand sources'!AJ$4</f>
        <v>0.22627222020000004</v>
      </c>
      <c r="AK51">
        <f>'Methanol demand shares'!AK51*'Indirect NH3 demand sources'!AK$4</f>
        <v>0.24195777000000007</v>
      </c>
      <c r="AL51">
        <f>'Methanol demand shares'!AL51*'Indirect NH3 demand sources'!AL$4</f>
        <v>0.25669661520000009</v>
      </c>
      <c r="AM51">
        <f>'Methanol demand shares'!AM51*'Indirect NH3 demand sources'!AM$4</f>
        <v>0.2705949774000001</v>
      </c>
      <c r="AN51">
        <f>'Methanol demand shares'!AN51*'Indirect NH3 demand sources'!AN$4</f>
        <v>0.2836727904000001</v>
      </c>
      <c r="AO51">
        <f>'Methanol demand shares'!AO51*'Indirect NH3 demand sources'!AO$4</f>
        <v>0.29595333930000012</v>
      </c>
      <c r="AP51">
        <f>'Methanol demand shares'!AP51*'Indirect NH3 demand sources'!AP$4</f>
        <v>0.30746401200000001</v>
      </c>
    </row>
    <row r="52" spans="1:42" x14ac:dyDescent="0.3">
      <c r="A52" t="s">
        <v>51</v>
      </c>
      <c r="B52">
        <f>'Methanol demand shares'!B52*'Indirect NH3 demand sources'!B$4</f>
        <v>0</v>
      </c>
      <c r="C52">
        <f>'Methanol demand shares'!C52*'Indirect NH3 demand sources'!C$4</f>
        <v>0</v>
      </c>
      <c r="D52">
        <f>'Methanol demand shares'!D52*'Indirect NH3 demand sources'!D$4</f>
        <v>0</v>
      </c>
      <c r="E52">
        <f>'Methanol demand shares'!E52*'Indirect NH3 demand sources'!E$4</f>
        <v>0</v>
      </c>
      <c r="F52">
        <f>'Methanol demand shares'!F52*'Indirect NH3 demand sources'!F$4</f>
        <v>0</v>
      </c>
      <c r="G52">
        <f>'Methanol demand shares'!G52*'Indirect NH3 demand sources'!G$4</f>
        <v>0</v>
      </c>
      <c r="H52">
        <f>'Methanol demand shares'!H52*'Indirect NH3 demand sources'!H$4</f>
        <v>0</v>
      </c>
      <c r="I52">
        <f>'Methanol demand shares'!I52*'Indirect NH3 demand sources'!I$4</f>
        <v>0</v>
      </c>
      <c r="J52">
        <f>'Methanol demand shares'!J52*'Indirect NH3 demand sources'!J$4</f>
        <v>0</v>
      </c>
      <c r="K52">
        <f>'Methanol demand shares'!K52*'Indirect NH3 demand sources'!K$4</f>
        <v>0</v>
      </c>
      <c r="L52">
        <f>'Methanol demand shares'!L52*'Indirect NH3 demand sources'!L$4</f>
        <v>0</v>
      </c>
      <c r="M52">
        <f>'Methanol demand shares'!M52*'Indirect NH3 demand sources'!M$4</f>
        <v>0</v>
      </c>
      <c r="N52">
        <f>'Methanol demand shares'!N52*'Indirect NH3 demand sources'!N$4</f>
        <v>0</v>
      </c>
      <c r="O52">
        <f>'Methanol demand shares'!O52*'Indirect NH3 demand sources'!O$4</f>
        <v>0</v>
      </c>
      <c r="P52">
        <f>'Methanol demand shares'!P52*'Indirect NH3 demand sources'!P$4</f>
        <v>0</v>
      </c>
      <c r="Q52">
        <f>'Methanol demand shares'!Q52*'Indirect NH3 demand sources'!Q$4</f>
        <v>0</v>
      </c>
      <c r="R52">
        <f>'Methanol demand shares'!R52*'Indirect NH3 demand sources'!R$4</f>
        <v>0</v>
      </c>
      <c r="S52">
        <f>'Methanol demand shares'!S52*'Indirect NH3 demand sources'!S$4</f>
        <v>0</v>
      </c>
      <c r="T52">
        <f>'Methanol demand shares'!T52*'Indirect NH3 demand sources'!T$4</f>
        <v>0</v>
      </c>
      <c r="U52">
        <f>'Methanol demand shares'!U52*'Indirect NH3 demand sources'!U$4</f>
        <v>0</v>
      </c>
      <c r="V52">
        <f>'Methanol demand shares'!V52*'Indirect NH3 demand sources'!V$4</f>
        <v>0</v>
      </c>
      <c r="W52">
        <f>'Methanol demand shares'!W52*'Indirect NH3 demand sources'!W$4</f>
        <v>2.0043870000000002E-2</v>
      </c>
      <c r="X52">
        <f>'Methanol demand shares'!X52*'Indirect NH3 demand sources'!X$4</f>
        <v>4.0273701000000002E-2</v>
      </c>
      <c r="Y52">
        <f>'Methanol demand shares'!Y52*'Indirect NH3 demand sources'!Y$4</f>
        <v>6.0667371000000005E-2</v>
      </c>
      <c r="Z52">
        <f>'Methanol demand shares'!Z52*'Indirect NH3 demand sources'!Z$4</f>
        <v>8.1209370000000003E-2</v>
      </c>
      <c r="AA52">
        <f>'Methanol demand shares'!AA52*'Indirect NH3 demand sources'!AA$4</f>
        <v>0.1018816875</v>
      </c>
      <c r="AB52">
        <f>'Methanol demand shares'!AB52*'Indirect NH3 demand sources'!AB$4</f>
        <v>0.122728536</v>
      </c>
      <c r="AC52">
        <f>'Methanol demand shares'!AC52*'Indirect NH3 demand sources'!AC$4</f>
        <v>0.14371348950000001</v>
      </c>
      <c r="AD52">
        <f>'Methanol demand shares'!AD52*'Indirect NH3 demand sources'!AD$4</f>
        <v>0.16483434</v>
      </c>
      <c r="AE52">
        <f>'Methanol demand shares'!AE52*'Indirect NH3 demand sources'!AE$4</f>
        <v>0.18609043950000001</v>
      </c>
      <c r="AF52">
        <f>'Methanol demand shares'!AF52*'Indirect NH3 demand sources'!AF$4</f>
        <v>0.20747259000000001</v>
      </c>
      <c r="AG52">
        <f>'Methanol demand shares'!AG52*'Indirect NH3 demand sources'!AG$4</f>
        <v>0.23830346250000004</v>
      </c>
      <c r="AH52">
        <f>'Methanol demand shares'!AH52*'Indirect NH3 demand sources'!AH$4</f>
        <v>0.26960169600000006</v>
      </c>
      <c r="AI52">
        <f>'Methanol demand shares'!AI52*'Indirect NH3 demand sources'!AI$4</f>
        <v>0.30137657550000008</v>
      </c>
      <c r="AJ52">
        <f>'Methanol demand shares'!AJ52*'Indirect NH3 demand sources'!AJ$4</f>
        <v>0.33363748080000011</v>
      </c>
      <c r="AK52">
        <f>'Methanol demand shares'!AK52*'Indirect NH3 demand sources'!AK$4</f>
        <v>0.36639264450000014</v>
      </c>
      <c r="AL52">
        <f>'Methanol demand shares'!AL52*'Indirect NH3 demand sources'!AL$4</f>
        <v>0.39965285760000013</v>
      </c>
      <c r="AM52">
        <f>'Methanol demand shares'!AM52*'Indirect NH3 demand sources'!AM$4</f>
        <v>0.43342715790000014</v>
      </c>
      <c r="AN52">
        <f>'Methanol demand shares'!AN52*'Indirect NH3 demand sources'!AN$4</f>
        <v>0.46772470320000015</v>
      </c>
      <c r="AO52">
        <f>'Methanol demand shares'!AO52*'Indirect NH3 demand sources'!AO$4</f>
        <v>0.50255485530000021</v>
      </c>
      <c r="AP52">
        <f>'Methanol demand shares'!AP52*'Indirect NH3 demand sources'!AP$4</f>
        <v>0.53792996400000004</v>
      </c>
    </row>
    <row r="53" spans="1:42" x14ac:dyDescent="0.3">
      <c r="A53" t="s">
        <v>52</v>
      </c>
      <c r="B53">
        <f>'Methanol demand shares'!B53*'Indirect NH3 demand sources'!B$4</f>
        <v>0</v>
      </c>
      <c r="C53">
        <f>'Methanol demand shares'!C53*'Indirect NH3 demand sources'!C$4</f>
        <v>0</v>
      </c>
      <c r="D53">
        <f>'Methanol demand shares'!D53*'Indirect NH3 demand sources'!D$4</f>
        <v>0</v>
      </c>
      <c r="E53">
        <f>'Methanol demand shares'!E53*'Indirect NH3 demand sources'!E$4</f>
        <v>0</v>
      </c>
      <c r="F53">
        <f>'Methanol demand shares'!F53*'Indirect NH3 demand sources'!F$4</f>
        <v>0</v>
      </c>
      <c r="G53">
        <f>'Methanol demand shares'!G53*'Indirect NH3 demand sources'!G$4</f>
        <v>0</v>
      </c>
      <c r="H53">
        <f>'Methanol demand shares'!H53*'Indirect NH3 demand sources'!H$4</f>
        <v>0</v>
      </c>
      <c r="I53">
        <f>'Methanol demand shares'!I53*'Indirect NH3 demand sources'!I$4</f>
        <v>0</v>
      </c>
      <c r="J53">
        <f>'Methanol demand shares'!J53*'Indirect NH3 demand sources'!J$4</f>
        <v>0</v>
      </c>
      <c r="K53">
        <f>'Methanol demand shares'!K53*'Indirect NH3 demand sources'!K$4</f>
        <v>0</v>
      </c>
      <c r="L53">
        <f>'Methanol demand shares'!L53*'Indirect NH3 demand sources'!L$4</f>
        <v>0</v>
      </c>
      <c r="M53">
        <f>'Methanol demand shares'!M53*'Indirect NH3 demand sources'!M$4</f>
        <v>0</v>
      </c>
      <c r="N53">
        <f>'Methanol demand shares'!N53*'Indirect NH3 demand sources'!N$4</f>
        <v>0</v>
      </c>
      <c r="O53">
        <f>'Methanol demand shares'!O53*'Indirect NH3 demand sources'!O$4</f>
        <v>0</v>
      </c>
      <c r="P53">
        <f>'Methanol demand shares'!P53*'Indirect NH3 demand sources'!P$4</f>
        <v>0</v>
      </c>
      <c r="Q53">
        <f>'Methanol demand shares'!Q53*'Indirect NH3 demand sources'!Q$4</f>
        <v>0</v>
      </c>
      <c r="R53">
        <f>'Methanol demand shares'!R53*'Indirect NH3 demand sources'!R$4</f>
        <v>0</v>
      </c>
      <c r="S53">
        <f>'Methanol demand shares'!S53*'Indirect NH3 demand sources'!S$4</f>
        <v>0</v>
      </c>
      <c r="T53">
        <f>'Methanol demand shares'!T53*'Indirect NH3 demand sources'!T$4</f>
        <v>0</v>
      </c>
      <c r="U53">
        <f>'Methanol demand shares'!U53*'Indirect NH3 demand sources'!U$4</f>
        <v>0</v>
      </c>
      <c r="V53">
        <f>'Methanol demand shares'!V53*'Indirect NH3 demand sources'!V$4</f>
        <v>0</v>
      </c>
      <c r="W53">
        <f>'Methanol demand shares'!W53*'Indirect NH3 demand sources'!W$4</f>
        <v>1.8942779999999999E-2</v>
      </c>
      <c r="X53">
        <f>'Methanol demand shares'!X53*'Indirect NH3 demand sources'!X$4</f>
        <v>3.7476465E-2</v>
      </c>
      <c r="Y53">
        <f>'Methanol demand shares'!Y53*'Indirect NH3 demand sources'!Y$4</f>
        <v>5.5637450999999997E-2</v>
      </c>
      <c r="Z53">
        <f>'Methanol demand shares'!Z53*'Indirect NH3 demand sources'!Z$4</f>
        <v>7.3461581999999997E-2</v>
      </c>
      <c r="AA53">
        <f>'Methanol demand shares'!AA53*'Indirect NH3 demand sources'!AA$4</f>
        <v>9.0979530000000003E-2</v>
      </c>
      <c r="AB53">
        <f>'Methanol demand shares'!AB53*'Indirect NH3 demand sources'!AB$4</f>
        <v>0.10850346900000001</v>
      </c>
      <c r="AC53">
        <f>'Methanol demand shares'!AC53*'Indirect NH3 demand sources'!AC$4</f>
        <v>0.125908566</v>
      </c>
      <c r="AD53">
        <f>'Methanol demand shares'!AD53*'Indirect NH3 demand sources'!AD$4</f>
        <v>0.14323502399999999</v>
      </c>
      <c r="AE53">
        <f>'Methanol demand shares'!AE53*'Indirect NH3 demand sources'!AE$4</f>
        <v>0.160519617</v>
      </c>
      <c r="AF53">
        <f>'Methanol demand shares'!AF53*'Indirect NH3 demand sources'!AF$4</f>
        <v>0.17778720000000001</v>
      </c>
      <c r="AG53">
        <f>'Methanol demand shares'!AG53*'Indirect NH3 demand sources'!AG$4</f>
        <v>0.20449057230000003</v>
      </c>
      <c r="AH53">
        <f>'Methanol demand shares'!AH53*'Indirect NH3 demand sources'!AH$4</f>
        <v>0.23163874560000003</v>
      </c>
      <c r="AI53">
        <f>'Methanol demand shares'!AI53*'Indirect NH3 demand sources'!AI$4</f>
        <v>0.25922587770000005</v>
      </c>
      <c r="AJ53">
        <f>'Methanol demand shares'!AJ53*'Indirect NH3 demand sources'!AJ$4</f>
        <v>0.28724368140000006</v>
      </c>
      <c r="AK53">
        <f>'Methanol demand shares'!AK53*'Indirect NH3 demand sources'!AK$4</f>
        <v>0.31568074350000008</v>
      </c>
      <c r="AL53">
        <f>'Methanol demand shares'!AL53*'Indirect NH3 demand sources'!AL$4</f>
        <v>0.34452541800000008</v>
      </c>
      <c r="AM53">
        <f>'Methanol demand shares'!AM53*'Indirect NH3 demand sources'!AM$4</f>
        <v>0.3737625012000001</v>
      </c>
      <c r="AN53">
        <f>'Methanol demand shares'!AN53*'Indirect NH3 demand sources'!AN$4</f>
        <v>0.40337492280000015</v>
      </c>
      <c r="AO53">
        <f>'Methanol demand shares'!AO53*'Indirect NH3 demand sources'!AO$4</f>
        <v>0.43334414070000016</v>
      </c>
      <c r="AP53">
        <f>'Methanol demand shares'!AP53*'Indirect NH3 demand sources'!AP$4</f>
        <v>0.46365267599999999</v>
      </c>
    </row>
    <row r="54" spans="1:42" x14ac:dyDescent="0.3">
      <c r="A54" t="s">
        <v>53</v>
      </c>
      <c r="B54">
        <f>'Methanol demand shares'!B54*'Indirect NH3 demand sources'!B$4</f>
        <v>0</v>
      </c>
      <c r="C54">
        <f>'Methanol demand shares'!C54*'Indirect NH3 demand sources'!C$4</f>
        <v>0</v>
      </c>
      <c r="D54">
        <f>'Methanol demand shares'!D54*'Indirect NH3 demand sources'!D$4</f>
        <v>0</v>
      </c>
      <c r="E54">
        <f>'Methanol demand shares'!E54*'Indirect NH3 demand sources'!E$4</f>
        <v>0</v>
      </c>
      <c r="F54">
        <f>'Methanol demand shares'!F54*'Indirect NH3 demand sources'!F$4</f>
        <v>0</v>
      </c>
      <c r="G54">
        <f>'Methanol demand shares'!G54*'Indirect NH3 demand sources'!G$4</f>
        <v>0</v>
      </c>
      <c r="H54">
        <f>'Methanol demand shares'!H54*'Indirect NH3 demand sources'!H$4</f>
        <v>0</v>
      </c>
      <c r="I54">
        <f>'Methanol demand shares'!I54*'Indirect NH3 demand sources'!I$4</f>
        <v>0</v>
      </c>
      <c r="J54">
        <f>'Methanol demand shares'!J54*'Indirect NH3 demand sources'!J$4</f>
        <v>0</v>
      </c>
      <c r="K54">
        <f>'Methanol demand shares'!K54*'Indirect NH3 demand sources'!K$4</f>
        <v>0</v>
      </c>
      <c r="L54">
        <f>'Methanol demand shares'!L54*'Indirect NH3 demand sources'!L$4</f>
        <v>0</v>
      </c>
      <c r="M54">
        <f>'Methanol demand shares'!M54*'Indirect NH3 demand sources'!M$4</f>
        <v>0</v>
      </c>
      <c r="N54">
        <f>'Methanol demand shares'!N54*'Indirect NH3 demand sources'!N$4</f>
        <v>0</v>
      </c>
      <c r="O54">
        <f>'Methanol demand shares'!O54*'Indirect NH3 demand sources'!O$4</f>
        <v>0</v>
      </c>
      <c r="P54">
        <f>'Methanol demand shares'!P54*'Indirect NH3 demand sources'!P$4</f>
        <v>0</v>
      </c>
      <c r="Q54">
        <f>'Methanol demand shares'!Q54*'Indirect NH3 demand sources'!Q$4</f>
        <v>0</v>
      </c>
      <c r="R54">
        <f>'Methanol demand shares'!R54*'Indirect NH3 demand sources'!R$4</f>
        <v>0</v>
      </c>
      <c r="S54">
        <f>'Methanol demand shares'!S54*'Indirect NH3 demand sources'!S$4</f>
        <v>0</v>
      </c>
      <c r="T54">
        <f>'Methanol demand shares'!T54*'Indirect NH3 demand sources'!T$4</f>
        <v>0</v>
      </c>
      <c r="U54">
        <f>'Methanol demand shares'!U54*'Indirect NH3 demand sources'!U$4</f>
        <v>0</v>
      </c>
      <c r="V54">
        <f>'Methanol demand shares'!V54*'Indirect NH3 demand sources'!V$4</f>
        <v>0</v>
      </c>
      <c r="W54">
        <f>'Methanol demand shares'!W54*'Indirect NH3 demand sources'!W$4</f>
        <v>1.3965159000000001E-2</v>
      </c>
      <c r="X54">
        <f>'Methanol demand shares'!X54*'Indirect NH3 demand sources'!X$4</f>
        <v>2.7911619000000002E-2</v>
      </c>
      <c r="Y54">
        <f>'Methanol demand shares'!Y54*'Indirect NH3 demand sources'!Y$4</f>
        <v>4.1840356499999995E-2</v>
      </c>
      <c r="Z54">
        <f>'Methanol demand shares'!Z54*'Indirect NH3 demand sources'!Z$4</f>
        <v>5.5751549999999997E-2</v>
      </c>
      <c r="AA54">
        <f>'Methanol demand shares'!AA54*'Indirect NH3 demand sources'!AA$4</f>
        <v>6.963958499999999E-2</v>
      </c>
      <c r="AB54">
        <f>'Methanol demand shares'!AB54*'Indirect NH3 demand sources'!AB$4</f>
        <v>8.3423331000000003E-2</v>
      </c>
      <c r="AC54">
        <f>'Methanol demand shares'!AC54*'Indirect NH3 demand sources'!AC$4</f>
        <v>9.7153633500000003E-2</v>
      </c>
      <c r="AD54">
        <f>'Methanol demand shares'!AD54*'Indirect NH3 demand sources'!AD$4</f>
        <v>0.11082805200000001</v>
      </c>
      <c r="AE54">
        <f>'Methanol demand shares'!AE54*'Indirect NH3 demand sources'!AE$4</f>
        <v>0.124443189</v>
      </c>
      <c r="AF54">
        <f>'Methanol demand shares'!AF54*'Indirect NH3 demand sources'!AF$4</f>
        <v>0.13798822499999999</v>
      </c>
      <c r="AG54">
        <f>'Methanol demand shares'!AG54*'Indirect NH3 demand sources'!AG$4</f>
        <v>0.15747364350000001</v>
      </c>
      <c r="AH54">
        <f>'Methanol demand shares'!AH54*'Indirect NH3 demand sources'!AH$4</f>
        <v>0.17697235200000003</v>
      </c>
      <c r="AI54">
        <f>'Methanol demand shares'!AI54*'Indirect NH3 demand sources'!AI$4</f>
        <v>0.19647471450000004</v>
      </c>
      <c r="AJ54">
        <f>'Methanol demand shares'!AJ54*'Indirect NH3 demand sources'!AJ$4</f>
        <v>0.21597107220000006</v>
      </c>
      <c r="AK54">
        <f>'Methanol demand shares'!AK54*'Indirect NH3 demand sources'!AK$4</f>
        <v>0.23545103700000009</v>
      </c>
      <c r="AL54">
        <f>'Methanol demand shares'!AL54*'Indirect NH3 demand sources'!AL$4</f>
        <v>0.25490576160000006</v>
      </c>
      <c r="AM54">
        <f>'Methanol demand shares'!AM54*'Indirect NH3 demand sources'!AM$4</f>
        <v>0.27432532710000007</v>
      </c>
      <c r="AN54">
        <f>'Methanol demand shares'!AN54*'Indirect NH3 demand sources'!AN$4</f>
        <v>0.29369990280000013</v>
      </c>
      <c r="AO54">
        <f>'Methanol demand shares'!AO54*'Indirect NH3 demand sources'!AO$4</f>
        <v>0.31301978580000012</v>
      </c>
      <c r="AP54">
        <f>'Methanol demand shares'!AP54*'Indirect NH3 demand sources'!AP$4</f>
        <v>0.33227701200000004</v>
      </c>
    </row>
    <row r="55" spans="1:42" x14ac:dyDescent="0.3">
      <c r="A55" t="s">
        <v>54</v>
      </c>
      <c r="B55">
        <f>'Methanol demand shares'!B55*'Indirect NH3 demand sources'!B$4</f>
        <v>0</v>
      </c>
      <c r="C55">
        <f>'Methanol demand shares'!C55*'Indirect NH3 demand sources'!C$4</f>
        <v>0</v>
      </c>
      <c r="D55">
        <f>'Methanol demand shares'!D55*'Indirect NH3 demand sources'!D$4</f>
        <v>0</v>
      </c>
      <c r="E55">
        <f>'Methanol demand shares'!E55*'Indirect NH3 demand sources'!E$4</f>
        <v>0</v>
      </c>
      <c r="F55">
        <f>'Methanol demand shares'!F55*'Indirect NH3 demand sources'!F$4</f>
        <v>0</v>
      </c>
      <c r="G55">
        <f>'Methanol demand shares'!G55*'Indirect NH3 demand sources'!G$4</f>
        <v>0</v>
      </c>
      <c r="H55">
        <f>'Methanol demand shares'!H55*'Indirect NH3 demand sources'!H$4</f>
        <v>0</v>
      </c>
      <c r="I55">
        <f>'Methanol demand shares'!I55*'Indirect NH3 demand sources'!I$4</f>
        <v>0</v>
      </c>
      <c r="J55">
        <f>'Methanol demand shares'!J55*'Indirect NH3 demand sources'!J$4</f>
        <v>0</v>
      </c>
      <c r="K55">
        <f>'Methanol demand shares'!K55*'Indirect NH3 demand sources'!K$4</f>
        <v>0</v>
      </c>
      <c r="L55">
        <f>'Methanol demand shares'!L55*'Indirect NH3 demand sources'!L$4</f>
        <v>0</v>
      </c>
      <c r="M55">
        <f>'Methanol demand shares'!M55*'Indirect NH3 demand sources'!M$4</f>
        <v>0</v>
      </c>
      <c r="N55">
        <f>'Methanol demand shares'!N55*'Indirect NH3 demand sources'!N$4</f>
        <v>0</v>
      </c>
      <c r="O55">
        <f>'Methanol demand shares'!O55*'Indirect NH3 demand sources'!O$4</f>
        <v>0</v>
      </c>
      <c r="P55">
        <f>'Methanol demand shares'!P55*'Indirect NH3 demand sources'!P$4</f>
        <v>0</v>
      </c>
      <c r="Q55">
        <f>'Methanol demand shares'!Q55*'Indirect NH3 demand sources'!Q$4</f>
        <v>0</v>
      </c>
      <c r="R55">
        <f>'Methanol demand shares'!R55*'Indirect NH3 demand sources'!R$4</f>
        <v>0</v>
      </c>
      <c r="S55">
        <f>'Methanol demand shares'!S55*'Indirect NH3 demand sources'!S$4</f>
        <v>0</v>
      </c>
      <c r="T55">
        <f>'Methanol demand shares'!T55*'Indirect NH3 demand sources'!T$4</f>
        <v>0</v>
      </c>
      <c r="U55">
        <f>'Methanol demand shares'!U55*'Indirect NH3 demand sources'!U$4</f>
        <v>0</v>
      </c>
      <c r="V55">
        <f>'Methanol demand shares'!V55*'Indirect NH3 demand sources'!V$4</f>
        <v>0</v>
      </c>
      <c r="W55">
        <f>'Methanol demand shares'!W55*'Indirect NH3 demand sources'!W$4</f>
        <v>0</v>
      </c>
      <c r="X55">
        <f>'Methanol demand shares'!X55*'Indirect NH3 demand sources'!X$4</f>
        <v>0</v>
      </c>
      <c r="Y55">
        <f>'Methanol demand shares'!Y55*'Indirect NH3 demand sources'!Y$4</f>
        <v>0</v>
      </c>
      <c r="Z55">
        <f>'Methanol demand shares'!Z55*'Indirect NH3 demand sources'!Z$4</f>
        <v>0</v>
      </c>
      <c r="AA55">
        <f>'Methanol demand shares'!AA55*'Indirect NH3 demand sources'!AA$4</f>
        <v>0</v>
      </c>
      <c r="AB55">
        <f>'Methanol demand shares'!AB55*'Indirect NH3 demand sources'!AB$4</f>
        <v>0</v>
      </c>
      <c r="AC55">
        <f>'Methanol demand shares'!AC55*'Indirect NH3 demand sources'!AC$4</f>
        <v>0</v>
      </c>
      <c r="AD55">
        <f>'Methanol demand shares'!AD55*'Indirect NH3 demand sources'!AD$4</f>
        <v>0</v>
      </c>
      <c r="AE55">
        <f>'Methanol demand shares'!AE55*'Indirect NH3 demand sources'!AE$4</f>
        <v>0</v>
      </c>
      <c r="AF55">
        <f>'Methanol demand shares'!AF55*'Indirect NH3 demand sources'!AF$4</f>
        <v>0</v>
      </c>
      <c r="AG55">
        <f>'Methanol demand shares'!AG55*'Indirect NH3 demand sources'!AG$4</f>
        <v>0</v>
      </c>
      <c r="AH55">
        <f>'Methanol demand shares'!AH55*'Indirect NH3 demand sources'!AH$4</f>
        <v>0</v>
      </c>
      <c r="AI55">
        <f>'Methanol demand shares'!AI55*'Indirect NH3 demand sources'!AI$4</f>
        <v>0</v>
      </c>
      <c r="AJ55">
        <f>'Methanol demand shares'!AJ55*'Indirect NH3 demand sources'!AJ$4</f>
        <v>0</v>
      </c>
      <c r="AK55">
        <f>'Methanol demand shares'!AK55*'Indirect NH3 demand sources'!AK$4</f>
        <v>0</v>
      </c>
      <c r="AL55">
        <f>'Methanol demand shares'!AL55*'Indirect NH3 demand sources'!AL$4</f>
        <v>0</v>
      </c>
      <c r="AM55">
        <f>'Methanol demand shares'!AM55*'Indirect NH3 demand sources'!AM$4</f>
        <v>0</v>
      </c>
      <c r="AN55">
        <f>'Methanol demand shares'!AN55*'Indirect NH3 demand sources'!AN$4</f>
        <v>0</v>
      </c>
      <c r="AO55">
        <f>'Methanol demand shares'!AO55*'Indirect NH3 demand sources'!AO$4</f>
        <v>0</v>
      </c>
      <c r="AP55">
        <f>'Methanol demand shares'!AP55*'Indirect NH3 demand sources'!AP$4</f>
        <v>0</v>
      </c>
    </row>
    <row r="56" spans="1:42" x14ac:dyDescent="0.3">
      <c r="A56" t="s">
        <v>55</v>
      </c>
      <c r="B56">
        <f>'Methanol demand shares'!B56*'Indirect NH3 demand sources'!B$4</f>
        <v>0</v>
      </c>
      <c r="C56">
        <f>'Methanol demand shares'!C56*'Indirect NH3 demand sources'!C$4</f>
        <v>0</v>
      </c>
      <c r="D56">
        <f>'Methanol demand shares'!D56*'Indirect NH3 demand sources'!D$4</f>
        <v>0</v>
      </c>
      <c r="E56">
        <f>'Methanol demand shares'!E56*'Indirect NH3 demand sources'!E$4</f>
        <v>0</v>
      </c>
      <c r="F56">
        <f>'Methanol demand shares'!F56*'Indirect NH3 demand sources'!F$4</f>
        <v>0</v>
      </c>
      <c r="G56">
        <f>'Methanol demand shares'!G56*'Indirect NH3 demand sources'!G$4</f>
        <v>0</v>
      </c>
      <c r="H56">
        <f>'Methanol demand shares'!H56*'Indirect NH3 demand sources'!H$4</f>
        <v>0</v>
      </c>
      <c r="I56">
        <f>'Methanol demand shares'!I56*'Indirect NH3 demand sources'!I$4</f>
        <v>0</v>
      </c>
      <c r="J56">
        <f>'Methanol demand shares'!J56*'Indirect NH3 demand sources'!J$4</f>
        <v>0</v>
      </c>
      <c r="K56">
        <f>'Methanol demand shares'!K56*'Indirect NH3 demand sources'!K$4</f>
        <v>0</v>
      </c>
      <c r="L56">
        <f>'Methanol demand shares'!L56*'Indirect NH3 demand sources'!L$4</f>
        <v>0</v>
      </c>
      <c r="M56">
        <f>'Methanol demand shares'!M56*'Indirect NH3 demand sources'!M$4</f>
        <v>0</v>
      </c>
      <c r="N56">
        <f>'Methanol demand shares'!N56*'Indirect NH3 demand sources'!N$4</f>
        <v>0</v>
      </c>
      <c r="O56">
        <f>'Methanol demand shares'!O56*'Indirect NH3 demand sources'!O$4</f>
        <v>0</v>
      </c>
      <c r="P56">
        <f>'Methanol demand shares'!P56*'Indirect NH3 demand sources'!P$4</f>
        <v>0</v>
      </c>
      <c r="Q56">
        <f>'Methanol demand shares'!Q56*'Indirect NH3 demand sources'!Q$4</f>
        <v>0</v>
      </c>
      <c r="R56">
        <f>'Methanol demand shares'!R56*'Indirect NH3 demand sources'!R$4</f>
        <v>0</v>
      </c>
      <c r="S56">
        <f>'Methanol demand shares'!S56*'Indirect NH3 demand sources'!S$4</f>
        <v>0</v>
      </c>
      <c r="T56">
        <f>'Methanol demand shares'!T56*'Indirect NH3 demand sources'!T$4</f>
        <v>0</v>
      </c>
      <c r="U56">
        <f>'Methanol demand shares'!U56*'Indirect NH3 demand sources'!U$4</f>
        <v>0</v>
      </c>
      <c r="V56">
        <f>'Methanol demand shares'!V56*'Indirect NH3 demand sources'!V$4</f>
        <v>0</v>
      </c>
      <c r="W56">
        <f>'Methanol demand shares'!W56*'Indirect NH3 demand sources'!W$4</f>
        <v>1.1948130000000001E-3</v>
      </c>
      <c r="X56">
        <f>'Methanol demand shares'!X56*'Indirect NH3 demand sources'!X$4</f>
        <v>2.3748720000000001E-3</v>
      </c>
      <c r="Y56">
        <f>'Methanol demand shares'!Y56*'Indirect NH3 demand sources'!Y$4</f>
        <v>3.5417745000000003E-3</v>
      </c>
      <c r="Z56">
        <f>'Methanol demand shares'!Z56*'Indirect NH3 demand sources'!Z$4</f>
        <v>4.6947300000000003E-3</v>
      </c>
      <c r="AA56">
        <f>'Methanol demand shares'!AA56*'Indirect NH3 demand sources'!AA$4</f>
        <v>5.8331175000000002E-3</v>
      </c>
      <c r="AB56">
        <f>'Methanol demand shares'!AB56*'Indirect NH3 demand sources'!AB$4</f>
        <v>6.9444540000000001E-3</v>
      </c>
      <c r="AC56">
        <f>'Methanol demand shares'!AC56*'Indirect NH3 demand sources'!AC$4</f>
        <v>8.0370884999999993E-3</v>
      </c>
      <c r="AD56">
        <f>'Methanol demand shares'!AD56*'Indirect NH3 demand sources'!AD$4</f>
        <v>9.1109880000000004E-3</v>
      </c>
      <c r="AE56">
        <f>'Methanol demand shares'!AE56*'Indirect NH3 demand sources'!AE$4</f>
        <v>1.0166080500000001E-2</v>
      </c>
      <c r="AF56">
        <f>'Methanol demand shares'!AF56*'Indirect NH3 demand sources'!AF$4</f>
        <v>1.120176E-2</v>
      </c>
      <c r="AG56">
        <f>'Methanol demand shares'!AG56*'Indirect NH3 demand sources'!AG$4</f>
        <v>1.27109943E-2</v>
      </c>
      <c r="AH56">
        <f>'Methanol demand shares'!AH56*'Indirect NH3 demand sources'!AH$4</f>
        <v>1.4203257600000001E-2</v>
      </c>
      <c r="AI56">
        <f>'Methanol demand shares'!AI56*'Indirect NH3 demand sources'!AI$4</f>
        <v>1.5677865000000003E-2</v>
      </c>
      <c r="AJ56">
        <f>'Methanol demand shares'!AJ56*'Indirect NH3 demand sources'!AJ$4</f>
        <v>1.7134228800000005E-2</v>
      </c>
      <c r="AK56">
        <f>'Methanol demand shares'!AK56*'Indirect NH3 demand sources'!AK$4</f>
        <v>1.8571752000000007E-2</v>
      </c>
      <c r="AL56">
        <f>'Methanol demand shares'!AL56*'Indirect NH3 demand sources'!AL$4</f>
        <v>1.9990100400000006E-2</v>
      </c>
      <c r="AM56">
        <f>'Methanol demand shares'!AM56*'Indirect NH3 demand sources'!AM$4</f>
        <v>2.1388811400000006E-2</v>
      </c>
      <c r="AN56">
        <f>'Methanol demand shares'!AN56*'Indirect NH3 demand sources'!AN$4</f>
        <v>2.2767559800000007E-2</v>
      </c>
      <c r="AO56">
        <f>'Methanol demand shares'!AO56*'Indirect NH3 demand sources'!AO$4</f>
        <v>2.4126087600000009E-2</v>
      </c>
      <c r="AP56">
        <f>'Methanol demand shares'!AP56*'Indirect NH3 demand sources'!AP$4</f>
        <v>2.5464311999999999E-2</v>
      </c>
    </row>
    <row r="57" spans="1:42" x14ac:dyDescent="0.3">
      <c r="A57" t="s">
        <v>56</v>
      </c>
      <c r="B57">
        <f>'Methanol demand shares'!B57*'Indirect NH3 demand sources'!B$4</f>
        <v>0</v>
      </c>
      <c r="C57">
        <f>'Methanol demand shares'!C57*'Indirect NH3 demand sources'!C$4</f>
        <v>0</v>
      </c>
      <c r="D57">
        <f>'Methanol demand shares'!D57*'Indirect NH3 demand sources'!D$4</f>
        <v>0</v>
      </c>
      <c r="E57">
        <f>'Methanol demand shares'!E57*'Indirect NH3 demand sources'!E$4</f>
        <v>0</v>
      </c>
      <c r="F57">
        <f>'Methanol demand shares'!F57*'Indirect NH3 demand sources'!F$4</f>
        <v>0</v>
      </c>
      <c r="G57">
        <f>'Methanol demand shares'!G57*'Indirect NH3 demand sources'!G$4</f>
        <v>0</v>
      </c>
      <c r="H57">
        <f>'Methanol demand shares'!H57*'Indirect NH3 demand sources'!H$4</f>
        <v>0</v>
      </c>
      <c r="I57">
        <f>'Methanol demand shares'!I57*'Indirect NH3 demand sources'!I$4</f>
        <v>0</v>
      </c>
      <c r="J57">
        <f>'Methanol demand shares'!J57*'Indirect NH3 demand sources'!J$4</f>
        <v>0</v>
      </c>
      <c r="K57">
        <f>'Methanol demand shares'!K57*'Indirect NH3 demand sources'!K$4</f>
        <v>0</v>
      </c>
      <c r="L57">
        <f>'Methanol demand shares'!L57*'Indirect NH3 demand sources'!L$4</f>
        <v>0</v>
      </c>
      <c r="M57">
        <f>'Methanol demand shares'!M57*'Indirect NH3 demand sources'!M$4</f>
        <v>0</v>
      </c>
      <c r="N57">
        <f>'Methanol demand shares'!N57*'Indirect NH3 demand sources'!N$4</f>
        <v>0</v>
      </c>
      <c r="O57">
        <f>'Methanol demand shares'!O57*'Indirect NH3 demand sources'!O$4</f>
        <v>0</v>
      </c>
      <c r="P57">
        <f>'Methanol demand shares'!P57*'Indirect NH3 demand sources'!P$4</f>
        <v>0</v>
      </c>
      <c r="Q57">
        <f>'Methanol demand shares'!Q57*'Indirect NH3 demand sources'!Q$4</f>
        <v>0</v>
      </c>
      <c r="R57">
        <f>'Methanol demand shares'!R57*'Indirect NH3 demand sources'!R$4</f>
        <v>0</v>
      </c>
      <c r="S57">
        <f>'Methanol demand shares'!S57*'Indirect NH3 demand sources'!S$4</f>
        <v>0</v>
      </c>
      <c r="T57">
        <f>'Methanol demand shares'!T57*'Indirect NH3 demand sources'!T$4</f>
        <v>0</v>
      </c>
      <c r="U57">
        <f>'Methanol demand shares'!U57*'Indirect NH3 demand sources'!U$4</f>
        <v>0</v>
      </c>
      <c r="V57">
        <f>'Methanol demand shares'!V57*'Indirect NH3 demand sources'!V$4</f>
        <v>0</v>
      </c>
      <c r="W57">
        <f>'Methanol demand shares'!W57*'Indirect NH3 demand sources'!W$4</f>
        <v>1.23883395E-2</v>
      </c>
      <c r="X57">
        <f>'Methanol demand shares'!X57*'Indirect NH3 demand sources'!X$4</f>
        <v>2.4732441000000001E-2</v>
      </c>
      <c r="Y57">
        <f>'Methanol demand shares'!Y57*'Indirect NH3 demand sources'!Y$4</f>
        <v>3.7035769499999996E-2</v>
      </c>
      <c r="Z57">
        <f>'Methanol demand shares'!Z57*'Indirect NH3 demand sources'!Z$4</f>
        <v>4.9301820000000003E-2</v>
      </c>
      <c r="AA57">
        <f>'Methanol demand shares'!AA57*'Indirect NH3 demand sources'!AA$4</f>
        <v>6.1529542500000006E-2</v>
      </c>
      <c r="AB57">
        <f>'Methanol demand shares'!AB57*'Indirect NH3 demand sources'!AB$4</f>
        <v>7.3669680000000001E-2</v>
      </c>
      <c r="AC57">
        <f>'Methanol demand shares'!AC57*'Indirect NH3 demand sources'!AC$4</f>
        <v>8.5760692499999985E-2</v>
      </c>
      <c r="AD57">
        <f>'Methanol demand shares'!AD57*'Indirect NH3 demand sources'!AD$4</f>
        <v>9.7806300000000013E-2</v>
      </c>
      <c r="AE57">
        <f>'Methanol demand shares'!AE57*'Indirect NH3 demand sources'!AE$4</f>
        <v>0.10980993150000001</v>
      </c>
      <c r="AF57">
        <f>'Methanol demand shares'!AF57*'Indirect NH3 demand sources'!AF$4</f>
        <v>0.12176898</v>
      </c>
      <c r="AG57">
        <f>'Methanol demand shares'!AG57*'Indirect NH3 demand sources'!AG$4</f>
        <v>0.13910347260000003</v>
      </c>
      <c r="AH57">
        <f>'Methanol demand shares'!AH57*'Indirect NH3 demand sources'!AH$4</f>
        <v>0.15652667520000002</v>
      </c>
      <c r="AI57">
        <f>'Methanol demand shares'!AI57*'Indirect NH3 demand sources'!AI$4</f>
        <v>0.17404491990000004</v>
      </c>
      <c r="AJ57">
        <f>'Methanol demand shares'!AJ57*'Indirect NH3 demand sources'!AJ$4</f>
        <v>0.19166472000000004</v>
      </c>
      <c r="AK57">
        <f>'Methanol demand shares'!AK57*'Indirect NH3 demand sources'!AK$4</f>
        <v>0.20939225550000004</v>
      </c>
      <c r="AL57">
        <f>'Methanol demand shares'!AL57*'Indirect NH3 demand sources'!AL$4</f>
        <v>0.22723494000000008</v>
      </c>
      <c r="AM57">
        <f>'Methanol demand shares'!AM57*'Indirect NH3 demand sources'!AM$4</f>
        <v>0.24520017060000007</v>
      </c>
      <c r="AN57">
        <f>'Methanol demand shares'!AN57*'Indirect NH3 demand sources'!AN$4</f>
        <v>0.26329528680000008</v>
      </c>
      <c r="AO57">
        <f>'Methanol demand shares'!AO57*'Indirect NH3 demand sources'!AO$4</f>
        <v>0.28152797400000013</v>
      </c>
      <c r="AP57">
        <f>'Methanol demand shares'!AP57*'Indirect NH3 demand sources'!AP$4</f>
        <v>0.29990768400000001</v>
      </c>
    </row>
    <row r="58" spans="1:42" x14ac:dyDescent="0.3">
      <c r="A58" t="s">
        <v>57</v>
      </c>
      <c r="B58">
        <f>'Methanol demand shares'!B58*'Indirect NH3 demand sources'!B$4</f>
        <v>0</v>
      </c>
      <c r="C58">
        <f>'Methanol demand shares'!C58*'Indirect NH3 demand sources'!C$4</f>
        <v>0</v>
      </c>
      <c r="D58">
        <f>'Methanol demand shares'!D58*'Indirect NH3 demand sources'!D$4</f>
        <v>0</v>
      </c>
      <c r="E58">
        <f>'Methanol demand shares'!E58*'Indirect NH3 demand sources'!E$4</f>
        <v>0</v>
      </c>
      <c r="F58">
        <f>'Methanol demand shares'!F58*'Indirect NH3 demand sources'!F$4</f>
        <v>0</v>
      </c>
      <c r="G58">
        <f>'Methanol demand shares'!G58*'Indirect NH3 demand sources'!G$4</f>
        <v>0</v>
      </c>
      <c r="H58">
        <f>'Methanol demand shares'!H58*'Indirect NH3 demand sources'!H$4</f>
        <v>0</v>
      </c>
      <c r="I58">
        <f>'Methanol demand shares'!I58*'Indirect NH3 demand sources'!I$4</f>
        <v>0</v>
      </c>
      <c r="J58">
        <f>'Methanol demand shares'!J58*'Indirect NH3 demand sources'!J$4</f>
        <v>0</v>
      </c>
      <c r="K58">
        <f>'Methanol demand shares'!K58*'Indirect NH3 demand sources'!K$4</f>
        <v>0</v>
      </c>
      <c r="L58">
        <f>'Methanol demand shares'!L58*'Indirect NH3 demand sources'!L$4</f>
        <v>0</v>
      </c>
      <c r="M58">
        <f>'Methanol demand shares'!M58*'Indirect NH3 demand sources'!M$4</f>
        <v>0</v>
      </c>
      <c r="N58">
        <f>'Methanol demand shares'!N58*'Indirect NH3 demand sources'!N$4</f>
        <v>0</v>
      </c>
      <c r="O58">
        <f>'Methanol demand shares'!O58*'Indirect NH3 demand sources'!O$4</f>
        <v>0</v>
      </c>
      <c r="P58">
        <f>'Methanol demand shares'!P58*'Indirect NH3 demand sources'!P$4</f>
        <v>0</v>
      </c>
      <c r="Q58">
        <f>'Methanol demand shares'!Q58*'Indirect NH3 demand sources'!Q$4</f>
        <v>0</v>
      </c>
      <c r="R58">
        <f>'Methanol demand shares'!R58*'Indirect NH3 demand sources'!R$4</f>
        <v>0</v>
      </c>
      <c r="S58">
        <f>'Methanol demand shares'!S58*'Indirect NH3 demand sources'!S$4</f>
        <v>0</v>
      </c>
      <c r="T58">
        <f>'Methanol demand shares'!T58*'Indirect NH3 demand sources'!T$4</f>
        <v>0</v>
      </c>
      <c r="U58">
        <f>'Methanol demand shares'!U58*'Indirect NH3 demand sources'!U$4</f>
        <v>0</v>
      </c>
      <c r="V58">
        <f>'Methanol demand shares'!V58*'Indirect NH3 demand sources'!V$4</f>
        <v>0</v>
      </c>
      <c r="W58">
        <f>'Methanol demand shares'!W58*'Indirect NH3 demand sources'!W$4</f>
        <v>6.4489500000000004E-4</v>
      </c>
      <c r="X58">
        <f>'Methanol demand shares'!X58*'Indirect NH3 demand sources'!X$4</f>
        <v>1.298355E-3</v>
      </c>
      <c r="Y58">
        <f>'Methanol demand shares'!Y58*'Indirect NH3 demand sources'!Y$4</f>
        <v>1.9606994999999999E-3</v>
      </c>
      <c r="Z58">
        <f>'Methanol demand shares'!Z58*'Indirect NH3 demand sources'!Z$4</f>
        <v>2.6322540000000001E-3</v>
      </c>
      <c r="AA58">
        <f>'Methanol demand shares'!AA58*'Indirect NH3 demand sources'!AA$4</f>
        <v>3.3130799999999999E-3</v>
      </c>
      <c r="AB58">
        <f>'Methanol demand shares'!AB58*'Indirect NH3 demand sources'!AB$4</f>
        <v>3.9969539999999996E-3</v>
      </c>
      <c r="AC58">
        <f>'Methanol demand shares'!AC58*'Indirect NH3 demand sources'!AC$4</f>
        <v>4.6884494999999997E-3</v>
      </c>
      <c r="AD58">
        <f>'Methanol demand shares'!AD58*'Indirect NH3 demand sources'!AD$4</f>
        <v>5.3877960000000003E-3</v>
      </c>
      <c r="AE58">
        <f>'Methanol demand shares'!AE58*'Indirect NH3 demand sources'!AE$4</f>
        <v>6.0952094999999996E-3</v>
      </c>
      <c r="AF58">
        <f>'Methanol demand shares'!AF58*'Indirect NH3 demand sources'!AF$4</f>
        <v>6.8105400000000003E-3</v>
      </c>
      <c r="AG58">
        <f>'Methanol demand shares'!AG58*'Indirect NH3 demand sources'!AG$4</f>
        <v>7.8134175000000011E-3</v>
      </c>
      <c r="AH58">
        <f>'Methanol demand shares'!AH58*'Indirect NH3 demand sources'!AH$4</f>
        <v>8.829292800000001E-3</v>
      </c>
      <c r="AI58">
        <f>'Methanol demand shares'!AI58*'Indirect NH3 demand sources'!AI$4</f>
        <v>9.8583855000000022E-3</v>
      </c>
      <c r="AJ58">
        <f>'Methanol demand shares'!AJ58*'Indirect NH3 demand sources'!AJ$4</f>
        <v>1.0900960200000002E-2</v>
      </c>
      <c r="AK58">
        <f>'Methanol demand shares'!AK58*'Indirect NH3 demand sources'!AK$4</f>
        <v>1.1957205000000004E-2</v>
      </c>
      <c r="AL58">
        <f>'Methanol demand shares'!AL58*'Indirect NH3 demand sources'!AL$4</f>
        <v>1.3027420800000003E-2</v>
      </c>
      <c r="AM58">
        <f>'Methanol demand shares'!AM58*'Indirect NH3 demand sources'!AM$4</f>
        <v>1.4111776800000005E-2</v>
      </c>
      <c r="AN58">
        <f>'Methanol demand shares'!AN58*'Indirect NH3 demand sources'!AN$4</f>
        <v>1.5210512400000004E-2</v>
      </c>
      <c r="AO58">
        <f>'Methanol demand shares'!AO58*'Indirect NH3 demand sources'!AO$4</f>
        <v>1.6323731400000006E-2</v>
      </c>
      <c r="AP58">
        <f>'Methanol demand shares'!AP58*'Indirect NH3 demand sources'!AP$4</f>
        <v>1.7451792000000001E-2</v>
      </c>
    </row>
    <row r="59" spans="1:42" x14ac:dyDescent="0.3">
      <c r="A59" t="s">
        <v>58</v>
      </c>
      <c r="B59">
        <f>'Methanol demand shares'!B59*'Indirect NH3 demand sources'!B$4</f>
        <v>0</v>
      </c>
      <c r="C59">
        <f>'Methanol demand shares'!C59*'Indirect NH3 demand sources'!C$4</f>
        <v>0</v>
      </c>
      <c r="D59">
        <f>'Methanol demand shares'!D59*'Indirect NH3 demand sources'!D$4</f>
        <v>0</v>
      </c>
      <c r="E59">
        <f>'Methanol demand shares'!E59*'Indirect NH3 demand sources'!E$4</f>
        <v>0</v>
      </c>
      <c r="F59">
        <f>'Methanol demand shares'!F59*'Indirect NH3 demand sources'!F$4</f>
        <v>0</v>
      </c>
      <c r="G59">
        <f>'Methanol demand shares'!G59*'Indirect NH3 demand sources'!G$4</f>
        <v>0</v>
      </c>
      <c r="H59">
        <f>'Methanol demand shares'!H59*'Indirect NH3 demand sources'!H$4</f>
        <v>0</v>
      </c>
      <c r="I59">
        <f>'Methanol demand shares'!I59*'Indirect NH3 demand sources'!I$4</f>
        <v>0</v>
      </c>
      <c r="J59">
        <f>'Methanol demand shares'!J59*'Indirect NH3 demand sources'!J$4</f>
        <v>0</v>
      </c>
      <c r="K59">
        <f>'Methanol demand shares'!K59*'Indirect NH3 demand sources'!K$4</f>
        <v>0</v>
      </c>
      <c r="L59">
        <f>'Methanol demand shares'!L59*'Indirect NH3 demand sources'!L$4</f>
        <v>0</v>
      </c>
      <c r="M59">
        <f>'Methanol demand shares'!M59*'Indirect NH3 demand sources'!M$4</f>
        <v>0</v>
      </c>
      <c r="N59">
        <f>'Methanol demand shares'!N59*'Indirect NH3 demand sources'!N$4</f>
        <v>0</v>
      </c>
      <c r="O59">
        <f>'Methanol demand shares'!O59*'Indirect NH3 demand sources'!O$4</f>
        <v>0</v>
      </c>
      <c r="P59">
        <f>'Methanol demand shares'!P59*'Indirect NH3 demand sources'!P$4</f>
        <v>0</v>
      </c>
      <c r="Q59">
        <f>'Methanol demand shares'!Q59*'Indirect NH3 demand sources'!Q$4</f>
        <v>0</v>
      </c>
      <c r="R59">
        <f>'Methanol demand shares'!R59*'Indirect NH3 demand sources'!R$4</f>
        <v>0</v>
      </c>
      <c r="S59">
        <f>'Methanol demand shares'!S59*'Indirect NH3 demand sources'!S$4</f>
        <v>0</v>
      </c>
      <c r="T59">
        <f>'Methanol demand shares'!T59*'Indirect NH3 demand sources'!T$4</f>
        <v>0</v>
      </c>
      <c r="U59">
        <f>'Methanol demand shares'!U59*'Indirect NH3 demand sources'!U$4</f>
        <v>0</v>
      </c>
      <c r="V59">
        <f>'Methanol demand shares'!V59*'Indirect NH3 demand sources'!V$4</f>
        <v>0</v>
      </c>
      <c r="W59">
        <f>'Methanol demand shares'!W59*'Indirect NH3 demand sources'!W$4</f>
        <v>2.2279934999999999E-3</v>
      </c>
      <c r="X59">
        <f>'Methanol demand shares'!X59*'Indirect NH3 demand sources'!X$4</f>
        <v>4.517709E-3</v>
      </c>
      <c r="Y59">
        <f>'Methanol demand shares'!Y59*'Indirect NH3 demand sources'!Y$4</f>
        <v>6.8685615000000002E-3</v>
      </c>
      <c r="Z59">
        <f>'Methanol demand shares'!Z59*'Indirect NH3 demand sources'!Z$4</f>
        <v>9.2797979999999988E-3</v>
      </c>
      <c r="AA59">
        <f>'Methanol demand shares'!AA59*'Indirect NH3 demand sources'!AA$4</f>
        <v>1.17495225E-2</v>
      </c>
      <c r="AB59">
        <f>'Methanol demand shares'!AB59*'Indirect NH3 demand sources'!AB$4</f>
        <v>1.4254893000000001E-2</v>
      </c>
      <c r="AC59">
        <f>'Methanol demand shares'!AC59*'Indirect NH3 demand sources'!AC$4</f>
        <v>1.6809586500000001E-2</v>
      </c>
      <c r="AD59">
        <f>'Methanol demand shares'!AD59*'Indirect NH3 demand sources'!AD$4</f>
        <v>1.9412280000000001E-2</v>
      </c>
      <c r="AE59">
        <f>'Methanol demand shares'!AE59*'Indirect NH3 demand sources'!AE$4</f>
        <v>2.2061376000000001E-2</v>
      </c>
      <c r="AF59">
        <f>'Methanol demand shares'!AF59*'Indirect NH3 demand sources'!AF$4</f>
        <v>2.475378E-2</v>
      </c>
      <c r="AG59">
        <f>'Methanol demand shares'!AG59*'Indirect NH3 demand sources'!AG$4</f>
        <v>2.8641901500000004E-2</v>
      </c>
      <c r="AH59">
        <f>'Methanol demand shares'!AH59*'Indirect NH3 demand sources'!AH$4</f>
        <v>3.2631302400000006E-2</v>
      </c>
      <c r="AI59">
        <f>'Methanol demand shares'!AI59*'Indirect NH3 demand sources'!AI$4</f>
        <v>3.6720369300000007E-2</v>
      </c>
      <c r="AJ59">
        <f>'Methanol demand shares'!AJ59*'Indirect NH3 demand sources'!AJ$4</f>
        <v>4.0907084400000009E-2</v>
      </c>
      <c r="AK59">
        <f>'Methanol demand shares'!AK59*'Indirect NH3 demand sources'!AK$4</f>
        <v>4.5188907000000014E-2</v>
      </c>
      <c r="AL59">
        <f>'Methanol demand shares'!AL59*'Indirect NH3 demand sources'!AL$4</f>
        <v>4.9563279600000017E-2</v>
      </c>
      <c r="AM59">
        <f>'Methanol demand shares'!AM59*'Indirect NH3 demand sources'!AM$4</f>
        <v>5.4026824500000022E-2</v>
      </c>
      <c r="AN59">
        <f>'Methanol demand shares'!AN59*'Indirect NH3 demand sources'!AN$4</f>
        <v>5.857579080000002E-2</v>
      </c>
      <c r="AO59">
        <f>'Methanol demand shares'!AO59*'Indirect NH3 demand sources'!AO$4</f>
        <v>6.3205872000000024E-2</v>
      </c>
      <c r="AP59">
        <f>'Methanol demand shares'!AP59*'Indirect NH3 demand sources'!AP$4</f>
        <v>6.7912596000000006E-2</v>
      </c>
    </row>
    <row r="60" spans="1:42" x14ac:dyDescent="0.3">
      <c r="A60" t="s">
        <v>59</v>
      </c>
      <c r="B60">
        <f>'Methanol demand shares'!B60*'Indirect NH3 demand sources'!B$4</f>
        <v>0</v>
      </c>
      <c r="C60">
        <f>'Methanol demand shares'!C60*'Indirect NH3 demand sources'!C$4</f>
        <v>0</v>
      </c>
      <c r="D60">
        <f>'Methanol demand shares'!D60*'Indirect NH3 demand sources'!D$4</f>
        <v>0</v>
      </c>
      <c r="E60">
        <f>'Methanol demand shares'!E60*'Indirect NH3 demand sources'!E$4</f>
        <v>0</v>
      </c>
      <c r="F60">
        <f>'Methanol demand shares'!F60*'Indirect NH3 demand sources'!F$4</f>
        <v>0</v>
      </c>
      <c r="G60">
        <f>'Methanol demand shares'!G60*'Indirect NH3 demand sources'!G$4</f>
        <v>0</v>
      </c>
      <c r="H60">
        <f>'Methanol demand shares'!H60*'Indirect NH3 demand sources'!H$4</f>
        <v>0</v>
      </c>
      <c r="I60">
        <f>'Methanol demand shares'!I60*'Indirect NH3 demand sources'!I$4</f>
        <v>0</v>
      </c>
      <c r="J60">
        <f>'Methanol demand shares'!J60*'Indirect NH3 demand sources'!J$4</f>
        <v>0</v>
      </c>
      <c r="K60">
        <f>'Methanol demand shares'!K60*'Indirect NH3 demand sources'!K$4</f>
        <v>0</v>
      </c>
      <c r="L60">
        <f>'Methanol demand shares'!L60*'Indirect NH3 demand sources'!L$4</f>
        <v>0</v>
      </c>
      <c r="M60">
        <f>'Methanol demand shares'!M60*'Indirect NH3 demand sources'!M$4</f>
        <v>0</v>
      </c>
      <c r="N60">
        <f>'Methanol demand shares'!N60*'Indirect NH3 demand sources'!N$4</f>
        <v>0</v>
      </c>
      <c r="O60">
        <f>'Methanol demand shares'!O60*'Indirect NH3 demand sources'!O$4</f>
        <v>0</v>
      </c>
      <c r="P60">
        <f>'Methanol demand shares'!P60*'Indirect NH3 demand sources'!P$4</f>
        <v>0</v>
      </c>
      <c r="Q60">
        <f>'Methanol demand shares'!Q60*'Indirect NH3 demand sources'!Q$4</f>
        <v>0</v>
      </c>
      <c r="R60">
        <f>'Methanol demand shares'!R60*'Indirect NH3 demand sources'!R$4</f>
        <v>0</v>
      </c>
      <c r="S60">
        <f>'Methanol demand shares'!S60*'Indirect NH3 demand sources'!S$4</f>
        <v>0</v>
      </c>
      <c r="T60">
        <f>'Methanol demand shares'!T60*'Indirect NH3 demand sources'!T$4</f>
        <v>0</v>
      </c>
      <c r="U60">
        <f>'Methanol demand shares'!U60*'Indirect NH3 demand sources'!U$4</f>
        <v>0</v>
      </c>
      <c r="V60">
        <f>'Methanol demand shares'!V60*'Indirect NH3 demand sources'!V$4</f>
        <v>0</v>
      </c>
      <c r="W60">
        <f>'Methanol demand shares'!W60*'Indirect NH3 demand sources'!W$4</f>
        <v>1.350705E-4</v>
      </c>
      <c r="X60">
        <f>'Methanol demand shares'!X60*'Indirect NH3 demand sources'!X$4</f>
        <v>2.7680610000000003E-4</v>
      </c>
      <c r="Y60">
        <f>'Methanol demand shares'!Y60*'Indirect NH3 demand sources'!Y$4</f>
        <v>4.2553395000000002E-4</v>
      </c>
      <c r="Z60">
        <f>'Methanol demand shares'!Z60*'Indirect NH3 demand sources'!Z$4</f>
        <v>5.8159680000000004E-4</v>
      </c>
      <c r="AA60">
        <f>'Methanol demand shares'!AA60*'Indirect NH3 demand sources'!AA$4</f>
        <v>7.4529374999999999E-4</v>
      </c>
      <c r="AB60">
        <f>'Methanol demand shares'!AB60*'Indirect NH3 demand sources'!AB$4</f>
        <v>9.1534500000000003E-4</v>
      </c>
      <c r="AC60">
        <f>'Methanol demand shares'!AC60*'Indirect NH3 demand sources'!AC$4</f>
        <v>1.093155E-3</v>
      </c>
      <c r="AD60">
        <f>'Methanol demand shares'!AD60*'Indirect NH3 demand sources'!AD$4</f>
        <v>1.279068E-3</v>
      </c>
      <c r="AE60">
        <f>'Methanol demand shares'!AE60*'Indirect NH3 demand sources'!AE$4</f>
        <v>1.4734575E-3</v>
      </c>
      <c r="AF60">
        <f>'Methanol demand shares'!AF60*'Indirect NH3 demand sources'!AF$4</f>
        <v>1.67661E-3</v>
      </c>
      <c r="AG60">
        <f>'Methanol demand shares'!AG60*'Indirect NH3 demand sources'!AG$4</f>
        <v>1.9637982000000002E-3</v>
      </c>
      <c r="AH60">
        <f>'Methanol demand shares'!AH60*'Indirect NH3 demand sources'!AH$4</f>
        <v>2.2657152000000002E-3</v>
      </c>
      <c r="AI60">
        <f>'Methanol demand shares'!AI60*'Indirect NH3 demand sources'!AI$4</f>
        <v>2.5830936000000005E-3</v>
      </c>
      <c r="AJ60">
        <f>'Methanol demand shares'!AJ60*'Indirect NH3 demand sources'!AJ$4</f>
        <v>2.9165760000000006E-3</v>
      </c>
      <c r="AK60">
        <f>'Methanol demand shares'!AK60*'Indirect NH3 demand sources'!AK$4</f>
        <v>3.2669580000000012E-3</v>
      </c>
      <c r="AL60">
        <f>'Methanol demand shares'!AL60*'Indirect NH3 demand sources'!AL$4</f>
        <v>3.6350028000000012E-3</v>
      </c>
      <c r="AM60">
        <f>'Methanol demand shares'!AM60*'Indirect NH3 demand sources'!AM$4</f>
        <v>4.0214988000000012E-3</v>
      </c>
      <c r="AN60">
        <f>'Methanol demand shares'!AN60*'Indirect NH3 demand sources'!AN$4</f>
        <v>4.4273232000000013E-3</v>
      </c>
      <c r="AO60">
        <f>'Methanol demand shares'!AO60*'Indirect NH3 demand sources'!AO$4</f>
        <v>4.8533274000000012E-3</v>
      </c>
      <c r="AP60">
        <f>'Methanol demand shares'!AP60*'Indirect NH3 demand sources'!AP$4</f>
        <v>5.300496E-3</v>
      </c>
    </row>
    <row r="61" spans="1:42" x14ac:dyDescent="0.3">
      <c r="A61" t="s">
        <v>60</v>
      </c>
      <c r="B61">
        <f>'Methanol demand shares'!B61*'Indirect NH3 demand sources'!B$4</f>
        <v>0</v>
      </c>
      <c r="C61">
        <f>'Methanol demand shares'!C61*'Indirect NH3 demand sources'!C$4</f>
        <v>0</v>
      </c>
      <c r="D61">
        <f>'Methanol demand shares'!D61*'Indirect NH3 demand sources'!D$4</f>
        <v>0</v>
      </c>
      <c r="E61">
        <f>'Methanol demand shares'!E61*'Indirect NH3 demand sources'!E$4</f>
        <v>0</v>
      </c>
      <c r="F61">
        <f>'Methanol demand shares'!F61*'Indirect NH3 demand sources'!F$4</f>
        <v>0</v>
      </c>
      <c r="G61">
        <f>'Methanol demand shares'!G61*'Indirect NH3 demand sources'!G$4</f>
        <v>0</v>
      </c>
      <c r="H61">
        <f>'Methanol demand shares'!H61*'Indirect NH3 demand sources'!H$4</f>
        <v>0</v>
      </c>
      <c r="I61">
        <f>'Methanol demand shares'!I61*'Indirect NH3 demand sources'!I$4</f>
        <v>0</v>
      </c>
      <c r="J61">
        <f>'Methanol demand shares'!J61*'Indirect NH3 demand sources'!J$4</f>
        <v>0</v>
      </c>
      <c r="K61">
        <f>'Methanol demand shares'!K61*'Indirect NH3 demand sources'!K$4</f>
        <v>0</v>
      </c>
      <c r="L61">
        <f>'Methanol demand shares'!L61*'Indirect NH3 demand sources'!L$4</f>
        <v>0</v>
      </c>
      <c r="M61">
        <f>'Methanol demand shares'!M61*'Indirect NH3 demand sources'!M$4</f>
        <v>0</v>
      </c>
      <c r="N61">
        <f>'Methanol demand shares'!N61*'Indirect NH3 demand sources'!N$4</f>
        <v>0</v>
      </c>
      <c r="O61">
        <f>'Methanol demand shares'!O61*'Indirect NH3 demand sources'!O$4</f>
        <v>0</v>
      </c>
      <c r="P61">
        <f>'Methanol demand shares'!P61*'Indirect NH3 demand sources'!P$4</f>
        <v>0</v>
      </c>
      <c r="Q61">
        <f>'Methanol demand shares'!Q61*'Indirect NH3 demand sources'!Q$4</f>
        <v>0</v>
      </c>
      <c r="R61">
        <f>'Methanol demand shares'!R61*'Indirect NH3 demand sources'!R$4</f>
        <v>0</v>
      </c>
      <c r="S61">
        <f>'Methanol demand shares'!S61*'Indirect NH3 demand sources'!S$4</f>
        <v>0</v>
      </c>
      <c r="T61">
        <f>'Methanol demand shares'!T61*'Indirect NH3 demand sources'!T$4</f>
        <v>0</v>
      </c>
      <c r="U61">
        <f>'Methanol demand shares'!U61*'Indirect NH3 demand sources'!U$4</f>
        <v>0</v>
      </c>
      <c r="V61">
        <f>'Methanol demand shares'!V61*'Indirect NH3 demand sources'!V$4</f>
        <v>0</v>
      </c>
      <c r="W61">
        <f>'Methanol demand shares'!W61*'Indirect NH3 demand sources'!W$4</f>
        <v>3.4547700000000001E-4</v>
      </c>
      <c r="X61">
        <f>'Methanol demand shares'!X61*'Indirect NH3 demand sources'!X$4</f>
        <v>7.0809600000000007E-4</v>
      </c>
      <c r="Y61">
        <f>'Methanol demand shares'!Y61*'Indirect NH3 demand sources'!Y$4</f>
        <v>1.0886939999999999E-3</v>
      </c>
      <c r="Z61">
        <f>'Methanol demand shares'!Z61*'Indirect NH3 demand sources'!Z$4</f>
        <v>1.4881619999999999E-3</v>
      </c>
      <c r="AA61">
        <f>'Methanol demand shares'!AA61*'Indirect NH3 demand sources'!AA$4</f>
        <v>1.9072649999999998E-3</v>
      </c>
      <c r="AB61">
        <f>'Methanol demand shares'!AB61*'Indirect NH3 demand sources'!AB$4</f>
        <v>2.3421509999999998E-3</v>
      </c>
      <c r="AC61">
        <f>'Methanol demand shares'!AC61*'Indirect NH3 demand sources'!AC$4</f>
        <v>2.7967485000000001E-3</v>
      </c>
      <c r="AD61">
        <f>'Methanol demand shares'!AD61*'Indirect NH3 demand sources'!AD$4</f>
        <v>3.2719559999999995E-3</v>
      </c>
      <c r="AE61">
        <f>'Methanol demand shares'!AE61*'Indirect NH3 demand sources'!AE$4</f>
        <v>3.7687005000000004E-3</v>
      </c>
      <c r="AF61">
        <f>'Methanol demand shares'!AF61*'Indirect NH3 demand sources'!AF$4</f>
        <v>4.2877200000000001E-3</v>
      </c>
      <c r="AG61">
        <f>'Methanol demand shares'!AG61*'Indirect NH3 demand sources'!AG$4</f>
        <v>5.0213808E-3</v>
      </c>
      <c r="AH61">
        <f>'Methanol demand shares'!AH61*'Indirect NH3 demand sources'!AH$4</f>
        <v>5.7925056000000009E-3</v>
      </c>
      <c r="AI61">
        <f>'Methanol demand shares'!AI61*'Indirect NH3 demand sources'!AI$4</f>
        <v>6.6027870000000015E-3</v>
      </c>
      <c r="AJ61">
        <f>'Methanol demand shares'!AJ61*'Indirect NH3 demand sources'!AJ$4</f>
        <v>7.4540466000000017E-3</v>
      </c>
      <c r="AK61">
        <f>'Methanol demand shares'!AK61*'Indirect NH3 demand sources'!AK$4</f>
        <v>8.3480880000000018E-3</v>
      </c>
      <c r="AL61">
        <f>'Methanol demand shares'!AL61*'Indirect NH3 demand sources'!AL$4</f>
        <v>9.2869032000000018E-3</v>
      </c>
      <c r="AM61">
        <f>'Methanol demand shares'!AM61*'Indirect NH3 demand sources'!AM$4</f>
        <v>1.0272517200000003E-2</v>
      </c>
      <c r="AN61">
        <f>'Methanol demand shares'!AN61*'Indirect NH3 demand sources'!AN$4</f>
        <v>1.1307030600000004E-2</v>
      </c>
      <c r="AO61">
        <f>'Methanol demand shares'!AO61*'Indirect NH3 demand sources'!AO$4</f>
        <v>1.2392653500000005E-2</v>
      </c>
      <c r="AP61">
        <f>'Methanol demand shares'!AP61*'Indirect NH3 demand sources'!AP$4</f>
        <v>1.3531787999999999E-2</v>
      </c>
    </row>
    <row r="62" spans="1:42" x14ac:dyDescent="0.3">
      <c r="A62" t="s">
        <v>61</v>
      </c>
      <c r="B62">
        <f>'Methanol demand shares'!B62*'Indirect NH3 demand sources'!B$4</f>
        <v>0</v>
      </c>
      <c r="C62">
        <f>'Methanol demand shares'!C62*'Indirect NH3 demand sources'!C$4</f>
        <v>0</v>
      </c>
      <c r="D62">
        <f>'Methanol demand shares'!D62*'Indirect NH3 demand sources'!D$4</f>
        <v>0</v>
      </c>
      <c r="E62">
        <f>'Methanol demand shares'!E62*'Indirect NH3 demand sources'!E$4</f>
        <v>0</v>
      </c>
      <c r="F62">
        <f>'Methanol demand shares'!F62*'Indirect NH3 demand sources'!F$4</f>
        <v>0</v>
      </c>
      <c r="G62">
        <f>'Methanol demand shares'!G62*'Indirect NH3 demand sources'!G$4</f>
        <v>0</v>
      </c>
      <c r="H62">
        <f>'Methanol demand shares'!H62*'Indirect NH3 demand sources'!H$4</f>
        <v>0</v>
      </c>
      <c r="I62">
        <f>'Methanol demand shares'!I62*'Indirect NH3 demand sources'!I$4</f>
        <v>0</v>
      </c>
      <c r="J62">
        <f>'Methanol demand shares'!J62*'Indirect NH3 demand sources'!J$4</f>
        <v>0</v>
      </c>
      <c r="K62">
        <f>'Methanol demand shares'!K62*'Indirect NH3 demand sources'!K$4</f>
        <v>0</v>
      </c>
      <c r="L62">
        <f>'Methanol demand shares'!L62*'Indirect NH3 demand sources'!L$4</f>
        <v>0</v>
      </c>
      <c r="M62">
        <f>'Methanol demand shares'!M62*'Indirect NH3 demand sources'!M$4</f>
        <v>0</v>
      </c>
      <c r="N62">
        <f>'Methanol demand shares'!N62*'Indirect NH3 demand sources'!N$4</f>
        <v>0</v>
      </c>
      <c r="O62">
        <f>'Methanol demand shares'!O62*'Indirect NH3 demand sources'!O$4</f>
        <v>0</v>
      </c>
      <c r="P62">
        <f>'Methanol demand shares'!P62*'Indirect NH3 demand sources'!P$4</f>
        <v>0</v>
      </c>
      <c r="Q62">
        <f>'Methanol demand shares'!Q62*'Indirect NH3 demand sources'!Q$4</f>
        <v>0</v>
      </c>
      <c r="R62">
        <f>'Methanol demand shares'!R62*'Indirect NH3 demand sources'!R$4</f>
        <v>0</v>
      </c>
      <c r="S62">
        <f>'Methanol demand shares'!S62*'Indirect NH3 demand sources'!S$4</f>
        <v>0</v>
      </c>
      <c r="T62">
        <f>'Methanol demand shares'!T62*'Indirect NH3 demand sources'!T$4</f>
        <v>0</v>
      </c>
      <c r="U62">
        <f>'Methanol demand shares'!U62*'Indirect NH3 demand sources'!U$4</f>
        <v>0</v>
      </c>
      <c r="V62">
        <f>'Methanol demand shares'!V62*'Indirect NH3 demand sources'!V$4</f>
        <v>0</v>
      </c>
      <c r="W62">
        <f>'Methanol demand shares'!W62*'Indirect NH3 demand sources'!W$4</f>
        <v>1.50111975E-2</v>
      </c>
      <c r="X62">
        <f>'Methanol demand shares'!X62*'Indirect NH3 demand sources'!X$4</f>
        <v>3.0204687000000001E-2</v>
      </c>
      <c r="Y62">
        <f>'Methanol demand shares'!Y62*'Indirect NH3 demand sources'!Y$4</f>
        <v>4.5590292000000004E-2</v>
      </c>
      <c r="Z62">
        <f>'Methanol demand shares'!Z62*'Indirect NH3 demand sources'!Z$4</f>
        <v>6.1177865999999997E-2</v>
      </c>
      <c r="AA62">
        <f>'Methanol demand shares'!AA62*'Indirect NH3 demand sources'!AA$4</f>
        <v>7.69709175E-2</v>
      </c>
      <c r="AB62">
        <f>'Methanol demand shares'!AB62*'Indirect NH3 demand sources'!AB$4</f>
        <v>9.4108536000000007E-2</v>
      </c>
      <c r="AC62">
        <f>'Methanol demand shares'!AC62*'Indirect NH3 demand sources'!AC$4</f>
        <v>0.111897051</v>
      </c>
      <c r="AD62">
        <f>'Methanol demand shares'!AD62*'Indirect NH3 demand sources'!AD$4</f>
        <v>0.130368444</v>
      </c>
      <c r="AE62">
        <f>'Methanol demand shares'!AE62*'Indirect NH3 demand sources'!AE$4</f>
        <v>0.149554566</v>
      </c>
      <c r="AF62">
        <f>'Methanol demand shares'!AF62*'Indirect NH3 demand sources'!AF$4</f>
        <v>0.169479195</v>
      </c>
      <c r="AG62">
        <f>'Methanol demand shares'!AG62*'Indirect NH3 demand sources'!AG$4</f>
        <v>0.19843288020000002</v>
      </c>
      <c r="AH62">
        <f>'Methanol demand shares'!AH62*'Indirect NH3 demand sources'!AH$4</f>
        <v>0.22883349120000004</v>
      </c>
      <c r="AI62">
        <f>'Methanol demand shares'!AI62*'Indirect NH3 demand sources'!AI$4</f>
        <v>0.26073310830000007</v>
      </c>
      <c r="AJ62">
        <f>'Methanol demand shares'!AJ62*'Indirect NH3 demand sources'!AJ$4</f>
        <v>0.29418243660000004</v>
      </c>
      <c r="AK62">
        <f>'Methanol demand shares'!AK62*'Indirect NH3 demand sources'!AK$4</f>
        <v>0.32922937800000007</v>
      </c>
      <c r="AL62">
        <f>'Methanol demand shares'!AL62*'Indirect NH3 demand sources'!AL$4</f>
        <v>0.36592190400000013</v>
      </c>
      <c r="AM62">
        <f>'Methanol demand shares'!AM62*'Indirect NH3 demand sources'!AM$4</f>
        <v>0.40430307060000015</v>
      </c>
      <c r="AN62">
        <f>'Methanol demand shares'!AN62*'Indirect NH3 demand sources'!AN$4</f>
        <v>0.44441282280000016</v>
      </c>
      <c r="AO62">
        <f>'Methanol demand shares'!AO62*'Indirect NH3 demand sources'!AO$4</f>
        <v>0.48628705890000018</v>
      </c>
      <c r="AP62">
        <f>'Methanol demand shares'!AP62*'Indirect NH3 demand sources'!AP$4</f>
        <v>0.52995970800000003</v>
      </c>
    </row>
    <row r="63" spans="1:42" x14ac:dyDescent="0.3">
      <c r="A63" t="s">
        <v>62</v>
      </c>
      <c r="B63">
        <f>'Methanol demand shares'!B63*'Indirect NH3 demand sources'!B$4</f>
        <v>0</v>
      </c>
      <c r="C63">
        <f>'Methanol demand shares'!C63*'Indirect NH3 demand sources'!C$4</f>
        <v>0</v>
      </c>
      <c r="D63">
        <f>'Methanol demand shares'!D63*'Indirect NH3 demand sources'!D$4</f>
        <v>0</v>
      </c>
      <c r="E63">
        <f>'Methanol demand shares'!E63*'Indirect NH3 demand sources'!E$4</f>
        <v>0</v>
      </c>
      <c r="F63">
        <f>'Methanol demand shares'!F63*'Indirect NH3 demand sources'!F$4</f>
        <v>0</v>
      </c>
      <c r="G63">
        <f>'Methanol demand shares'!G63*'Indirect NH3 demand sources'!G$4</f>
        <v>0</v>
      </c>
      <c r="H63">
        <f>'Methanol demand shares'!H63*'Indirect NH3 demand sources'!H$4</f>
        <v>0</v>
      </c>
      <c r="I63">
        <f>'Methanol demand shares'!I63*'Indirect NH3 demand sources'!I$4</f>
        <v>0</v>
      </c>
      <c r="J63">
        <f>'Methanol demand shares'!J63*'Indirect NH3 demand sources'!J$4</f>
        <v>0</v>
      </c>
      <c r="K63">
        <f>'Methanol demand shares'!K63*'Indirect NH3 demand sources'!K$4</f>
        <v>0</v>
      </c>
      <c r="L63">
        <f>'Methanol demand shares'!L63*'Indirect NH3 demand sources'!L$4</f>
        <v>0</v>
      </c>
      <c r="M63">
        <f>'Methanol demand shares'!M63*'Indirect NH3 demand sources'!M$4</f>
        <v>0</v>
      </c>
      <c r="N63">
        <f>'Methanol demand shares'!N63*'Indirect NH3 demand sources'!N$4</f>
        <v>0</v>
      </c>
      <c r="O63">
        <f>'Methanol demand shares'!O63*'Indirect NH3 demand sources'!O$4</f>
        <v>0</v>
      </c>
      <c r="P63">
        <f>'Methanol demand shares'!P63*'Indirect NH3 demand sources'!P$4</f>
        <v>0</v>
      </c>
      <c r="Q63">
        <f>'Methanol demand shares'!Q63*'Indirect NH3 demand sources'!Q$4</f>
        <v>0</v>
      </c>
      <c r="R63">
        <f>'Methanol demand shares'!R63*'Indirect NH3 demand sources'!R$4</f>
        <v>0</v>
      </c>
      <c r="S63">
        <f>'Methanol demand shares'!S63*'Indirect NH3 demand sources'!S$4</f>
        <v>0</v>
      </c>
      <c r="T63">
        <f>'Methanol demand shares'!T63*'Indirect NH3 demand sources'!T$4</f>
        <v>0</v>
      </c>
      <c r="U63">
        <f>'Methanol demand shares'!U63*'Indirect NH3 demand sources'!U$4</f>
        <v>0</v>
      </c>
      <c r="V63">
        <f>'Methanol demand shares'!V63*'Indirect NH3 demand sources'!V$4</f>
        <v>0</v>
      </c>
      <c r="W63">
        <f>'Methanol demand shares'!W63*'Indirect NH3 demand sources'!W$4</f>
        <v>1.3245689999999998E-3</v>
      </c>
      <c r="X63">
        <f>'Methanol demand shares'!X63*'Indirect NH3 demand sources'!X$4</f>
        <v>2.7123119999999997E-3</v>
      </c>
      <c r="Y63">
        <f>'Methanol demand shares'!Y63*'Indirect NH3 demand sources'!Y$4</f>
        <v>4.1655824999999999E-3</v>
      </c>
      <c r="Z63">
        <f>'Methanol demand shares'!Z63*'Indirect NH3 demand sources'!Z$4</f>
        <v>5.6870820000000004E-3</v>
      </c>
      <c r="AA63">
        <f>'Methanol demand shares'!AA63*'Indirect NH3 demand sources'!AA$4</f>
        <v>7.2790650000000004E-3</v>
      </c>
      <c r="AB63">
        <f>'Methanol demand shares'!AB63*'Indirect NH3 demand sources'!AB$4</f>
        <v>8.9276939999999999E-3</v>
      </c>
      <c r="AC63">
        <f>'Methanol demand shares'!AC63*'Indirect NH3 demand sources'!AC$4</f>
        <v>1.0646328E-2</v>
      </c>
      <c r="AD63">
        <f>'Methanol demand shares'!AD63*'Indirect NH3 demand sources'!AD$4</f>
        <v>1.2437603999999998E-2</v>
      </c>
      <c r="AE63">
        <f>'Methanol demand shares'!AE63*'Indirect NH3 demand sources'!AE$4</f>
        <v>1.43043975E-2</v>
      </c>
      <c r="AF63">
        <f>'Methanol demand shares'!AF63*'Indirect NH3 demand sources'!AF$4</f>
        <v>1.6248780000000001E-2</v>
      </c>
      <c r="AG63">
        <f>'Methanol demand shares'!AG63*'Indirect NH3 demand sources'!AG$4</f>
        <v>1.9017354600000001E-2</v>
      </c>
      <c r="AH63">
        <f>'Methanol demand shares'!AH63*'Indirect NH3 demand sources'!AH$4</f>
        <v>2.1923328000000006E-2</v>
      </c>
      <c r="AI63">
        <f>'Methanol demand shares'!AI63*'Indirect NH3 demand sources'!AI$4</f>
        <v>2.4972482100000006E-2</v>
      </c>
      <c r="AJ63">
        <f>'Methanol demand shares'!AJ63*'Indirect NH3 demand sources'!AJ$4</f>
        <v>2.8170768600000007E-2</v>
      </c>
      <c r="AK63">
        <f>'Methanol demand shares'!AK63*'Indirect NH3 demand sources'!AK$4</f>
        <v>3.1524273000000012E-2</v>
      </c>
      <c r="AL63">
        <f>'Methanol demand shares'!AL63*'Indirect NH3 demand sources'!AL$4</f>
        <v>3.5039552400000014E-2</v>
      </c>
      <c r="AM63">
        <f>'Methanol demand shares'!AM63*'Indirect NH3 demand sources'!AM$4</f>
        <v>3.8723097600000013E-2</v>
      </c>
      <c r="AN63">
        <f>'Methanol demand shares'!AN63*'Indirect NH3 demand sources'!AN$4</f>
        <v>4.2581694600000011E-2</v>
      </c>
      <c r="AO63">
        <f>'Methanol demand shares'!AO63*'Indirect NH3 demand sources'!AO$4</f>
        <v>4.6622331000000017E-2</v>
      </c>
      <c r="AP63">
        <f>'Methanol demand shares'!AP63*'Indirect NH3 demand sources'!AP$4</f>
        <v>5.0852376000000005E-2</v>
      </c>
    </row>
    <row r="64" spans="1:42" x14ac:dyDescent="0.3">
      <c r="A64" t="s">
        <v>63</v>
      </c>
      <c r="B64">
        <f>'Methanol demand shares'!B64*'Indirect NH3 demand sources'!B$4</f>
        <v>0</v>
      </c>
      <c r="C64">
        <f>'Methanol demand shares'!C64*'Indirect NH3 demand sources'!C$4</f>
        <v>0</v>
      </c>
      <c r="D64">
        <f>'Methanol demand shares'!D64*'Indirect NH3 demand sources'!D$4</f>
        <v>0</v>
      </c>
      <c r="E64">
        <f>'Methanol demand shares'!E64*'Indirect NH3 demand sources'!E$4</f>
        <v>0</v>
      </c>
      <c r="F64">
        <f>'Methanol demand shares'!F64*'Indirect NH3 demand sources'!F$4</f>
        <v>0</v>
      </c>
      <c r="G64">
        <f>'Methanol demand shares'!G64*'Indirect NH3 demand sources'!G$4</f>
        <v>0</v>
      </c>
      <c r="H64">
        <f>'Methanol demand shares'!H64*'Indirect NH3 demand sources'!H$4</f>
        <v>0</v>
      </c>
      <c r="I64">
        <f>'Methanol demand shares'!I64*'Indirect NH3 demand sources'!I$4</f>
        <v>0</v>
      </c>
      <c r="J64">
        <f>'Methanol demand shares'!J64*'Indirect NH3 demand sources'!J$4</f>
        <v>0</v>
      </c>
      <c r="K64">
        <f>'Methanol demand shares'!K64*'Indirect NH3 demand sources'!K$4</f>
        <v>0</v>
      </c>
      <c r="L64">
        <f>'Methanol demand shares'!L64*'Indirect NH3 demand sources'!L$4</f>
        <v>0</v>
      </c>
      <c r="M64">
        <f>'Methanol demand shares'!M64*'Indirect NH3 demand sources'!M$4</f>
        <v>0</v>
      </c>
      <c r="N64">
        <f>'Methanol demand shares'!N64*'Indirect NH3 demand sources'!N$4</f>
        <v>0</v>
      </c>
      <c r="O64">
        <f>'Methanol demand shares'!O64*'Indirect NH3 demand sources'!O$4</f>
        <v>0</v>
      </c>
      <c r="P64">
        <f>'Methanol demand shares'!P64*'Indirect NH3 demand sources'!P$4</f>
        <v>0</v>
      </c>
      <c r="Q64">
        <f>'Methanol demand shares'!Q64*'Indirect NH3 demand sources'!Q$4</f>
        <v>0</v>
      </c>
      <c r="R64">
        <f>'Methanol demand shares'!R64*'Indirect NH3 demand sources'!R$4</f>
        <v>0</v>
      </c>
      <c r="S64">
        <f>'Methanol demand shares'!S64*'Indirect NH3 demand sources'!S$4</f>
        <v>0</v>
      </c>
      <c r="T64">
        <f>'Methanol demand shares'!T64*'Indirect NH3 demand sources'!T$4</f>
        <v>0</v>
      </c>
      <c r="U64">
        <f>'Methanol demand shares'!U64*'Indirect NH3 demand sources'!U$4</f>
        <v>0</v>
      </c>
      <c r="V64">
        <f>'Methanol demand shares'!V64*'Indirect NH3 demand sources'!V$4</f>
        <v>0</v>
      </c>
      <c r="W64">
        <f>'Methanol demand shares'!W64*'Indirect NH3 demand sources'!W$4</f>
        <v>3.9542549999999998E-4</v>
      </c>
      <c r="X64">
        <f>'Methanol demand shares'!X64*'Indirect NH3 demand sources'!X$4</f>
        <v>8.0838599999999991E-4</v>
      </c>
      <c r="Y64">
        <f>'Methanol demand shares'!Y64*'Indirect NH3 demand sources'!Y$4</f>
        <v>1.239354E-3</v>
      </c>
      <c r="Z64">
        <f>'Methanol demand shares'!Z64*'Indirect NH3 demand sources'!Z$4</f>
        <v>1.6887899999999999E-3</v>
      </c>
      <c r="AA64">
        <f>'Methanol demand shares'!AA64*'Indirect NH3 demand sources'!AA$4</f>
        <v>2.1569549999999999E-3</v>
      </c>
      <c r="AB64">
        <f>'Methanol demand shares'!AB64*'Indirect NH3 demand sources'!AB$4</f>
        <v>2.6417609999999998E-3</v>
      </c>
      <c r="AC64">
        <f>'Methanol demand shares'!AC64*'Indirect NH3 demand sources'!AC$4</f>
        <v>3.1457054999999997E-3</v>
      </c>
      <c r="AD64">
        <f>'Methanol demand shares'!AD64*'Indirect NH3 demand sources'!AD$4</f>
        <v>3.66936E-3</v>
      </c>
      <c r="AE64">
        <f>'Methanol demand shares'!AE64*'Indirect NH3 demand sources'!AE$4</f>
        <v>4.2133094999999999E-3</v>
      </c>
      <c r="AF64">
        <f>'Methanol demand shares'!AF64*'Indirect NH3 demand sources'!AF$4</f>
        <v>4.777875E-3</v>
      </c>
      <c r="AG64">
        <f>'Methanol demand shares'!AG64*'Indirect NH3 demand sources'!AG$4</f>
        <v>5.5872198000000003E-3</v>
      </c>
      <c r="AH64">
        <f>'Methanol demand shares'!AH64*'Indirect NH3 demand sources'!AH$4</f>
        <v>6.4353408000000006E-3</v>
      </c>
      <c r="AI64">
        <f>'Methanol demand shares'!AI64*'Indirect NH3 demand sources'!AI$4</f>
        <v>7.3237920000000008E-3</v>
      </c>
      <c r="AJ64">
        <f>'Methanol demand shares'!AJ64*'Indirect NH3 demand sources'!AJ$4</f>
        <v>8.2541394000000025E-3</v>
      </c>
      <c r="AK64">
        <f>'Methanol demand shares'!AK64*'Indirect NH3 demand sources'!AK$4</f>
        <v>9.2279400000000039E-3</v>
      </c>
      <c r="AL64">
        <f>'Methanol demand shares'!AL64*'Indirect NH3 demand sources'!AL$4</f>
        <v>1.0246914000000003E-2</v>
      </c>
      <c r="AM64">
        <f>'Methanol demand shares'!AM64*'Indirect NH3 demand sources'!AM$4</f>
        <v>1.1312759700000004E-2</v>
      </c>
      <c r="AN64">
        <f>'Methanol demand shares'!AN64*'Indirect NH3 demand sources'!AN$4</f>
        <v>1.2427249200000006E-2</v>
      </c>
      <c r="AO64">
        <f>'Methanol demand shares'!AO64*'Indirect NH3 demand sources'!AO$4</f>
        <v>1.3592171100000005E-2</v>
      </c>
      <c r="AP64">
        <f>'Methanol demand shares'!AP64*'Indirect NH3 demand sources'!AP$4</f>
        <v>1.4809464E-2</v>
      </c>
    </row>
    <row r="65" spans="1:42" x14ac:dyDescent="0.3">
      <c r="A65" t="s">
        <v>64</v>
      </c>
      <c r="B65">
        <f>'Methanol demand shares'!B65*'Indirect NH3 demand sources'!B$4</f>
        <v>0</v>
      </c>
      <c r="C65">
        <f>'Methanol demand shares'!C65*'Indirect NH3 demand sources'!C$4</f>
        <v>0</v>
      </c>
      <c r="D65">
        <f>'Methanol demand shares'!D65*'Indirect NH3 demand sources'!D$4</f>
        <v>0</v>
      </c>
      <c r="E65">
        <f>'Methanol demand shares'!E65*'Indirect NH3 demand sources'!E$4</f>
        <v>0</v>
      </c>
      <c r="F65">
        <f>'Methanol demand shares'!F65*'Indirect NH3 demand sources'!F$4</f>
        <v>0</v>
      </c>
      <c r="G65">
        <f>'Methanol demand shares'!G65*'Indirect NH3 demand sources'!G$4</f>
        <v>0</v>
      </c>
      <c r="H65">
        <f>'Methanol demand shares'!H65*'Indirect NH3 demand sources'!H$4</f>
        <v>0</v>
      </c>
      <c r="I65">
        <f>'Methanol demand shares'!I65*'Indirect NH3 demand sources'!I$4</f>
        <v>0</v>
      </c>
      <c r="J65">
        <f>'Methanol demand shares'!J65*'Indirect NH3 demand sources'!J$4</f>
        <v>0</v>
      </c>
      <c r="K65">
        <f>'Methanol demand shares'!K65*'Indirect NH3 demand sources'!K$4</f>
        <v>0</v>
      </c>
      <c r="L65">
        <f>'Methanol demand shares'!L65*'Indirect NH3 demand sources'!L$4</f>
        <v>0</v>
      </c>
      <c r="M65">
        <f>'Methanol demand shares'!M65*'Indirect NH3 demand sources'!M$4</f>
        <v>0</v>
      </c>
      <c r="N65">
        <f>'Methanol demand shares'!N65*'Indirect NH3 demand sources'!N$4</f>
        <v>0</v>
      </c>
      <c r="O65">
        <f>'Methanol demand shares'!O65*'Indirect NH3 demand sources'!O$4</f>
        <v>0</v>
      </c>
      <c r="P65">
        <f>'Methanol demand shares'!P65*'Indirect NH3 demand sources'!P$4</f>
        <v>0</v>
      </c>
      <c r="Q65">
        <f>'Methanol demand shares'!Q65*'Indirect NH3 demand sources'!Q$4</f>
        <v>0</v>
      </c>
      <c r="R65">
        <f>'Methanol demand shares'!R65*'Indirect NH3 demand sources'!R$4</f>
        <v>0</v>
      </c>
      <c r="S65">
        <f>'Methanol demand shares'!S65*'Indirect NH3 demand sources'!S$4</f>
        <v>0</v>
      </c>
      <c r="T65">
        <f>'Methanol demand shares'!T65*'Indirect NH3 demand sources'!T$4</f>
        <v>0</v>
      </c>
      <c r="U65">
        <f>'Methanol demand shares'!U65*'Indirect NH3 demand sources'!U$4</f>
        <v>0</v>
      </c>
      <c r="V65">
        <f>'Methanol demand shares'!V65*'Indirect NH3 demand sources'!V$4</f>
        <v>0</v>
      </c>
      <c r="W65">
        <f>'Methanol demand shares'!W65*'Indirect NH3 demand sources'!W$4</f>
        <v>1.1721225000000001E-4</v>
      </c>
      <c r="X65">
        <f>'Methanol demand shares'!X65*'Indirect NH3 demand sources'!X$4</f>
        <v>2.407644E-4</v>
      </c>
      <c r="Y65">
        <f>'Methanol demand shares'!Y65*'Indirect NH3 demand sources'!Y$4</f>
        <v>3.7099125000000002E-4</v>
      </c>
      <c r="Z65">
        <f>'Methanol demand shares'!Z65*'Indirect NH3 demand sources'!Z$4</f>
        <v>5.0824440000000006E-4</v>
      </c>
      <c r="AA65">
        <f>'Methanol demand shares'!AA65*'Indirect NH3 demand sources'!AA$4</f>
        <v>6.5283974999999993E-4</v>
      </c>
      <c r="AB65">
        <f>'Methanol demand shares'!AB65*'Indirect NH3 demand sources'!AB$4</f>
        <v>8.0376569999999993E-4</v>
      </c>
      <c r="AC65">
        <f>'Methanol demand shares'!AC65*'Indirect NH3 demand sources'!AC$4</f>
        <v>9.6225360000000003E-4</v>
      </c>
      <c r="AD65">
        <f>'Methanol demand shares'!AD65*'Indirect NH3 demand sources'!AD$4</f>
        <v>1.1286708000000001E-3</v>
      </c>
      <c r="AE65">
        <f>'Methanol demand shares'!AE65*'Indirect NH3 demand sources'!AE$4</f>
        <v>1.3033898999999999E-3</v>
      </c>
      <c r="AF65">
        <f>'Methanol demand shares'!AF65*'Indirect NH3 demand sources'!AF$4</f>
        <v>1.4867234999999999E-3</v>
      </c>
      <c r="AG65">
        <f>'Methanol demand shares'!AG65*'Indirect NH3 demand sources'!AG$4</f>
        <v>1.7466453000000001E-3</v>
      </c>
      <c r="AH65">
        <f>'Methanol demand shares'!AH65*'Indirect NH3 demand sources'!AH$4</f>
        <v>2.0213184000000004E-3</v>
      </c>
      <c r="AI65">
        <f>'Methanol demand shares'!AI65*'Indirect NH3 demand sources'!AI$4</f>
        <v>2.3114547000000004E-3</v>
      </c>
      <c r="AJ65">
        <f>'Methanol demand shares'!AJ65*'Indirect NH3 demand sources'!AJ$4</f>
        <v>2.6178516000000007E-3</v>
      </c>
      <c r="AK65">
        <f>'Methanol demand shares'!AK65*'Indirect NH3 demand sources'!AK$4</f>
        <v>2.9412975000000009E-3</v>
      </c>
      <c r="AL65">
        <f>'Methanol demand shares'!AL65*'Indirect NH3 demand sources'!AL$4</f>
        <v>3.282661200000001E-3</v>
      </c>
      <c r="AM65">
        <f>'Methanol demand shares'!AM65*'Indirect NH3 demand sources'!AM$4</f>
        <v>3.6428238000000015E-3</v>
      </c>
      <c r="AN65">
        <f>'Methanol demand shares'!AN65*'Indirect NH3 demand sources'!AN$4</f>
        <v>4.0227000000000014E-3</v>
      </c>
      <c r="AO65">
        <f>'Methanol demand shares'!AO65*'Indirect NH3 demand sources'!AO$4</f>
        <v>4.4232720000000024E-3</v>
      </c>
      <c r="AP65">
        <f>'Methanol demand shares'!AP65*'Indirect NH3 demand sources'!AP$4</f>
        <v>4.8455640000000001E-3</v>
      </c>
    </row>
    <row r="66" spans="1:42" x14ac:dyDescent="0.3">
      <c r="A66" t="s">
        <v>65</v>
      </c>
      <c r="B66">
        <f>'Methanol demand shares'!B66*'Indirect NH3 demand sources'!B$4</f>
        <v>0</v>
      </c>
      <c r="C66">
        <f>'Methanol demand shares'!C66*'Indirect NH3 demand sources'!C$4</f>
        <v>0</v>
      </c>
      <c r="D66">
        <f>'Methanol demand shares'!D66*'Indirect NH3 demand sources'!D$4</f>
        <v>0</v>
      </c>
      <c r="E66">
        <f>'Methanol demand shares'!E66*'Indirect NH3 demand sources'!E$4</f>
        <v>0</v>
      </c>
      <c r="F66">
        <f>'Methanol demand shares'!F66*'Indirect NH3 demand sources'!F$4</f>
        <v>0</v>
      </c>
      <c r="G66">
        <f>'Methanol demand shares'!G66*'Indirect NH3 demand sources'!G$4</f>
        <v>0</v>
      </c>
      <c r="H66">
        <f>'Methanol demand shares'!H66*'Indirect NH3 demand sources'!H$4</f>
        <v>0</v>
      </c>
      <c r="I66">
        <f>'Methanol demand shares'!I66*'Indirect NH3 demand sources'!I$4</f>
        <v>0</v>
      </c>
      <c r="J66">
        <f>'Methanol demand shares'!J66*'Indirect NH3 demand sources'!J$4</f>
        <v>0</v>
      </c>
      <c r="K66">
        <f>'Methanol demand shares'!K66*'Indirect NH3 demand sources'!K$4</f>
        <v>0</v>
      </c>
      <c r="L66">
        <f>'Methanol demand shares'!L66*'Indirect NH3 demand sources'!L$4</f>
        <v>0</v>
      </c>
      <c r="M66">
        <f>'Methanol demand shares'!M66*'Indirect NH3 demand sources'!M$4</f>
        <v>0</v>
      </c>
      <c r="N66">
        <f>'Methanol demand shares'!N66*'Indirect NH3 demand sources'!N$4</f>
        <v>0</v>
      </c>
      <c r="O66">
        <f>'Methanol demand shares'!O66*'Indirect NH3 demand sources'!O$4</f>
        <v>0</v>
      </c>
      <c r="P66">
        <f>'Methanol demand shares'!P66*'Indirect NH3 demand sources'!P$4</f>
        <v>0</v>
      </c>
      <c r="Q66">
        <f>'Methanol demand shares'!Q66*'Indirect NH3 demand sources'!Q$4</f>
        <v>0</v>
      </c>
      <c r="R66">
        <f>'Methanol demand shares'!R66*'Indirect NH3 demand sources'!R$4</f>
        <v>0</v>
      </c>
      <c r="S66">
        <f>'Methanol demand shares'!S66*'Indirect NH3 demand sources'!S$4</f>
        <v>0</v>
      </c>
      <c r="T66">
        <f>'Methanol demand shares'!T66*'Indirect NH3 demand sources'!T$4</f>
        <v>0</v>
      </c>
      <c r="U66">
        <f>'Methanol demand shares'!U66*'Indirect NH3 demand sources'!U$4</f>
        <v>0</v>
      </c>
      <c r="V66">
        <f>'Methanol demand shares'!V66*'Indirect NH3 demand sources'!V$4</f>
        <v>0</v>
      </c>
      <c r="W66">
        <f>'Methanol demand shares'!W66*'Indirect NH3 demand sources'!W$4</f>
        <v>4.5677550000000004E-4</v>
      </c>
      <c r="X66">
        <f>'Methanol demand shares'!X66*'Indirect NH3 demand sources'!X$4</f>
        <v>1.0119899999999999E-3</v>
      </c>
      <c r="Y66">
        <f>'Methanol demand shares'!Y66*'Indirect NH3 demand sources'!Y$4</f>
        <v>1.6819425E-3</v>
      </c>
      <c r="Z66">
        <f>'Methanol demand shares'!Z66*'Indirect NH3 demand sources'!Z$4</f>
        <v>2.4853740000000003E-3</v>
      </c>
      <c r="AA66">
        <f>'Methanol demand shares'!AA66*'Indirect NH3 demand sources'!AA$4</f>
        <v>3.4435575E-3</v>
      </c>
      <c r="AB66">
        <f>'Methanol demand shares'!AB66*'Indirect NH3 demand sources'!AB$4</f>
        <v>4.5732869999999997E-3</v>
      </c>
      <c r="AC66">
        <f>'Methanol demand shares'!AC66*'Indirect NH3 demand sources'!AC$4</f>
        <v>5.9060715000000003E-3</v>
      </c>
      <c r="AD66">
        <f>'Methanol demand shares'!AD66*'Indirect NH3 demand sources'!AD$4</f>
        <v>7.4730720000000007E-3</v>
      </c>
      <c r="AE66">
        <f>'Methanol demand shares'!AE66*'Indirect NH3 demand sources'!AE$4</f>
        <v>9.3098564999999998E-3</v>
      </c>
      <c r="AF66">
        <f>'Methanol demand shares'!AF66*'Indirect NH3 demand sources'!AF$4</f>
        <v>1.1456475000000001E-2</v>
      </c>
      <c r="AG66">
        <f>'Methanol demand shares'!AG66*'Indirect NH3 demand sources'!AG$4</f>
        <v>1.4520926700000001E-2</v>
      </c>
      <c r="AH66">
        <f>'Methanol demand shares'!AH66*'Indirect NH3 demand sources'!AH$4</f>
        <v>1.8130368000000001E-2</v>
      </c>
      <c r="AI66">
        <f>'Methanol demand shares'!AI66*'Indirect NH3 demand sources'!AI$4</f>
        <v>2.2369792500000003E-2</v>
      </c>
      <c r="AJ66">
        <f>'Methanol demand shares'!AJ66*'Indirect NH3 demand sources'!AJ$4</f>
        <v>2.7336605400000009E-2</v>
      </c>
      <c r="AK66">
        <f>'Methanol demand shares'!AK66*'Indirect NH3 demand sources'!AK$4</f>
        <v>3.3142350000000008E-2</v>
      </c>
      <c r="AL66">
        <f>'Methanol demand shares'!AL66*'Indirect NH3 demand sources'!AL$4</f>
        <v>3.9915147600000013E-2</v>
      </c>
      <c r="AM66">
        <f>'Methanol demand shares'!AM66*'Indirect NH3 demand sources'!AM$4</f>
        <v>4.7801437200000019E-2</v>
      </c>
      <c r="AN66">
        <f>'Methanol demand shares'!AN66*'Indirect NH3 demand sources'!AN$4</f>
        <v>5.6968968600000024E-2</v>
      </c>
      <c r="AO66">
        <f>'Methanol demand shares'!AO66*'Indirect NH3 demand sources'!AO$4</f>
        <v>6.7609685400000022E-2</v>
      </c>
      <c r="AP66">
        <f>'Methanol demand shares'!AP66*'Indirect NH3 demand sources'!AP$4</f>
        <v>7.9943580000000014E-2</v>
      </c>
    </row>
    <row r="67" spans="1:42" x14ac:dyDescent="0.3">
      <c r="A67" t="s">
        <v>66</v>
      </c>
      <c r="B67">
        <f>'Methanol demand shares'!B67*'Indirect NH3 demand sources'!B$4</f>
        <v>0</v>
      </c>
      <c r="C67">
        <f>'Methanol demand shares'!C67*'Indirect NH3 demand sources'!C$4</f>
        <v>0</v>
      </c>
      <c r="D67">
        <f>'Methanol demand shares'!D67*'Indirect NH3 demand sources'!D$4</f>
        <v>0</v>
      </c>
      <c r="E67">
        <f>'Methanol demand shares'!E67*'Indirect NH3 demand sources'!E$4</f>
        <v>0</v>
      </c>
      <c r="F67">
        <f>'Methanol demand shares'!F67*'Indirect NH3 demand sources'!F$4</f>
        <v>0</v>
      </c>
      <c r="G67">
        <f>'Methanol demand shares'!G67*'Indirect NH3 demand sources'!G$4</f>
        <v>0</v>
      </c>
      <c r="H67">
        <f>'Methanol demand shares'!H67*'Indirect NH3 demand sources'!H$4</f>
        <v>0</v>
      </c>
      <c r="I67">
        <f>'Methanol demand shares'!I67*'Indirect NH3 demand sources'!I$4</f>
        <v>0</v>
      </c>
      <c r="J67">
        <f>'Methanol demand shares'!J67*'Indirect NH3 demand sources'!J$4</f>
        <v>0</v>
      </c>
      <c r="K67">
        <f>'Methanol demand shares'!K67*'Indirect NH3 demand sources'!K$4</f>
        <v>0</v>
      </c>
      <c r="L67">
        <f>'Methanol demand shares'!L67*'Indirect NH3 demand sources'!L$4</f>
        <v>0</v>
      </c>
      <c r="M67">
        <f>'Methanol demand shares'!M67*'Indirect NH3 demand sources'!M$4</f>
        <v>0</v>
      </c>
      <c r="N67">
        <f>'Methanol demand shares'!N67*'Indirect NH3 demand sources'!N$4</f>
        <v>0</v>
      </c>
      <c r="O67">
        <f>'Methanol demand shares'!O67*'Indirect NH3 demand sources'!O$4</f>
        <v>0</v>
      </c>
      <c r="P67">
        <f>'Methanol demand shares'!P67*'Indirect NH3 demand sources'!P$4</f>
        <v>0</v>
      </c>
      <c r="Q67">
        <f>'Methanol demand shares'!Q67*'Indirect NH3 demand sources'!Q$4</f>
        <v>0</v>
      </c>
      <c r="R67">
        <f>'Methanol demand shares'!R67*'Indirect NH3 demand sources'!R$4</f>
        <v>0</v>
      </c>
      <c r="S67">
        <f>'Methanol demand shares'!S67*'Indirect NH3 demand sources'!S$4</f>
        <v>0</v>
      </c>
      <c r="T67">
        <f>'Methanol demand shares'!T67*'Indirect NH3 demand sources'!T$4</f>
        <v>0</v>
      </c>
      <c r="U67">
        <f>'Methanol demand shares'!U67*'Indirect NH3 demand sources'!U$4</f>
        <v>0</v>
      </c>
      <c r="V67">
        <f>'Methanol demand shares'!V67*'Indirect NH3 demand sources'!V$4</f>
        <v>0</v>
      </c>
      <c r="W67">
        <f>'Methanol demand shares'!W67*'Indirect NH3 demand sources'!W$4</f>
        <v>1.9249500000000002E-4</v>
      </c>
      <c r="X67">
        <f>'Methanol demand shares'!X67*'Indirect NH3 demand sources'!X$4</f>
        <v>3.9497999999999996E-4</v>
      </c>
      <c r="Y67">
        <f>'Methanol demand shares'!Y67*'Indirect NH3 demand sources'!Y$4</f>
        <v>6.0798150000000001E-4</v>
      </c>
      <c r="Z67">
        <f>'Methanol demand shares'!Z67*'Indirect NH3 demand sources'!Z$4</f>
        <v>8.3206199999999995E-4</v>
      </c>
      <c r="AA67">
        <f>'Methanol demand shares'!AA67*'Indirect NH3 demand sources'!AA$4</f>
        <v>1.0677149999999999E-3</v>
      </c>
      <c r="AB67">
        <f>'Methanol demand shares'!AB67*'Indirect NH3 demand sources'!AB$4</f>
        <v>1.313289E-3</v>
      </c>
      <c r="AC67">
        <f>'Methanol demand shares'!AC67*'Indirect NH3 demand sources'!AC$4</f>
        <v>1.570779E-3</v>
      </c>
      <c r="AD67">
        <f>'Methanol demand shares'!AD67*'Indirect NH3 demand sources'!AD$4</f>
        <v>1.8407879999999999E-3</v>
      </c>
      <c r="AE67">
        <f>'Methanol demand shares'!AE67*'Indirect NH3 demand sources'!AE$4</f>
        <v>2.1239010000000001E-3</v>
      </c>
      <c r="AF67">
        <f>'Methanol demand shares'!AF67*'Indirect NH3 demand sources'!AF$4</f>
        <v>2.4206399999999999E-3</v>
      </c>
      <c r="AG67">
        <f>'Methanol demand shares'!AG67*'Indirect NH3 demand sources'!AG$4</f>
        <v>2.8415754000000004E-3</v>
      </c>
      <c r="AH67">
        <f>'Methanol demand shares'!AH67*'Indirect NH3 demand sources'!AH$4</f>
        <v>3.2859648000000004E-3</v>
      </c>
      <c r="AI67">
        <f>'Methanol demand shares'!AI67*'Indirect NH3 demand sources'!AI$4</f>
        <v>3.7549770000000009E-3</v>
      </c>
      <c r="AJ67">
        <f>'Methanol demand shares'!AJ67*'Indirect NH3 demand sources'!AJ$4</f>
        <v>4.249908000000001E-3</v>
      </c>
      <c r="AK67">
        <f>'Methanol demand shares'!AK67*'Indirect NH3 demand sources'!AK$4</f>
        <v>4.7720955000000011E-3</v>
      </c>
      <c r="AL67">
        <f>'Methanol demand shares'!AL67*'Indirect NH3 demand sources'!AL$4</f>
        <v>5.3229636000000019E-3</v>
      </c>
      <c r="AM67">
        <f>'Methanol demand shares'!AM67*'Indirect NH3 demand sources'!AM$4</f>
        <v>5.9040333000000018E-3</v>
      </c>
      <c r="AN67">
        <f>'Methanol demand shares'!AN67*'Indirect NH3 demand sources'!AN$4</f>
        <v>6.5168694000000025E-3</v>
      </c>
      <c r="AO67">
        <f>'Methanol demand shares'!AO67*'Indirect NH3 demand sources'!AO$4</f>
        <v>7.163137800000002E-3</v>
      </c>
      <c r="AP67">
        <f>'Methanol demand shares'!AP67*'Indirect NH3 demand sources'!AP$4</f>
        <v>7.8446520000000006E-3</v>
      </c>
    </row>
    <row r="68" spans="1:42" x14ac:dyDescent="0.3">
      <c r="A68" t="s">
        <v>67</v>
      </c>
      <c r="B68">
        <f>'Methanol demand shares'!B68*'Indirect NH3 demand sources'!B$4</f>
        <v>0</v>
      </c>
      <c r="C68">
        <f>'Methanol demand shares'!C68*'Indirect NH3 demand sources'!C$4</f>
        <v>0</v>
      </c>
      <c r="D68">
        <f>'Methanol demand shares'!D68*'Indirect NH3 demand sources'!D$4</f>
        <v>0</v>
      </c>
      <c r="E68">
        <f>'Methanol demand shares'!E68*'Indirect NH3 demand sources'!E$4</f>
        <v>0</v>
      </c>
      <c r="F68">
        <f>'Methanol demand shares'!F68*'Indirect NH3 demand sources'!F$4</f>
        <v>0</v>
      </c>
      <c r="G68">
        <f>'Methanol demand shares'!G68*'Indirect NH3 demand sources'!G$4</f>
        <v>0</v>
      </c>
      <c r="H68">
        <f>'Methanol demand shares'!H68*'Indirect NH3 demand sources'!H$4</f>
        <v>0</v>
      </c>
      <c r="I68">
        <f>'Methanol demand shares'!I68*'Indirect NH3 demand sources'!I$4</f>
        <v>0</v>
      </c>
      <c r="J68">
        <f>'Methanol demand shares'!J68*'Indirect NH3 demand sources'!J$4</f>
        <v>0</v>
      </c>
      <c r="K68">
        <f>'Methanol demand shares'!K68*'Indirect NH3 demand sources'!K$4</f>
        <v>0</v>
      </c>
      <c r="L68">
        <f>'Methanol demand shares'!L68*'Indirect NH3 demand sources'!L$4</f>
        <v>0</v>
      </c>
      <c r="M68">
        <f>'Methanol demand shares'!M68*'Indirect NH3 demand sources'!M$4</f>
        <v>0</v>
      </c>
      <c r="N68">
        <f>'Methanol demand shares'!N68*'Indirect NH3 demand sources'!N$4</f>
        <v>0</v>
      </c>
      <c r="O68">
        <f>'Methanol demand shares'!O68*'Indirect NH3 demand sources'!O$4</f>
        <v>0</v>
      </c>
      <c r="P68">
        <f>'Methanol demand shares'!P68*'Indirect NH3 demand sources'!P$4</f>
        <v>0</v>
      </c>
      <c r="Q68">
        <f>'Methanol demand shares'!Q68*'Indirect NH3 demand sources'!Q$4</f>
        <v>0</v>
      </c>
      <c r="R68">
        <f>'Methanol demand shares'!R68*'Indirect NH3 demand sources'!R$4</f>
        <v>0</v>
      </c>
      <c r="S68">
        <f>'Methanol demand shares'!S68*'Indirect NH3 demand sources'!S$4</f>
        <v>0</v>
      </c>
      <c r="T68">
        <f>'Methanol demand shares'!T68*'Indirect NH3 demand sources'!T$4</f>
        <v>0</v>
      </c>
      <c r="U68">
        <f>'Methanol demand shares'!U68*'Indirect NH3 demand sources'!U$4</f>
        <v>0</v>
      </c>
      <c r="V68">
        <f>'Methanol demand shares'!V68*'Indirect NH3 demand sources'!V$4</f>
        <v>0</v>
      </c>
      <c r="W68">
        <f>'Methanol demand shares'!W68*'Indirect NH3 demand sources'!W$4</f>
        <v>1.60731E-4</v>
      </c>
      <c r="X68">
        <f>'Methanol demand shares'!X68*'Indirect NH3 demand sources'!X$4</f>
        <v>3.29859E-4</v>
      </c>
      <c r="Y68">
        <f>'Methanol demand shares'!Y68*'Indirect NH3 demand sources'!Y$4</f>
        <v>5.0782500000000005E-4</v>
      </c>
      <c r="Z68">
        <f>'Methanol demand shares'!Z68*'Indirect NH3 demand sources'!Z$4</f>
        <v>6.9509399999999994E-4</v>
      </c>
      <c r="AA68">
        <f>'Methanol demand shares'!AA68*'Indirect NH3 demand sources'!AA$4</f>
        <v>8.9208749999999991E-4</v>
      </c>
      <c r="AB68">
        <f>'Methanol demand shares'!AB68*'Indirect NH3 demand sources'!AB$4</f>
        <v>1.0974329999999999E-3</v>
      </c>
      <c r="AC68">
        <f>'Methanol demand shares'!AC68*'Indirect NH3 demand sources'!AC$4</f>
        <v>1.3127834999999998E-3</v>
      </c>
      <c r="AD68">
        <f>'Methanol demand shares'!AD68*'Indirect NH3 demand sources'!AD$4</f>
        <v>1.53864E-3</v>
      </c>
      <c r="AE68">
        <f>'Methanol demand shares'!AE68*'Indirect NH3 demand sources'!AE$4</f>
        <v>1.7755065E-3</v>
      </c>
      <c r="AF68">
        <f>'Methanol demand shares'!AF68*'Indirect NH3 demand sources'!AF$4</f>
        <v>2.023815E-3</v>
      </c>
      <c r="AG68">
        <f>'Methanol demand shares'!AG68*'Indirect NH3 demand sources'!AG$4</f>
        <v>2.3760279E-3</v>
      </c>
      <c r="AH68">
        <f>'Methanol demand shares'!AH68*'Indirect NH3 demand sources'!AH$4</f>
        <v>2.7478848000000006E-3</v>
      </c>
      <c r="AI68">
        <f>'Methanol demand shares'!AI68*'Indirect NH3 demand sources'!AI$4</f>
        <v>3.1404081000000004E-3</v>
      </c>
      <c r="AJ68">
        <f>'Methanol demand shares'!AJ68*'Indirect NH3 demand sources'!AJ$4</f>
        <v>3.5546706000000013E-3</v>
      </c>
      <c r="AK68">
        <f>'Methanol demand shares'!AK68*'Indirect NH3 demand sources'!AK$4</f>
        <v>3.9917955000000008E-3</v>
      </c>
      <c r="AL68">
        <f>'Methanol demand shares'!AL68*'Indirect NH3 demand sources'!AL$4</f>
        <v>4.452956400000002E-3</v>
      </c>
      <c r="AM68">
        <f>'Methanol demand shares'!AM68*'Indirect NH3 demand sources'!AM$4</f>
        <v>4.9394070000000016E-3</v>
      </c>
      <c r="AN68">
        <f>'Methanol demand shares'!AN68*'Indirect NH3 demand sources'!AN$4</f>
        <v>5.4524916000000014E-3</v>
      </c>
      <c r="AO68">
        <f>'Methanol demand shares'!AO68*'Indirect NH3 demand sources'!AO$4</f>
        <v>5.993553900000002E-3</v>
      </c>
      <c r="AP68">
        <f>'Methanol demand shares'!AP68*'Indirect NH3 demand sources'!AP$4</f>
        <v>6.5640960000000002E-3</v>
      </c>
    </row>
    <row r="69" spans="1:42" x14ac:dyDescent="0.3">
      <c r="A69" t="s">
        <v>68</v>
      </c>
      <c r="B69">
        <f>'Methanol demand shares'!B69*'Indirect NH3 demand sources'!B$4</f>
        <v>0</v>
      </c>
      <c r="C69">
        <f>'Methanol demand shares'!C69*'Indirect NH3 demand sources'!C$4</f>
        <v>0</v>
      </c>
      <c r="D69">
        <f>'Methanol demand shares'!D69*'Indirect NH3 demand sources'!D$4</f>
        <v>0</v>
      </c>
      <c r="E69">
        <f>'Methanol demand shares'!E69*'Indirect NH3 demand sources'!E$4</f>
        <v>0</v>
      </c>
      <c r="F69">
        <f>'Methanol demand shares'!F69*'Indirect NH3 demand sources'!F$4</f>
        <v>0</v>
      </c>
      <c r="G69">
        <f>'Methanol demand shares'!G69*'Indirect NH3 demand sources'!G$4</f>
        <v>0</v>
      </c>
      <c r="H69">
        <f>'Methanol demand shares'!H69*'Indirect NH3 demand sources'!H$4</f>
        <v>0</v>
      </c>
      <c r="I69">
        <f>'Methanol demand shares'!I69*'Indirect NH3 demand sources'!I$4</f>
        <v>0</v>
      </c>
      <c r="J69">
        <f>'Methanol demand shares'!J69*'Indirect NH3 demand sources'!J$4</f>
        <v>0</v>
      </c>
      <c r="K69">
        <f>'Methanol demand shares'!K69*'Indirect NH3 demand sources'!K$4</f>
        <v>0</v>
      </c>
      <c r="L69">
        <f>'Methanol demand shares'!L69*'Indirect NH3 demand sources'!L$4</f>
        <v>0</v>
      </c>
      <c r="M69">
        <f>'Methanol demand shares'!M69*'Indirect NH3 demand sources'!M$4</f>
        <v>0</v>
      </c>
      <c r="N69">
        <f>'Methanol demand shares'!N69*'Indirect NH3 demand sources'!N$4</f>
        <v>0</v>
      </c>
      <c r="O69">
        <f>'Methanol demand shares'!O69*'Indirect NH3 demand sources'!O$4</f>
        <v>0</v>
      </c>
      <c r="P69">
        <f>'Methanol demand shares'!P69*'Indirect NH3 demand sources'!P$4</f>
        <v>0</v>
      </c>
      <c r="Q69">
        <f>'Methanol demand shares'!Q69*'Indirect NH3 demand sources'!Q$4</f>
        <v>0</v>
      </c>
      <c r="R69">
        <f>'Methanol demand shares'!R69*'Indirect NH3 demand sources'!R$4</f>
        <v>0</v>
      </c>
      <c r="S69">
        <f>'Methanol demand shares'!S69*'Indirect NH3 demand sources'!S$4</f>
        <v>0</v>
      </c>
      <c r="T69">
        <f>'Methanol demand shares'!T69*'Indirect NH3 demand sources'!T$4</f>
        <v>0</v>
      </c>
      <c r="U69">
        <f>'Methanol demand shares'!U69*'Indirect NH3 demand sources'!U$4</f>
        <v>0</v>
      </c>
      <c r="V69">
        <f>'Methanol demand shares'!V69*'Indirect NH3 demand sources'!V$4</f>
        <v>0</v>
      </c>
      <c r="W69">
        <f>'Methanol demand shares'!W69*'Indirect NH3 demand sources'!W$4</f>
        <v>5.9591400000000001E-4</v>
      </c>
      <c r="X69">
        <f>'Methanol demand shares'!X69*'Indirect NH3 demand sources'!X$4</f>
        <v>1.2169889999999999E-3</v>
      </c>
      <c r="Y69">
        <f>'Methanol demand shares'!Y69*'Indirect NH3 demand sources'!Y$4</f>
        <v>1.8637020000000001E-3</v>
      </c>
      <c r="Z69">
        <f>'Methanol demand shares'!Z69*'Indirect NH3 demand sources'!Z$4</f>
        <v>2.5364939999999998E-3</v>
      </c>
      <c r="AA69">
        <f>'Methanol demand shares'!AA69*'Indirect NH3 demand sources'!AA$4</f>
        <v>3.2354700000000003E-3</v>
      </c>
      <c r="AB69">
        <f>'Methanol demand shares'!AB69*'Indirect NH3 demand sources'!AB$4</f>
        <v>3.9595139999999999E-3</v>
      </c>
      <c r="AC69">
        <f>'Methanol demand shares'!AC69*'Indirect NH3 demand sources'!AC$4</f>
        <v>4.7107935000000002E-3</v>
      </c>
      <c r="AD69">
        <f>'Methanol demand shares'!AD69*'Indirect NH3 demand sources'!AD$4</f>
        <v>5.4899879999999995E-3</v>
      </c>
      <c r="AE69">
        <f>'Methanol demand shares'!AE69*'Indirect NH3 demand sources'!AE$4</f>
        <v>6.2976960000000002E-3</v>
      </c>
      <c r="AF69">
        <f>'Methanol demand shares'!AF69*'Indirect NH3 demand sources'!AF$4</f>
        <v>7.1341500000000006E-3</v>
      </c>
      <c r="AG69">
        <f>'Methanol demand shares'!AG69*'Indirect NH3 demand sources'!AG$4</f>
        <v>8.3381480999999997E-3</v>
      </c>
      <c r="AH69">
        <f>'Methanol demand shares'!AH69*'Indirect NH3 demand sources'!AH$4</f>
        <v>9.5987136000000028E-3</v>
      </c>
      <c r="AI69">
        <f>'Methanol demand shares'!AI69*'Indirect NH3 demand sources'!AI$4</f>
        <v>1.0918039200000002E-2</v>
      </c>
      <c r="AJ69">
        <f>'Methanol demand shares'!AJ69*'Indirect NH3 demand sources'!AJ$4</f>
        <v>1.2298338000000004E-2</v>
      </c>
      <c r="AK69">
        <f>'Methanol demand shares'!AK69*'Indirect NH3 demand sources'!AK$4</f>
        <v>1.3741899000000004E-2</v>
      </c>
      <c r="AL69">
        <f>'Methanol demand shares'!AL69*'Indirect NH3 demand sources'!AL$4</f>
        <v>1.5251180400000005E-2</v>
      </c>
      <c r="AM69">
        <f>'Methanol demand shares'!AM69*'Indirect NH3 demand sources'!AM$4</f>
        <v>1.6828584300000005E-2</v>
      </c>
      <c r="AN69">
        <f>'Methanol demand shares'!AN69*'Indirect NH3 demand sources'!AN$4</f>
        <v>1.8476658600000008E-2</v>
      </c>
      <c r="AO69">
        <f>'Methanol demand shares'!AO69*'Indirect NH3 demand sources'!AO$4</f>
        <v>2.019799290000001E-2</v>
      </c>
      <c r="AP69">
        <f>'Methanol demand shares'!AP69*'Indirect NH3 demand sources'!AP$4</f>
        <v>2.1995387999999998E-2</v>
      </c>
    </row>
    <row r="70" spans="1:42" x14ac:dyDescent="0.3">
      <c r="A70" t="s">
        <v>69</v>
      </c>
      <c r="B70">
        <f>'Methanol demand shares'!B70*'Indirect NH3 demand sources'!B$4</f>
        <v>0</v>
      </c>
      <c r="C70">
        <f>'Methanol demand shares'!C70*'Indirect NH3 demand sources'!C$4</f>
        <v>0</v>
      </c>
      <c r="D70">
        <f>'Methanol demand shares'!D70*'Indirect NH3 demand sources'!D$4</f>
        <v>0</v>
      </c>
      <c r="E70">
        <f>'Methanol demand shares'!E70*'Indirect NH3 demand sources'!E$4</f>
        <v>0</v>
      </c>
      <c r="F70">
        <f>'Methanol demand shares'!F70*'Indirect NH3 demand sources'!F$4</f>
        <v>0</v>
      </c>
      <c r="G70">
        <f>'Methanol demand shares'!G70*'Indirect NH3 demand sources'!G$4</f>
        <v>0</v>
      </c>
      <c r="H70">
        <f>'Methanol demand shares'!H70*'Indirect NH3 demand sources'!H$4</f>
        <v>0</v>
      </c>
      <c r="I70">
        <f>'Methanol demand shares'!I70*'Indirect NH3 demand sources'!I$4</f>
        <v>0</v>
      </c>
      <c r="J70">
        <f>'Methanol demand shares'!J70*'Indirect NH3 demand sources'!J$4</f>
        <v>0</v>
      </c>
      <c r="K70">
        <f>'Methanol demand shares'!K70*'Indirect NH3 demand sources'!K$4</f>
        <v>0</v>
      </c>
      <c r="L70">
        <f>'Methanol demand shares'!L70*'Indirect NH3 demand sources'!L$4</f>
        <v>0</v>
      </c>
      <c r="M70">
        <f>'Methanol demand shares'!M70*'Indirect NH3 demand sources'!M$4</f>
        <v>0</v>
      </c>
      <c r="N70">
        <f>'Methanol demand shares'!N70*'Indirect NH3 demand sources'!N$4</f>
        <v>0</v>
      </c>
      <c r="O70">
        <f>'Methanol demand shares'!O70*'Indirect NH3 demand sources'!O$4</f>
        <v>0</v>
      </c>
      <c r="P70">
        <f>'Methanol demand shares'!P70*'Indirect NH3 demand sources'!P$4</f>
        <v>0</v>
      </c>
      <c r="Q70">
        <f>'Methanol demand shares'!Q70*'Indirect NH3 demand sources'!Q$4</f>
        <v>0</v>
      </c>
      <c r="R70">
        <f>'Methanol demand shares'!R70*'Indirect NH3 demand sources'!R$4</f>
        <v>0</v>
      </c>
      <c r="S70">
        <f>'Methanol demand shares'!S70*'Indirect NH3 demand sources'!S$4</f>
        <v>0</v>
      </c>
      <c r="T70">
        <f>'Methanol demand shares'!T70*'Indirect NH3 demand sources'!T$4</f>
        <v>0</v>
      </c>
      <c r="U70">
        <f>'Methanol demand shares'!U70*'Indirect NH3 demand sources'!U$4</f>
        <v>0</v>
      </c>
      <c r="V70">
        <f>'Methanol demand shares'!V70*'Indirect NH3 demand sources'!V$4</f>
        <v>0</v>
      </c>
      <c r="W70">
        <f>'Methanol demand shares'!W70*'Indirect NH3 demand sources'!W$4</f>
        <v>8.1659549999999996E-5</v>
      </c>
      <c r="X70">
        <f>'Methanol demand shares'!X70*'Indirect NH3 demand sources'!X$4</f>
        <v>1.6758959999999999E-4</v>
      </c>
      <c r="Y70">
        <f>'Methanol demand shares'!Y70*'Indirect NH3 demand sources'!Y$4</f>
        <v>2.5799444999999999E-4</v>
      </c>
      <c r="Z70">
        <f>'Methanol demand shares'!Z70*'Indirect NH3 demand sources'!Z$4</f>
        <v>3.5308620000000003E-4</v>
      </c>
      <c r="AA70">
        <f>'Methanol demand shares'!AA70*'Indirect NH3 demand sources'!AA$4</f>
        <v>4.5304724999999996E-4</v>
      </c>
      <c r="AB70">
        <f>'Methanol demand shares'!AB70*'Indirect NH3 demand sources'!AB$4</f>
        <v>5.5712969999999998E-4</v>
      </c>
      <c r="AC70">
        <f>'Methanol demand shares'!AC70*'Indirect NH3 demand sources'!AC$4</f>
        <v>6.6615149999999998E-4</v>
      </c>
      <c r="AD70">
        <f>'Methanol demand shares'!AD70*'Indirect NH3 demand sources'!AD$4</f>
        <v>7.8031800000000011E-4</v>
      </c>
      <c r="AE70">
        <f>'Methanol demand shares'!AE70*'Indirect NH3 demand sources'!AE$4</f>
        <v>8.9983710000000005E-4</v>
      </c>
      <c r="AF70">
        <f>'Methanol demand shares'!AF70*'Indirect NH3 demand sources'!AF$4</f>
        <v>1.0248690000000001E-3</v>
      </c>
      <c r="AG70">
        <f>'Methanol demand shares'!AG70*'Indirect NH3 demand sources'!AG$4</f>
        <v>1.2021453900000001E-3</v>
      </c>
      <c r="AH70">
        <f>'Methanol demand shares'!AH70*'Indirect NH3 demand sources'!AH$4</f>
        <v>1.38886656E-3</v>
      </c>
      <c r="AI70">
        <f>'Methanol demand shares'!AI70*'Indirect NH3 demand sources'!AI$4</f>
        <v>1.5854399400000003E-3</v>
      </c>
      <c r="AJ70">
        <f>'Methanol demand shares'!AJ70*'Indirect NH3 demand sources'!AJ$4</f>
        <v>1.7922902400000005E-3</v>
      </c>
      <c r="AK70">
        <f>'Methanol demand shares'!AK70*'Indirect NH3 demand sources'!AK$4</f>
        <v>2.0098488000000005E-3</v>
      </c>
      <c r="AL70">
        <f>'Methanol demand shares'!AL70*'Indirect NH3 demand sources'!AL$4</f>
        <v>2.238583560000001E-3</v>
      </c>
      <c r="AM70">
        <f>'Methanol demand shares'!AM70*'Indirect NH3 demand sources'!AM$4</f>
        <v>2.4789639600000012E-3</v>
      </c>
      <c r="AN70">
        <f>'Methanol demand shares'!AN70*'Indirect NH3 demand sources'!AN$4</f>
        <v>2.7314769000000008E-3</v>
      </c>
      <c r="AO70">
        <f>'Methanol demand shares'!AO70*'Indirect NH3 demand sources'!AO$4</f>
        <v>2.9966413500000012E-3</v>
      </c>
      <c r="AP70">
        <f>'Methanol demand shares'!AP70*'Indirect NH3 demand sources'!AP$4</f>
        <v>3.2749955999999999E-3</v>
      </c>
    </row>
    <row r="71" spans="1:42" x14ac:dyDescent="0.3">
      <c r="A71" t="s">
        <v>70</v>
      </c>
      <c r="B71">
        <f>'Methanol demand shares'!B71*'Indirect NH3 demand sources'!B$4</f>
        <v>0</v>
      </c>
      <c r="C71">
        <f>'Methanol demand shares'!C71*'Indirect NH3 demand sources'!C$4</f>
        <v>0</v>
      </c>
      <c r="D71">
        <f>'Methanol demand shares'!D71*'Indirect NH3 demand sources'!D$4</f>
        <v>0</v>
      </c>
      <c r="E71">
        <f>'Methanol demand shares'!E71*'Indirect NH3 demand sources'!E$4</f>
        <v>0</v>
      </c>
      <c r="F71">
        <f>'Methanol demand shares'!F71*'Indirect NH3 demand sources'!F$4</f>
        <v>0</v>
      </c>
      <c r="G71">
        <f>'Methanol demand shares'!G71*'Indirect NH3 demand sources'!G$4</f>
        <v>0</v>
      </c>
      <c r="H71">
        <f>'Methanol demand shares'!H71*'Indirect NH3 demand sources'!H$4</f>
        <v>0</v>
      </c>
      <c r="I71">
        <f>'Methanol demand shares'!I71*'Indirect NH3 demand sources'!I$4</f>
        <v>0</v>
      </c>
      <c r="J71">
        <f>'Methanol demand shares'!J71*'Indirect NH3 demand sources'!J$4</f>
        <v>0</v>
      </c>
      <c r="K71">
        <f>'Methanol demand shares'!K71*'Indirect NH3 demand sources'!K$4</f>
        <v>0</v>
      </c>
      <c r="L71">
        <f>'Methanol demand shares'!L71*'Indirect NH3 demand sources'!L$4</f>
        <v>0</v>
      </c>
      <c r="M71">
        <f>'Methanol demand shares'!M71*'Indirect NH3 demand sources'!M$4</f>
        <v>0</v>
      </c>
      <c r="N71">
        <f>'Methanol demand shares'!N71*'Indirect NH3 demand sources'!N$4</f>
        <v>0</v>
      </c>
      <c r="O71">
        <f>'Methanol demand shares'!O71*'Indirect NH3 demand sources'!O$4</f>
        <v>0</v>
      </c>
      <c r="P71">
        <f>'Methanol demand shares'!P71*'Indirect NH3 demand sources'!P$4</f>
        <v>0</v>
      </c>
      <c r="Q71">
        <f>'Methanol demand shares'!Q71*'Indirect NH3 demand sources'!Q$4</f>
        <v>0</v>
      </c>
      <c r="R71">
        <f>'Methanol demand shares'!R71*'Indirect NH3 demand sources'!R$4</f>
        <v>0</v>
      </c>
      <c r="S71">
        <f>'Methanol demand shares'!S71*'Indirect NH3 demand sources'!S$4</f>
        <v>0</v>
      </c>
      <c r="T71">
        <f>'Methanol demand shares'!T71*'Indirect NH3 demand sources'!T$4</f>
        <v>0</v>
      </c>
      <c r="U71">
        <f>'Methanol demand shares'!U71*'Indirect NH3 demand sources'!U$4</f>
        <v>0</v>
      </c>
      <c r="V71">
        <f>'Methanol demand shares'!V71*'Indirect NH3 demand sources'!V$4</f>
        <v>0</v>
      </c>
      <c r="W71">
        <f>'Methanol demand shares'!W71*'Indirect NH3 demand sources'!W$4</f>
        <v>1.2618555000000001E-4</v>
      </c>
      <c r="X71">
        <f>'Methanol demand shares'!X71*'Indirect NH3 demand sources'!X$4</f>
        <v>2.5916729999999997E-4</v>
      </c>
      <c r="Y71">
        <f>'Methanol demand shares'!Y71*'Indirect NH3 demand sources'!Y$4</f>
        <v>3.9930839999999999E-4</v>
      </c>
      <c r="Z71">
        <f>'Methanol demand shares'!Z71*'Indirect NH3 demand sources'!Z$4</f>
        <v>5.4699239999999997E-4</v>
      </c>
      <c r="AA71">
        <f>'Methanol demand shares'!AA71*'Indirect NH3 demand sources'!AA$4</f>
        <v>7.0256324999999999E-4</v>
      </c>
      <c r="AB71">
        <f>'Methanol demand shares'!AB71*'Indirect NH3 demand sources'!AB$4</f>
        <v>8.6493330000000002E-4</v>
      </c>
      <c r="AC71">
        <f>'Methanol demand shares'!AC71*'Indirect NH3 demand sources'!AC$4</f>
        <v>1.0354406999999999E-3</v>
      </c>
      <c r="AD71">
        <f>'Methanol demand shares'!AD71*'Indirect NH3 demand sources'!AD$4</f>
        <v>1.214496E-3</v>
      </c>
      <c r="AE71">
        <f>'Methanol demand shares'!AE71*'Indirect NH3 demand sources'!AE$4</f>
        <v>1.4025015E-3</v>
      </c>
      <c r="AF71">
        <f>'Methanol demand shares'!AF71*'Indirect NH3 demand sources'!AF$4</f>
        <v>1.5998099999999999E-3</v>
      </c>
      <c r="AG71">
        <f>'Methanol demand shares'!AG71*'Indirect NH3 demand sources'!AG$4</f>
        <v>1.8795978000000003E-3</v>
      </c>
      <c r="AH71">
        <f>'Methanol demand shares'!AH71*'Indirect NH3 demand sources'!AH$4</f>
        <v>2.1753408000000003E-3</v>
      </c>
      <c r="AI71">
        <f>'Methanol demand shares'!AI71*'Indirect NH3 demand sources'!AI$4</f>
        <v>2.4878613000000006E-3</v>
      </c>
      <c r="AJ71">
        <f>'Methanol demand shares'!AJ71*'Indirect NH3 demand sources'!AJ$4</f>
        <v>2.818015200000001E-3</v>
      </c>
      <c r="AK71">
        <f>'Methanol demand shares'!AK71*'Indirect NH3 demand sources'!AK$4</f>
        <v>3.1667430000000009E-3</v>
      </c>
      <c r="AL71">
        <f>'Methanol demand shares'!AL71*'Indirect NH3 demand sources'!AL$4</f>
        <v>3.5349804000000006E-3</v>
      </c>
      <c r="AM71">
        <f>'Methanol demand shares'!AM71*'Indirect NH3 demand sources'!AM$4</f>
        <v>3.9237561000000009E-3</v>
      </c>
      <c r="AN71">
        <f>'Methanol demand shares'!AN71*'Indirect NH3 demand sources'!AN$4</f>
        <v>4.3341492000000016E-3</v>
      </c>
      <c r="AO71">
        <f>'Methanol demand shares'!AO71*'Indirect NH3 demand sources'!AO$4</f>
        <v>4.7672553000000012E-3</v>
      </c>
      <c r="AP71">
        <f>'Methanol demand shares'!AP71*'Indirect NH3 demand sources'!AP$4</f>
        <v>5.224284E-3</v>
      </c>
    </row>
    <row r="72" spans="1:42" x14ac:dyDescent="0.3">
      <c r="A72" t="s">
        <v>71</v>
      </c>
      <c r="B72">
        <f>'Methanol demand shares'!B72*'Indirect NH3 demand sources'!B$4</f>
        <v>0</v>
      </c>
      <c r="C72">
        <f>'Methanol demand shares'!C72*'Indirect NH3 demand sources'!C$4</f>
        <v>0</v>
      </c>
      <c r="D72">
        <f>'Methanol demand shares'!D72*'Indirect NH3 demand sources'!D$4</f>
        <v>0</v>
      </c>
      <c r="E72">
        <f>'Methanol demand shares'!E72*'Indirect NH3 demand sources'!E$4</f>
        <v>0</v>
      </c>
      <c r="F72">
        <f>'Methanol demand shares'!F72*'Indirect NH3 demand sources'!F$4</f>
        <v>0</v>
      </c>
      <c r="G72">
        <f>'Methanol demand shares'!G72*'Indirect NH3 demand sources'!G$4</f>
        <v>0</v>
      </c>
      <c r="H72">
        <f>'Methanol demand shares'!H72*'Indirect NH3 demand sources'!H$4</f>
        <v>0</v>
      </c>
      <c r="I72">
        <f>'Methanol demand shares'!I72*'Indirect NH3 demand sources'!I$4</f>
        <v>0</v>
      </c>
      <c r="J72">
        <f>'Methanol demand shares'!J72*'Indirect NH3 demand sources'!J$4</f>
        <v>0</v>
      </c>
      <c r="K72">
        <f>'Methanol demand shares'!K72*'Indirect NH3 demand sources'!K$4</f>
        <v>0</v>
      </c>
      <c r="L72">
        <f>'Methanol demand shares'!L72*'Indirect NH3 demand sources'!L$4</f>
        <v>0</v>
      </c>
      <c r="M72">
        <f>'Methanol demand shares'!M72*'Indirect NH3 demand sources'!M$4</f>
        <v>0</v>
      </c>
      <c r="N72">
        <f>'Methanol demand shares'!N72*'Indirect NH3 demand sources'!N$4</f>
        <v>0</v>
      </c>
      <c r="O72">
        <f>'Methanol demand shares'!O72*'Indirect NH3 demand sources'!O$4</f>
        <v>0</v>
      </c>
      <c r="P72">
        <f>'Methanol demand shares'!P72*'Indirect NH3 demand sources'!P$4</f>
        <v>0</v>
      </c>
      <c r="Q72">
        <f>'Methanol demand shares'!Q72*'Indirect NH3 demand sources'!Q$4</f>
        <v>0</v>
      </c>
      <c r="R72">
        <f>'Methanol demand shares'!R72*'Indirect NH3 demand sources'!R$4</f>
        <v>0</v>
      </c>
      <c r="S72">
        <f>'Methanol demand shares'!S72*'Indirect NH3 demand sources'!S$4</f>
        <v>0</v>
      </c>
      <c r="T72">
        <f>'Methanol demand shares'!T72*'Indirect NH3 demand sources'!T$4</f>
        <v>0</v>
      </c>
      <c r="U72">
        <f>'Methanol demand shares'!U72*'Indirect NH3 demand sources'!U$4</f>
        <v>0</v>
      </c>
      <c r="V72">
        <f>'Methanol demand shares'!V72*'Indirect NH3 demand sources'!V$4</f>
        <v>0</v>
      </c>
      <c r="W72">
        <f>'Methanol demand shares'!W72*'Indirect NH3 demand sources'!W$4</f>
        <v>4.007175E-3</v>
      </c>
      <c r="X72">
        <f>'Methanol demand shares'!X72*'Indirect NH3 demand sources'!X$4</f>
        <v>8.058852E-3</v>
      </c>
      <c r="Y72">
        <f>'Methanol demand shares'!Y72*'Indirect NH3 demand sources'!Y$4</f>
        <v>1.2152592E-2</v>
      </c>
      <c r="Z72">
        <f>'Methanol demand shares'!Z72*'Indirect NH3 demand sources'!Z$4</f>
        <v>1.6288037999999998E-2</v>
      </c>
      <c r="AA72">
        <f>'Methanol demand shares'!AA72*'Indirect NH3 demand sources'!AA$4</f>
        <v>2.04628725E-2</v>
      </c>
      <c r="AB72">
        <f>'Methanol demand shares'!AB72*'Indirect NH3 demand sources'!AB$4</f>
        <v>2.4660287999999999E-2</v>
      </c>
      <c r="AC72">
        <f>'Methanol demand shares'!AC72*'Indirect NH3 demand sources'!AC$4</f>
        <v>2.8889248499999999E-2</v>
      </c>
      <c r="AD72">
        <f>'Methanol demand shares'!AD72*'Indirect NH3 demand sources'!AD$4</f>
        <v>3.3148739999999996E-2</v>
      </c>
      <c r="AE72">
        <f>'Methanol demand shares'!AE72*'Indirect NH3 demand sources'!AE$4</f>
        <v>3.7437727500000004E-2</v>
      </c>
      <c r="AF72">
        <f>'Methanol demand shares'!AF72*'Indirect NH3 demand sources'!AF$4</f>
        <v>4.1753129999999999E-2</v>
      </c>
      <c r="AG72">
        <f>'Methanol demand shares'!AG72*'Indirect NH3 demand sources'!AG$4</f>
        <v>4.7674646100000002E-2</v>
      </c>
      <c r="AH72">
        <f>'Methanol demand shares'!AH72*'Indirect NH3 demand sources'!AH$4</f>
        <v>5.3619552000000008E-2</v>
      </c>
      <c r="AI72">
        <f>'Methanol demand shares'!AI72*'Indirect NH3 demand sources'!AI$4</f>
        <v>5.9589582900000007E-2</v>
      </c>
      <c r="AJ72">
        <f>'Methanol demand shares'!AJ72*'Indirect NH3 demand sources'!AJ$4</f>
        <v>6.5586573000000009E-2</v>
      </c>
      <c r="AK72">
        <f>'Methanol demand shares'!AK72*'Indirect NH3 demand sources'!AK$4</f>
        <v>7.1612287500000024E-2</v>
      </c>
      <c r="AL72">
        <f>'Methanol demand shares'!AL72*'Indirect NH3 demand sources'!AL$4</f>
        <v>7.7669656800000028E-2</v>
      </c>
      <c r="AM72">
        <f>'Methanol demand shares'!AM72*'Indirect NH3 demand sources'!AM$4</f>
        <v>8.3760088500000038E-2</v>
      </c>
      <c r="AN72">
        <f>'Methanol demand shares'!AN72*'Indirect NH3 demand sources'!AN$4</f>
        <v>8.9885911800000037E-2</v>
      </c>
      <c r="AO72">
        <f>'Methanol demand shares'!AO72*'Indirect NH3 demand sources'!AO$4</f>
        <v>9.6049446300000035E-2</v>
      </c>
      <c r="AP72">
        <f>'Methanol demand shares'!AP72*'Indirect NH3 demand sources'!AP$4</f>
        <v>0.10225371599999999</v>
      </c>
    </row>
    <row r="73" spans="1:42" x14ac:dyDescent="0.3">
      <c r="A73" t="s">
        <v>72</v>
      </c>
      <c r="B73">
        <f>'Methanol demand shares'!B73*'Indirect NH3 demand sources'!B$4</f>
        <v>0</v>
      </c>
      <c r="C73">
        <f>'Methanol demand shares'!C73*'Indirect NH3 demand sources'!C$4</f>
        <v>0</v>
      </c>
      <c r="D73">
        <f>'Methanol demand shares'!D73*'Indirect NH3 demand sources'!D$4</f>
        <v>0</v>
      </c>
      <c r="E73">
        <f>'Methanol demand shares'!E73*'Indirect NH3 demand sources'!E$4</f>
        <v>0</v>
      </c>
      <c r="F73">
        <f>'Methanol demand shares'!F73*'Indirect NH3 demand sources'!F$4</f>
        <v>0</v>
      </c>
      <c r="G73">
        <f>'Methanol demand shares'!G73*'Indirect NH3 demand sources'!G$4</f>
        <v>0</v>
      </c>
      <c r="H73">
        <f>'Methanol demand shares'!H73*'Indirect NH3 demand sources'!H$4</f>
        <v>0</v>
      </c>
      <c r="I73">
        <f>'Methanol demand shares'!I73*'Indirect NH3 demand sources'!I$4</f>
        <v>0</v>
      </c>
      <c r="J73">
        <f>'Methanol demand shares'!J73*'Indirect NH3 demand sources'!J$4</f>
        <v>0</v>
      </c>
      <c r="K73">
        <f>'Methanol demand shares'!K73*'Indirect NH3 demand sources'!K$4</f>
        <v>0</v>
      </c>
      <c r="L73">
        <f>'Methanol demand shares'!L73*'Indirect NH3 demand sources'!L$4</f>
        <v>0</v>
      </c>
      <c r="M73">
        <f>'Methanol demand shares'!M73*'Indirect NH3 demand sources'!M$4</f>
        <v>0</v>
      </c>
      <c r="N73">
        <f>'Methanol demand shares'!N73*'Indirect NH3 demand sources'!N$4</f>
        <v>0</v>
      </c>
      <c r="O73">
        <f>'Methanol demand shares'!O73*'Indirect NH3 demand sources'!O$4</f>
        <v>0</v>
      </c>
      <c r="P73">
        <f>'Methanol demand shares'!P73*'Indirect NH3 demand sources'!P$4</f>
        <v>0</v>
      </c>
      <c r="Q73">
        <f>'Methanol demand shares'!Q73*'Indirect NH3 demand sources'!Q$4</f>
        <v>0</v>
      </c>
      <c r="R73">
        <f>'Methanol demand shares'!R73*'Indirect NH3 demand sources'!R$4</f>
        <v>0</v>
      </c>
      <c r="S73">
        <f>'Methanol demand shares'!S73*'Indirect NH3 demand sources'!S$4</f>
        <v>0</v>
      </c>
      <c r="T73">
        <f>'Methanol demand shares'!T73*'Indirect NH3 demand sources'!T$4</f>
        <v>0</v>
      </c>
      <c r="U73">
        <f>'Methanol demand shares'!U73*'Indirect NH3 demand sources'!U$4</f>
        <v>0</v>
      </c>
      <c r="V73">
        <f>'Methanol demand shares'!V73*'Indirect NH3 demand sources'!V$4</f>
        <v>0</v>
      </c>
      <c r="W73">
        <f>'Methanol demand shares'!W73*'Indirect NH3 demand sources'!W$4</f>
        <v>5.7963600000000002E-4</v>
      </c>
      <c r="X73">
        <f>'Methanol demand shares'!X73*'Indirect NH3 demand sources'!X$4</f>
        <v>1.1479859999999999E-3</v>
      </c>
      <c r="Y73">
        <f>'Methanol demand shares'!Y73*'Indirect NH3 demand sources'!Y$4</f>
        <v>1.7047485E-3</v>
      </c>
      <c r="Z73">
        <f>'Methanol demand shares'!Z73*'Indirect NH3 demand sources'!Z$4</f>
        <v>2.2497300000000001E-3</v>
      </c>
      <c r="AA73">
        <f>'Methanol demand shares'!AA73*'Indirect NH3 demand sources'!AA$4</f>
        <v>2.7826125E-3</v>
      </c>
      <c r="AB73">
        <f>'Methanol demand shares'!AB73*'Indirect NH3 demand sources'!AB$4</f>
        <v>3.2982480000000002E-3</v>
      </c>
      <c r="AC73">
        <f>'Methanol demand shares'!AC73*'Indirect NH3 demand sources'!AC$4</f>
        <v>3.8001914999999998E-3</v>
      </c>
      <c r="AD73">
        <f>'Methanol demand shares'!AD73*'Indirect NH3 demand sources'!AD$4</f>
        <v>4.2885839999999998E-3</v>
      </c>
      <c r="AE73">
        <f>'Methanol demand shares'!AE73*'Indirect NH3 demand sources'!AE$4</f>
        <v>4.7635964999999999E-3</v>
      </c>
      <c r="AF73">
        <f>'Methanol demand shares'!AF73*'Indirect NH3 demand sources'!AF$4</f>
        <v>5.2251449999999996E-3</v>
      </c>
      <c r="AG73">
        <f>'Methanol demand shares'!AG73*'Indirect NH3 demand sources'!AG$4</f>
        <v>5.8718151000000012E-3</v>
      </c>
      <c r="AH73">
        <f>'Methanol demand shares'!AH73*'Indirect NH3 demand sources'!AH$4</f>
        <v>6.499411200000001E-3</v>
      </c>
      <c r="AI73">
        <f>'Methanol demand shares'!AI73*'Indirect NH3 demand sources'!AI$4</f>
        <v>7.1085555000000014E-3</v>
      </c>
      <c r="AJ73">
        <f>'Methanol demand shares'!AJ73*'Indirect NH3 demand sources'!AJ$4</f>
        <v>7.6998870000000025E-3</v>
      </c>
      <c r="AK73">
        <f>'Methanol demand shares'!AK73*'Indirect NH3 demand sources'!AK$4</f>
        <v>8.274036000000002E-3</v>
      </c>
      <c r="AL73">
        <f>'Methanol demand shares'!AL73*'Indirect NH3 demand sources'!AL$4</f>
        <v>8.8316964000000036E-3</v>
      </c>
      <c r="AM73">
        <f>'Methanol demand shares'!AM73*'Indirect NH3 demand sources'!AM$4</f>
        <v>9.3734388000000033E-3</v>
      </c>
      <c r="AN73">
        <f>'Methanol demand shares'!AN73*'Indirect NH3 demand sources'!AN$4</f>
        <v>9.8999124000000039E-3</v>
      </c>
      <c r="AO73">
        <f>'Methanol demand shares'!AO73*'Indirect NH3 demand sources'!AO$4</f>
        <v>1.0411740900000003E-2</v>
      </c>
      <c r="AP73">
        <f>'Methanol demand shares'!AP73*'Indirect NH3 demand sources'!AP$4</f>
        <v>1.0909548000000002E-2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001F-37FF-4728-9683-B40D3EE54DAD}">
  <sheetPr>
    <tabColor theme="6"/>
  </sheetPr>
  <dimension ref="A1:AP73"/>
  <sheetViews>
    <sheetView topLeftCell="A41" workbookViewId="0">
      <selection activeCell="D9" sqref="D9"/>
    </sheetView>
  </sheetViews>
  <sheetFormatPr defaultRowHeight="15.75" x14ac:dyDescent="0.3"/>
  <sheetData>
    <row r="1" spans="1:42" x14ac:dyDescent="0.3">
      <c r="A1" t="s">
        <v>149</v>
      </c>
    </row>
    <row r="2" spans="1:42" x14ac:dyDescent="0.3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3">
      <c r="A3" t="s">
        <v>150</v>
      </c>
      <c r="B3">
        <v>83904.376399999994</v>
      </c>
      <c r="C3">
        <v>92441.947</v>
      </c>
      <c r="D3">
        <v>96796.096099999995</v>
      </c>
      <c r="E3">
        <v>95856.419999999896</v>
      </c>
      <c r="F3">
        <v>97689.881899999993</v>
      </c>
      <c r="G3">
        <v>96988.659299999999</v>
      </c>
      <c r="H3">
        <v>104821.884899999</v>
      </c>
      <c r="I3">
        <v>113168.472799999</v>
      </c>
      <c r="J3">
        <v>114192.10309999999</v>
      </c>
      <c r="K3">
        <v>117839.23709999899</v>
      </c>
      <c r="L3">
        <v>108242.08599999901</v>
      </c>
      <c r="M3">
        <v>133428.17349999899</v>
      </c>
      <c r="N3">
        <v>158465.62599999999</v>
      </c>
      <c r="O3">
        <v>158016.14309999999</v>
      </c>
      <c r="P3">
        <v>159883.4706</v>
      </c>
      <c r="Q3">
        <v>164233.55939999901</v>
      </c>
      <c r="R3">
        <v>166420.69849999901</v>
      </c>
      <c r="S3">
        <v>168437.47749999899</v>
      </c>
      <c r="T3">
        <v>170269.22279999999</v>
      </c>
      <c r="U3">
        <v>171964.58789999899</v>
      </c>
      <c r="V3">
        <v>173946.73360000001</v>
      </c>
      <c r="W3">
        <v>175837.80389999901</v>
      </c>
      <c r="X3">
        <v>177714.43149999899</v>
      </c>
      <c r="Y3">
        <v>179655.5705</v>
      </c>
      <c r="Z3">
        <v>181749.86189999999</v>
      </c>
      <c r="AA3">
        <v>184006.5441</v>
      </c>
      <c r="AB3">
        <v>186435.69089999999</v>
      </c>
      <c r="AC3">
        <v>189043.041</v>
      </c>
      <c r="AD3">
        <v>191823.54889999999</v>
      </c>
      <c r="AE3">
        <v>194791.31789999999</v>
      </c>
      <c r="AF3">
        <v>198011.58300000001</v>
      </c>
      <c r="AG3">
        <v>201214.81839999999</v>
      </c>
      <c r="AH3">
        <v>204420.65599999999</v>
      </c>
      <c r="AI3">
        <v>207561.29069999899</v>
      </c>
      <c r="AJ3">
        <v>210661.64610000001</v>
      </c>
      <c r="AK3">
        <v>213729.99569999901</v>
      </c>
      <c r="AL3">
        <v>216745.3217</v>
      </c>
      <c r="AM3">
        <v>219713.6018</v>
      </c>
      <c r="AN3">
        <v>222660.22689999899</v>
      </c>
      <c r="AO3">
        <v>225629.217</v>
      </c>
      <c r="AP3">
        <v>228594.42729999899</v>
      </c>
    </row>
    <row r="4" spans="1:42" x14ac:dyDescent="0.3">
      <c r="A4" t="s">
        <v>151</v>
      </c>
      <c r="B4">
        <v>51745.171699999897</v>
      </c>
      <c r="C4">
        <v>57597.100200000001</v>
      </c>
      <c r="D4">
        <v>63124.999100000001</v>
      </c>
      <c r="E4">
        <v>64490.900300000001</v>
      </c>
      <c r="F4">
        <v>66691.814100000003</v>
      </c>
      <c r="G4">
        <v>71209.653699999995</v>
      </c>
      <c r="H4">
        <v>67453.775200000004</v>
      </c>
      <c r="I4">
        <v>73137.118199999997</v>
      </c>
      <c r="J4">
        <v>77866.801099999997</v>
      </c>
      <c r="K4">
        <v>82662.765099999902</v>
      </c>
      <c r="L4">
        <v>78150.268200000006</v>
      </c>
      <c r="M4">
        <v>91679.1516999999</v>
      </c>
      <c r="N4">
        <v>121347.008399999</v>
      </c>
      <c r="O4">
        <v>130346.2261</v>
      </c>
      <c r="P4">
        <v>133347.67789999899</v>
      </c>
      <c r="Q4">
        <v>135986.30369999999</v>
      </c>
      <c r="R4">
        <v>137006.75469999999</v>
      </c>
      <c r="S4">
        <v>137788.41250000001</v>
      </c>
      <c r="T4">
        <v>138622.5104</v>
      </c>
      <c r="U4">
        <v>139610.5661</v>
      </c>
      <c r="V4">
        <v>140834.18119999999</v>
      </c>
      <c r="W4">
        <v>142306.2095</v>
      </c>
      <c r="X4">
        <v>143882.89539999899</v>
      </c>
      <c r="Y4">
        <v>145494.59820000001</v>
      </c>
      <c r="Z4">
        <v>147203.52069999999</v>
      </c>
      <c r="AA4">
        <v>149014.53469999999</v>
      </c>
      <c r="AB4">
        <v>150949.45869999999</v>
      </c>
      <c r="AC4">
        <v>152994.54519999999</v>
      </c>
      <c r="AD4">
        <v>155171.00819999899</v>
      </c>
      <c r="AE4">
        <v>157498.36670000001</v>
      </c>
      <c r="AF4">
        <v>160014.45929999999</v>
      </c>
      <c r="AG4">
        <v>162599.57909999901</v>
      </c>
      <c r="AH4">
        <v>165231.14170000001</v>
      </c>
      <c r="AI4">
        <v>167909.50779999999</v>
      </c>
      <c r="AJ4">
        <v>170659.51300000001</v>
      </c>
      <c r="AK4">
        <v>173437.52720000001</v>
      </c>
      <c r="AL4">
        <v>176252.2372</v>
      </c>
      <c r="AM4">
        <v>179117.83019999901</v>
      </c>
      <c r="AN4">
        <v>182017.1777</v>
      </c>
      <c r="AO4">
        <v>184957.27709999899</v>
      </c>
      <c r="AP4">
        <v>187928.02179999999</v>
      </c>
    </row>
    <row r="5" spans="1:42" x14ac:dyDescent="0.3">
      <c r="A5" t="s">
        <v>152</v>
      </c>
      <c r="B5">
        <v>458307.06919999898</v>
      </c>
      <c r="C5">
        <v>517699.40619999898</v>
      </c>
      <c r="D5">
        <v>572891.611399999</v>
      </c>
      <c r="E5">
        <v>568180.53579999995</v>
      </c>
      <c r="F5">
        <v>581660.12329999905</v>
      </c>
      <c r="G5">
        <v>620429.217899999</v>
      </c>
      <c r="H5">
        <v>621182.53669999901</v>
      </c>
      <c r="I5">
        <v>664409.29319999996</v>
      </c>
      <c r="J5">
        <v>678238.21289999899</v>
      </c>
      <c r="K5">
        <v>697453.64029999997</v>
      </c>
      <c r="L5">
        <v>630392.598999999</v>
      </c>
      <c r="M5">
        <v>728571.59819999896</v>
      </c>
      <c r="N5">
        <v>840994.32139999897</v>
      </c>
      <c r="O5">
        <v>836861.16209999996</v>
      </c>
      <c r="P5">
        <v>852331.29130000004</v>
      </c>
      <c r="Q5">
        <v>877926.37689999898</v>
      </c>
      <c r="R5">
        <v>886649.14569999999</v>
      </c>
      <c r="S5">
        <v>895244.77639999997</v>
      </c>
      <c r="T5">
        <v>903129.66899999895</v>
      </c>
      <c r="U5">
        <v>910326.32109999994</v>
      </c>
      <c r="V5">
        <v>916995.41240000003</v>
      </c>
      <c r="W5">
        <v>923168.81509999896</v>
      </c>
      <c r="X5">
        <v>929816.68319999904</v>
      </c>
      <c r="Y5">
        <v>937264.97389999998</v>
      </c>
      <c r="Z5">
        <v>945773.05220000003</v>
      </c>
      <c r="AA5">
        <v>955540.70730000001</v>
      </c>
      <c r="AB5">
        <v>966826.30259999901</v>
      </c>
      <c r="AC5">
        <v>979562.29969999904</v>
      </c>
      <c r="AD5">
        <v>993390.65650000004</v>
      </c>
      <c r="AE5">
        <v>1008123.0741</v>
      </c>
      <c r="AF5">
        <v>1024072.0183999999</v>
      </c>
      <c r="AG5">
        <v>1040379.3489</v>
      </c>
      <c r="AH5">
        <v>1056922.7282</v>
      </c>
      <c r="AI5">
        <v>1073298.4062999999</v>
      </c>
      <c r="AJ5">
        <v>1089597.4221999999</v>
      </c>
      <c r="AK5">
        <v>1105660.7992</v>
      </c>
      <c r="AL5">
        <v>1121489.5704999999</v>
      </c>
      <c r="AM5">
        <v>1137013.2389</v>
      </c>
      <c r="AN5">
        <v>1152266.0654</v>
      </c>
      <c r="AO5">
        <v>1167320.1416</v>
      </c>
      <c r="AP5">
        <v>1182115.7530999901</v>
      </c>
    </row>
    <row r="6" spans="1:42" x14ac:dyDescent="0.3">
      <c r="A6" t="s">
        <v>153</v>
      </c>
      <c r="B6">
        <v>24309.610999999899</v>
      </c>
      <c r="C6">
        <v>24699.000100000001</v>
      </c>
      <c r="D6">
        <v>27889.851500000001</v>
      </c>
      <c r="E6">
        <v>26354.951899999902</v>
      </c>
      <c r="F6">
        <v>26690.068599999999</v>
      </c>
      <c r="G6">
        <v>27221.3907</v>
      </c>
      <c r="H6">
        <v>25019.136299999998</v>
      </c>
      <c r="I6">
        <v>30091.494500000001</v>
      </c>
      <c r="J6">
        <v>34790.471599999997</v>
      </c>
      <c r="K6">
        <v>36543.143700000001</v>
      </c>
      <c r="L6">
        <v>26291.465800000002</v>
      </c>
      <c r="M6">
        <v>36924.515800000001</v>
      </c>
      <c r="N6">
        <v>50448.788099999998</v>
      </c>
      <c r="O6">
        <v>52992.354299999999</v>
      </c>
      <c r="P6">
        <v>55555.994500000001</v>
      </c>
      <c r="Q6">
        <v>57581.039700000001</v>
      </c>
      <c r="R6">
        <v>58284.976799999902</v>
      </c>
      <c r="S6">
        <v>58948.137799999997</v>
      </c>
      <c r="T6">
        <v>59517.051299999999</v>
      </c>
      <c r="U6">
        <v>59991.731</v>
      </c>
      <c r="V6">
        <v>60387.528099999901</v>
      </c>
      <c r="W6">
        <v>60646.233099999998</v>
      </c>
      <c r="X6">
        <v>60895.352899999998</v>
      </c>
      <c r="Y6">
        <v>61197.160799999903</v>
      </c>
      <c r="Z6">
        <v>61551.467600000004</v>
      </c>
      <c r="AA6">
        <v>61976.776899999997</v>
      </c>
      <c r="AB6">
        <v>62456.999999999898</v>
      </c>
      <c r="AC6">
        <v>63012.527199999997</v>
      </c>
      <c r="AD6">
        <v>63624.9764</v>
      </c>
      <c r="AE6">
        <v>64295.190499999997</v>
      </c>
      <c r="AF6">
        <v>65050.974399999999</v>
      </c>
      <c r="AG6">
        <v>65795.568799999994</v>
      </c>
      <c r="AH6">
        <v>66571.415499999901</v>
      </c>
      <c r="AI6">
        <v>67357.372199999896</v>
      </c>
      <c r="AJ6">
        <v>68167.573399999994</v>
      </c>
      <c r="AK6">
        <v>68995.735799999893</v>
      </c>
      <c r="AL6">
        <v>69828.380399999995</v>
      </c>
      <c r="AM6">
        <v>70688.346699999995</v>
      </c>
      <c r="AN6">
        <v>71579.228300000002</v>
      </c>
      <c r="AO6">
        <v>72458.248799999899</v>
      </c>
      <c r="AP6">
        <v>73328.407699999996</v>
      </c>
    </row>
    <row r="7" spans="1:42" x14ac:dyDescent="0.3">
      <c r="A7" t="s">
        <v>154</v>
      </c>
      <c r="B7">
        <v>119873.96490000001</v>
      </c>
      <c r="C7">
        <v>136004.5263</v>
      </c>
      <c r="D7">
        <v>141240.66169999901</v>
      </c>
      <c r="E7">
        <v>143669.64480000001</v>
      </c>
      <c r="F7">
        <v>213204.30429999999</v>
      </c>
      <c r="G7">
        <v>224109.41629999899</v>
      </c>
      <c r="H7">
        <v>234268.1427</v>
      </c>
      <c r="I7">
        <v>254357.1385</v>
      </c>
      <c r="J7">
        <v>264713.57390000002</v>
      </c>
      <c r="K7">
        <v>272016.86549999902</v>
      </c>
      <c r="L7">
        <v>215490.63749999899</v>
      </c>
      <c r="M7">
        <v>261358.80389999901</v>
      </c>
      <c r="N7">
        <v>344310.90120000002</v>
      </c>
      <c r="O7">
        <v>351059.69939999899</v>
      </c>
      <c r="P7">
        <v>361197.08849999902</v>
      </c>
      <c r="Q7">
        <v>373781.12469999999</v>
      </c>
      <c r="R7">
        <v>379162.37169999903</v>
      </c>
      <c r="S7">
        <v>384271.18169999903</v>
      </c>
      <c r="T7">
        <v>388588.85049999901</v>
      </c>
      <c r="U7">
        <v>392576.7255</v>
      </c>
      <c r="V7">
        <v>396165.450799999</v>
      </c>
      <c r="W7">
        <v>399270.33750000002</v>
      </c>
      <c r="X7">
        <v>402055.63909999997</v>
      </c>
      <c r="Y7">
        <v>405251.99709999899</v>
      </c>
      <c r="Z7">
        <v>409134.87890000001</v>
      </c>
      <c r="AA7">
        <v>413420.35139999999</v>
      </c>
      <c r="AB7">
        <v>418301.67300000001</v>
      </c>
      <c r="AC7">
        <v>424009.211799999</v>
      </c>
      <c r="AD7">
        <v>430193.60979999998</v>
      </c>
      <c r="AE7">
        <v>437033.64309999999</v>
      </c>
      <c r="AF7">
        <v>444331.7438</v>
      </c>
      <c r="AG7">
        <v>451303.31339999998</v>
      </c>
      <c r="AH7">
        <v>458086.32549999899</v>
      </c>
      <c r="AI7">
        <v>464712.28830000001</v>
      </c>
      <c r="AJ7">
        <v>471284.30570000003</v>
      </c>
      <c r="AK7">
        <v>477805.98949999898</v>
      </c>
      <c r="AL7">
        <v>484371.86339999997</v>
      </c>
      <c r="AM7">
        <v>491089.59909999999</v>
      </c>
      <c r="AN7">
        <v>498020.57009999902</v>
      </c>
      <c r="AO7">
        <v>504871.34179999999</v>
      </c>
      <c r="AP7">
        <v>511706.742399999</v>
      </c>
    </row>
    <row r="8" spans="1:42" x14ac:dyDescent="0.3">
      <c r="A8" t="s">
        <v>155</v>
      </c>
      <c r="B8">
        <v>225072.15699999899</v>
      </c>
      <c r="C8">
        <v>242212.0006</v>
      </c>
      <c r="D8">
        <v>263987.00079999998</v>
      </c>
      <c r="E8">
        <v>271961.99979999999</v>
      </c>
      <c r="F8">
        <v>274427.99890000001</v>
      </c>
      <c r="G8">
        <v>289900.20030000003</v>
      </c>
      <c r="H8">
        <v>285070.38909999898</v>
      </c>
      <c r="I8">
        <v>303382.93670000002</v>
      </c>
      <c r="J8">
        <v>319765.50449999998</v>
      </c>
      <c r="K8">
        <v>328557.77720000001</v>
      </c>
      <c r="L8">
        <v>270240.72230000002</v>
      </c>
      <c r="M8">
        <v>320627.3224</v>
      </c>
      <c r="N8">
        <v>390552.07469999901</v>
      </c>
      <c r="O8">
        <v>396548.34940000001</v>
      </c>
      <c r="P8">
        <v>405613.16119999997</v>
      </c>
      <c r="Q8">
        <v>417483.92340000003</v>
      </c>
      <c r="R8">
        <v>419944.25529999897</v>
      </c>
      <c r="S8">
        <v>421969.65710000001</v>
      </c>
      <c r="T8">
        <v>424027.51699999999</v>
      </c>
      <c r="U8">
        <v>426194.74529999902</v>
      </c>
      <c r="V8">
        <v>428488.84710000001</v>
      </c>
      <c r="W8">
        <v>430936.87660000002</v>
      </c>
      <c r="X8">
        <v>433454.04830000002</v>
      </c>
      <c r="Y8">
        <v>436238.11449999898</v>
      </c>
      <c r="Z8">
        <v>439871.12890000001</v>
      </c>
      <c r="AA8">
        <v>443289.96850000002</v>
      </c>
      <c r="AB8">
        <v>447020.96409999998</v>
      </c>
      <c r="AC8">
        <v>451459.21219999902</v>
      </c>
      <c r="AD8">
        <v>456676.90929999901</v>
      </c>
      <c r="AE8">
        <v>463500.613799999</v>
      </c>
      <c r="AF8">
        <v>470067.071</v>
      </c>
      <c r="AG8">
        <v>476766.92550000001</v>
      </c>
      <c r="AH8">
        <v>483904.0257</v>
      </c>
      <c r="AI8">
        <v>491323.68660000002</v>
      </c>
      <c r="AJ8">
        <v>498678.79950000002</v>
      </c>
      <c r="AK8">
        <v>506014.61560000002</v>
      </c>
      <c r="AL8">
        <v>513213.2597</v>
      </c>
      <c r="AM8">
        <v>520416.58379999897</v>
      </c>
      <c r="AN8">
        <v>527581.1594</v>
      </c>
      <c r="AO8">
        <v>534729.62650000001</v>
      </c>
      <c r="AP8">
        <v>541880.30919999897</v>
      </c>
    </row>
    <row r="9" spans="1:42" x14ac:dyDescent="0.3">
      <c r="A9" t="s">
        <v>156</v>
      </c>
      <c r="B9">
        <v>69022.506899999993</v>
      </c>
      <c r="C9">
        <v>73160.669099999897</v>
      </c>
      <c r="D9">
        <v>75435.568599999897</v>
      </c>
      <c r="E9">
        <v>82135.454799999905</v>
      </c>
      <c r="F9">
        <v>98153.509399999894</v>
      </c>
      <c r="G9">
        <v>175299.448</v>
      </c>
      <c r="H9">
        <v>180357.34539999999</v>
      </c>
      <c r="I9">
        <v>205214.71049999999</v>
      </c>
      <c r="J9">
        <v>218558.73499999999</v>
      </c>
      <c r="K9">
        <v>248585.74719999899</v>
      </c>
      <c r="L9">
        <v>271856.22149999999</v>
      </c>
      <c r="M9">
        <v>316362.375999999</v>
      </c>
      <c r="N9">
        <v>378231.46029999998</v>
      </c>
      <c r="O9">
        <v>372978.16649999999</v>
      </c>
      <c r="P9">
        <v>386545.54369999998</v>
      </c>
      <c r="Q9">
        <v>403150.06420000002</v>
      </c>
      <c r="R9">
        <v>423979.75099999999</v>
      </c>
      <c r="S9">
        <v>444728.40109999903</v>
      </c>
      <c r="T9">
        <v>464294.52289999998</v>
      </c>
      <c r="U9">
        <v>482389.72369999898</v>
      </c>
      <c r="V9">
        <v>498537.55649999902</v>
      </c>
      <c r="W9">
        <v>512226.72979999997</v>
      </c>
      <c r="X9">
        <v>522749.10090000002</v>
      </c>
      <c r="Y9">
        <v>532940.33869999996</v>
      </c>
      <c r="Z9">
        <v>543262.23360000004</v>
      </c>
      <c r="AA9">
        <v>553747.66890000005</v>
      </c>
      <c r="AB9">
        <v>564404.55310000002</v>
      </c>
      <c r="AC9">
        <v>575243.90599999996</v>
      </c>
      <c r="AD9">
        <v>586057.82659999898</v>
      </c>
      <c r="AE9">
        <v>596745.45660000003</v>
      </c>
      <c r="AF9">
        <v>607237.03119999997</v>
      </c>
      <c r="AG9">
        <v>617274.39249999903</v>
      </c>
      <c r="AH9">
        <v>626954.34849999903</v>
      </c>
      <c r="AI9">
        <v>636231.59680000006</v>
      </c>
      <c r="AJ9">
        <v>645136.9362</v>
      </c>
      <c r="AK9">
        <v>653768.3996</v>
      </c>
      <c r="AL9">
        <v>662088.34849999903</v>
      </c>
      <c r="AM9">
        <v>670339.97589999903</v>
      </c>
      <c r="AN9">
        <v>678758.81709999905</v>
      </c>
      <c r="AO9">
        <v>687381.30870000005</v>
      </c>
      <c r="AP9">
        <v>696259.92449999996</v>
      </c>
    </row>
    <row r="10" spans="1:42" x14ac:dyDescent="0.3">
      <c r="A10" t="s">
        <v>157</v>
      </c>
      <c r="B10">
        <v>174707.57159999901</v>
      </c>
      <c r="C10">
        <v>196150.979599999</v>
      </c>
      <c r="D10">
        <v>215427.38939999999</v>
      </c>
      <c r="E10">
        <v>217181.5281</v>
      </c>
      <c r="F10">
        <v>218207.62619999901</v>
      </c>
      <c r="G10">
        <v>223707.4069</v>
      </c>
      <c r="H10">
        <v>223161.33509999901</v>
      </c>
      <c r="I10">
        <v>237734.0184</v>
      </c>
      <c r="J10">
        <v>242077.019</v>
      </c>
      <c r="K10">
        <v>247477.51990000001</v>
      </c>
      <c r="L10">
        <v>213112.28769999999</v>
      </c>
      <c r="M10">
        <v>254724.87449999899</v>
      </c>
      <c r="N10">
        <v>310772.40279999998</v>
      </c>
      <c r="O10">
        <v>312545.24420000002</v>
      </c>
      <c r="P10">
        <v>320464.00519999902</v>
      </c>
      <c r="Q10">
        <v>330464.46149999899</v>
      </c>
      <c r="R10">
        <v>333733.14850000001</v>
      </c>
      <c r="S10">
        <v>336683.7708</v>
      </c>
      <c r="T10">
        <v>339437.9241</v>
      </c>
      <c r="U10">
        <v>341844.54739999998</v>
      </c>
      <c r="V10">
        <v>344013.4154</v>
      </c>
      <c r="W10">
        <v>345878.22360000003</v>
      </c>
      <c r="X10">
        <v>347621.09289999999</v>
      </c>
      <c r="Y10">
        <v>349646.24299999903</v>
      </c>
      <c r="Z10">
        <v>352025.86339999898</v>
      </c>
      <c r="AA10">
        <v>354816.08909999998</v>
      </c>
      <c r="AB10">
        <v>358082.32250000001</v>
      </c>
      <c r="AC10">
        <v>361822.88520000002</v>
      </c>
      <c r="AD10">
        <v>365950.06949999998</v>
      </c>
      <c r="AE10">
        <v>370485.15639999998</v>
      </c>
      <c r="AF10">
        <v>375595.51280000003</v>
      </c>
      <c r="AG10">
        <v>380809.9203</v>
      </c>
      <c r="AH10">
        <v>386113.65689999901</v>
      </c>
      <c r="AI10">
        <v>391498.48489999899</v>
      </c>
      <c r="AJ10">
        <v>396997.4264</v>
      </c>
      <c r="AK10">
        <v>402564.49739999999</v>
      </c>
      <c r="AL10">
        <v>408245.11849999998</v>
      </c>
      <c r="AM10">
        <v>414073.32780000003</v>
      </c>
      <c r="AN10">
        <v>420080.35189999902</v>
      </c>
      <c r="AO10">
        <v>426118.48849999998</v>
      </c>
      <c r="AP10">
        <v>432197.00809999998</v>
      </c>
    </row>
    <row r="11" spans="1:42" x14ac:dyDescent="0.3">
      <c r="A11" t="s">
        <v>158</v>
      </c>
      <c r="B11">
        <v>17537.8090999999</v>
      </c>
      <c r="C11">
        <v>18384.143899999999</v>
      </c>
      <c r="D11">
        <v>20246.442499999899</v>
      </c>
      <c r="E11">
        <v>22635.4101999999</v>
      </c>
      <c r="F11">
        <v>23907.184199999901</v>
      </c>
      <c r="G11">
        <v>27457.841400000001</v>
      </c>
      <c r="H11">
        <v>27434.7673</v>
      </c>
      <c r="I11">
        <v>28156.626299999902</v>
      </c>
      <c r="J11">
        <v>28556.318299999999</v>
      </c>
      <c r="K11">
        <v>30991.516999999902</v>
      </c>
      <c r="L11">
        <v>31519.642100000001</v>
      </c>
      <c r="M11">
        <v>37105.819099999899</v>
      </c>
      <c r="N11">
        <v>39393.424499999899</v>
      </c>
      <c r="O11">
        <v>38972.569900000002</v>
      </c>
      <c r="P11">
        <v>40048.095999999998</v>
      </c>
      <c r="Q11">
        <v>41793.209199999998</v>
      </c>
      <c r="R11">
        <v>43286.260900000001</v>
      </c>
      <c r="S11">
        <v>44848.790399999998</v>
      </c>
      <c r="T11">
        <v>46233.701499999901</v>
      </c>
      <c r="U11">
        <v>47512.756099999897</v>
      </c>
      <c r="V11">
        <v>48720.561599999899</v>
      </c>
      <c r="W11">
        <v>49873.2425</v>
      </c>
      <c r="X11">
        <v>50993.080600000001</v>
      </c>
      <c r="Y11">
        <v>52128.903099999901</v>
      </c>
      <c r="Z11">
        <v>53291.956299999998</v>
      </c>
      <c r="AA11">
        <v>54515.5004999999</v>
      </c>
      <c r="AB11">
        <v>55795.870199999998</v>
      </c>
      <c r="AC11">
        <v>57123.934199999901</v>
      </c>
      <c r="AD11">
        <v>58517.483800000002</v>
      </c>
      <c r="AE11">
        <v>59994.836900000002</v>
      </c>
      <c r="AF11">
        <v>61548.349699999897</v>
      </c>
      <c r="AG11">
        <v>63086.493499999997</v>
      </c>
      <c r="AH11">
        <v>64598.168799999898</v>
      </c>
      <c r="AI11">
        <v>66072.318399999902</v>
      </c>
      <c r="AJ11">
        <v>67513.325599999996</v>
      </c>
      <c r="AK11">
        <v>68903.6372999999</v>
      </c>
      <c r="AL11">
        <v>70247.152199999997</v>
      </c>
      <c r="AM11">
        <v>71545.727700000003</v>
      </c>
      <c r="AN11">
        <v>72767.900999999896</v>
      </c>
      <c r="AO11">
        <v>73927.816099999996</v>
      </c>
      <c r="AP11">
        <v>75023.1274999999</v>
      </c>
    </row>
    <row r="12" spans="1:42" x14ac:dyDescent="0.3">
      <c r="A12" t="s">
        <v>159</v>
      </c>
      <c r="B12">
        <v>129031.9277</v>
      </c>
      <c r="C12">
        <v>139317.93460000001</v>
      </c>
      <c r="D12">
        <v>155535.74569999901</v>
      </c>
      <c r="E12">
        <v>158127.444099999</v>
      </c>
      <c r="F12">
        <v>164134.9627</v>
      </c>
      <c r="G12">
        <v>181670.61389999901</v>
      </c>
      <c r="H12">
        <v>175618.132799999</v>
      </c>
      <c r="I12">
        <v>195089.38010000001</v>
      </c>
      <c r="J12">
        <v>212641.40270000001</v>
      </c>
      <c r="K12">
        <v>217714.77429999999</v>
      </c>
      <c r="L12">
        <v>202249.71639999899</v>
      </c>
      <c r="M12">
        <v>237547.578299999</v>
      </c>
      <c r="N12">
        <v>291548.92369999998</v>
      </c>
      <c r="O12">
        <v>293057.19499999902</v>
      </c>
      <c r="P12">
        <v>296868.02029999997</v>
      </c>
      <c r="Q12">
        <v>302694.82650000002</v>
      </c>
      <c r="R12">
        <v>306158.04249999998</v>
      </c>
      <c r="S12">
        <v>309216.57689999999</v>
      </c>
      <c r="T12">
        <v>312009.62749999901</v>
      </c>
      <c r="U12">
        <v>314705.20759999898</v>
      </c>
      <c r="V12">
        <v>317264.56929999997</v>
      </c>
      <c r="W12">
        <v>319608.26280000003</v>
      </c>
      <c r="X12">
        <v>322009.18839999998</v>
      </c>
      <c r="Y12">
        <v>324597.149299999</v>
      </c>
      <c r="Z12">
        <v>327479.29279999901</v>
      </c>
      <c r="AA12">
        <v>330673.60969999997</v>
      </c>
      <c r="AB12">
        <v>334221.70409999898</v>
      </c>
      <c r="AC12">
        <v>338180.42430000001</v>
      </c>
      <c r="AD12">
        <v>342557.41119999898</v>
      </c>
      <c r="AE12">
        <v>347536.84220000001</v>
      </c>
      <c r="AF12">
        <v>353152.71289999998</v>
      </c>
      <c r="AG12">
        <v>359012.451899999</v>
      </c>
      <c r="AH12">
        <v>365113.90620000003</v>
      </c>
      <c r="AI12">
        <v>371346.15919999999</v>
      </c>
      <c r="AJ12">
        <v>377697.88089999999</v>
      </c>
      <c r="AK12">
        <v>384111.432399999</v>
      </c>
      <c r="AL12">
        <v>390585.05179999903</v>
      </c>
      <c r="AM12">
        <v>397073.70259999897</v>
      </c>
      <c r="AN12">
        <v>403537.68499999901</v>
      </c>
      <c r="AO12">
        <v>410012.65639999899</v>
      </c>
      <c r="AP12">
        <v>416495.33659999998</v>
      </c>
    </row>
    <row r="13" spans="1:42" x14ac:dyDescent="0.3">
      <c r="A13" t="s">
        <v>160</v>
      </c>
      <c r="B13">
        <v>37323.003699999899</v>
      </c>
      <c r="C13">
        <v>42328.576200000003</v>
      </c>
      <c r="D13">
        <v>42036.781499999997</v>
      </c>
      <c r="E13">
        <v>42800.552299999901</v>
      </c>
      <c r="F13">
        <v>43669.265499999899</v>
      </c>
      <c r="G13">
        <v>48420.264000000003</v>
      </c>
      <c r="H13">
        <v>48927.681299999997</v>
      </c>
      <c r="I13">
        <v>48258.411899999999</v>
      </c>
      <c r="J13">
        <v>50710.786500000002</v>
      </c>
      <c r="K13">
        <v>52554.9477999999</v>
      </c>
      <c r="L13">
        <v>46628.774400000002</v>
      </c>
      <c r="M13">
        <v>53809.797599999998</v>
      </c>
      <c r="N13">
        <v>65890.991899999994</v>
      </c>
      <c r="O13">
        <v>66355.6391</v>
      </c>
      <c r="P13">
        <v>68155.457999999999</v>
      </c>
      <c r="Q13">
        <v>70399.875799999994</v>
      </c>
      <c r="R13">
        <v>71348.5524</v>
      </c>
      <c r="S13">
        <v>72311.5478</v>
      </c>
      <c r="T13">
        <v>73306.039499999999</v>
      </c>
      <c r="U13">
        <v>74288.611699999907</v>
      </c>
      <c r="V13">
        <v>75246.346799999999</v>
      </c>
      <c r="W13">
        <v>76157.177100000001</v>
      </c>
      <c r="X13">
        <v>77102.669699999897</v>
      </c>
      <c r="Y13">
        <v>78064.4022999999</v>
      </c>
      <c r="Z13">
        <v>79069.252199999901</v>
      </c>
      <c r="AA13">
        <v>80118.078699999896</v>
      </c>
      <c r="AB13">
        <v>81229.814199999993</v>
      </c>
      <c r="AC13">
        <v>82400.271900000007</v>
      </c>
      <c r="AD13">
        <v>83639.494399999996</v>
      </c>
      <c r="AE13">
        <v>84942.538199999894</v>
      </c>
      <c r="AF13">
        <v>86330.452300000004</v>
      </c>
      <c r="AG13">
        <v>87729.263699999996</v>
      </c>
      <c r="AH13">
        <v>89122.1038999999</v>
      </c>
      <c r="AI13">
        <v>90493.851699999999</v>
      </c>
      <c r="AJ13">
        <v>91846.460099999895</v>
      </c>
      <c r="AK13">
        <v>93176.117199999993</v>
      </c>
      <c r="AL13">
        <v>94482.180600000007</v>
      </c>
      <c r="AM13">
        <v>95759.918699999995</v>
      </c>
      <c r="AN13">
        <v>97009.337</v>
      </c>
      <c r="AO13">
        <v>98254.7353</v>
      </c>
      <c r="AP13">
        <v>99483.830700000006</v>
      </c>
    </row>
    <row r="14" spans="1:42" x14ac:dyDescent="0.3">
      <c r="A14" t="s">
        <v>161</v>
      </c>
      <c r="B14">
        <v>13916.889799999901</v>
      </c>
      <c r="C14">
        <v>16059.5999999999</v>
      </c>
      <c r="D14">
        <v>19117.8999</v>
      </c>
      <c r="E14">
        <v>20512.5998</v>
      </c>
      <c r="F14">
        <v>21157.2641</v>
      </c>
      <c r="G14">
        <v>20951.1227</v>
      </c>
      <c r="H14">
        <v>20041.360199999999</v>
      </c>
      <c r="I14">
        <v>22580.362700000001</v>
      </c>
      <c r="J14">
        <v>22848.196399999899</v>
      </c>
      <c r="K14">
        <v>23906.054099999899</v>
      </c>
      <c r="L14">
        <v>19040.0052</v>
      </c>
      <c r="M14">
        <v>22926.625499999998</v>
      </c>
      <c r="N14">
        <v>30807.7729</v>
      </c>
      <c r="O14">
        <v>32487.356199999998</v>
      </c>
      <c r="P14">
        <v>33156.5726</v>
      </c>
      <c r="Q14">
        <v>33862.642899999999</v>
      </c>
      <c r="R14">
        <v>34423.862999999998</v>
      </c>
      <c r="S14">
        <v>34877.752</v>
      </c>
      <c r="T14">
        <v>35276.248599999999</v>
      </c>
      <c r="U14">
        <v>35592.5223999999</v>
      </c>
      <c r="V14">
        <v>35879.708100000003</v>
      </c>
      <c r="W14">
        <v>36097.923699999999</v>
      </c>
      <c r="X14">
        <v>36267.078199999902</v>
      </c>
      <c r="Y14">
        <v>36458.388800000001</v>
      </c>
      <c r="Z14">
        <v>36687.364199999902</v>
      </c>
      <c r="AA14">
        <v>36951.987999999903</v>
      </c>
      <c r="AB14">
        <v>37263.656300000002</v>
      </c>
      <c r="AC14">
        <v>37620.0455</v>
      </c>
      <c r="AD14">
        <v>38006.745199999903</v>
      </c>
      <c r="AE14">
        <v>38432.304599999901</v>
      </c>
      <c r="AF14">
        <v>38914.288399999998</v>
      </c>
      <c r="AG14">
        <v>39413.607300000003</v>
      </c>
      <c r="AH14">
        <v>39929.319600000003</v>
      </c>
      <c r="AI14">
        <v>40456.067199999998</v>
      </c>
      <c r="AJ14">
        <v>40996.968099999896</v>
      </c>
      <c r="AK14">
        <v>41558.3901999999</v>
      </c>
      <c r="AL14">
        <v>42142.190900000001</v>
      </c>
      <c r="AM14">
        <v>42751.409500000002</v>
      </c>
      <c r="AN14">
        <v>43387.357099999899</v>
      </c>
      <c r="AO14">
        <v>44043.974800000004</v>
      </c>
      <c r="AP14">
        <v>44713.185299999997</v>
      </c>
    </row>
    <row r="15" spans="1:42" x14ac:dyDescent="0.3">
      <c r="A15" t="s">
        <v>162</v>
      </c>
      <c r="B15">
        <v>37226.556599999902</v>
      </c>
      <c r="C15">
        <v>37080.000200000002</v>
      </c>
      <c r="D15">
        <v>37722.999499999998</v>
      </c>
      <c r="E15">
        <v>36316.000099999997</v>
      </c>
      <c r="F15">
        <v>35516.664100000002</v>
      </c>
      <c r="G15">
        <v>34117.430999999997</v>
      </c>
      <c r="H15">
        <v>33781.860500000003</v>
      </c>
      <c r="I15">
        <v>37312.838599999901</v>
      </c>
      <c r="J15">
        <v>43837.702599999997</v>
      </c>
      <c r="K15">
        <v>46691.716</v>
      </c>
      <c r="L15">
        <v>41581.629099999998</v>
      </c>
      <c r="M15">
        <v>48302.011400000003</v>
      </c>
      <c r="N15">
        <v>59400.793799999999</v>
      </c>
      <c r="O15">
        <v>59479.886999999901</v>
      </c>
      <c r="P15">
        <v>60924.991999999998</v>
      </c>
      <c r="Q15">
        <v>63071.111499999897</v>
      </c>
      <c r="R15">
        <v>63731.0861</v>
      </c>
      <c r="S15">
        <v>64412.994899999998</v>
      </c>
      <c r="T15">
        <v>65080.210299999999</v>
      </c>
      <c r="U15">
        <v>65752.165999999997</v>
      </c>
      <c r="V15">
        <v>66457.5168999999</v>
      </c>
      <c r="W15">
        <v>67192.5842999999</v>
      </c>
      <c r="X15">
        <v>67964.002500000002</v>
      </c>
      <c r="Y15">
        <v>68751.549299999999</v>
      </c>
      <c r="Z15">
        <v>69603.879299999899</v>
      </c>
      <c r="AA15">
        <v>70492.708499999906</v>
      </c>
      <c r="AB15">
        <v>71438.500799999994</v>
      </c>
      <c r="AC15">
        <v>72454.887199999997</v>
      </c>
      <c r="AD15">
        <v>73521.459399999905</v>
      </c>
      <c r="AE15">
        <v>74677.138099999996</v>
      </c>
      <c r="AF15">
        <v>75853.970700000005</v>
      </c>
      <c r="AG15">
        <v>76999.650599999906</v>
      </c>
      <c r="AH15">
        <v>78132.848299999998</v>
      </c>
      <c r="AI15">
        <v>79252.197</v>
      </c>
      <c r="AJ15">
        <v>80360.342899999901</v>
      </c>
      <c r="AK15">
        <v>81444.406499999895</v>
      </c>
      <c r="AL15">
        <v>82509.2742</v>
      </c>
      <c r="AM15">
        <v>83548.260299999994</v>
      </c>
      <c r="AN15">
        <v>84556.302499999903</v>
      </c>
      <c r="AO15">
        <v>85540.911200000002</v>
      </c>
      <c r="AP15">
        <v>86504.285799999896</v>
      </c>
    </row>
    <row r="16" spans="1:42" x14ac:dyDescent="0.3">
      <c r="A16" t="s">
        <v>163</v>
      </c>
      <c r="B16">
        <v>73110.796100000007</v>
      </c>
      <c r="C16">
        <v>82376.800199999998</v>
      </c>
      <c r="D16">
        <v>85337.599499999997</v>
      </c>
      <c r="E16">
        <v>78927.400699999998</v>
      </c>
      <c r="F16">
        <v>78510.611399999994</v>
      </c>
      <c r="G16">
        <v>83610.108699999997</v>
      </c>
      <c r="H16">
        <v>83203.808000000005</v>
      </c>
      <c r="I16">
        <v>87325.761599999998</v>
      </c>
      <c r="J16">
        <v>87914.395499999999</v>
      </c>
      <c r="K16">
        <v>93217.319300000003</v>
      </c>
      <c r="L16">
        <v>86153.433699999907</v>
      </c>
      <c r="M16">
        <v>102799.88559999999</v>
      </c>
      <c r="N16">
        <v>121435.53200000001</v>
      </c>
      <c r="O16">
        <v>122994.6342</v>
      </c>
      <c r="P16">
        <v>123157.64109999999</v>
      </c>
      <c r="Q16">
        <v>126891.9935</v>
      </c>
      <c r="R16">
        <v>128814.3933</v>
      </c>
      <c r="S16">
        <v>130661.4523</v>
      </c>
      <c r="T16">
        <v>132576.5545</v>
      </c>
      <c r="U16">
        <v>134579.98469999901</v>
      </c>
      <c r="V16">
        <v>136654.2812</v>
      </c>
      <c r="W16">
        <v>138758.516</v>
      </c>
      <c r="X16">
        <v>140938.08949999901</v>
      </c>
      <c r="Y16">
        <v>143182.13679999899</v>
      </c>
      <c r="Z16">
        <v>145575.90410000001</v>
      </c>
      <c r="AA16">
        <v>148119.8645</v>
      </c>
      <c r="AB16">
        <v>150841.9694</v>
      </c>
      <c r="AC16">
        <v>153741.63369999899</v>
      </c>
      <c r="AD16">
        <v>156747.88870000001</v>
      </c>
      <c r="AE16">
        <v>159964.93149999899</v>
      </c>
      <c r="AF16">
        <v>163216.83839999899</v>
      </c>
      <c r="AG16">
        <v>166478.06729999901</v>
      </c>
      <c r="AH16">
        <v>169795.12349999999</v>
      </c>
      <c r="AI16">
        <v>173120.6286</v>
      </c>
      <c r="AJ16">
        <v>176472.5073</v>
      </c>
      <c r="AK16">
        <v>179791.67449999999</v>
      </c>
      <c r="AL16">
        <v>183080.8872</v>
      </c>
      <c r="AM16">
        <v>186333.22999999899</v>
      </c>
      <c r="AN16">
        <v>189540.65030000001</v>
      </c>
      <c r="AO16">
        <v>192767.43109999999</v>
      </c>
      <c r="AP16">
        <v>195991.71779999899</v>
      </c>
    </row>
    <row r="17" spans="1:42" x14ac:dyDescent="0.3">
      <c r="A17" t="s">
        <v>164</v>
      </c>
      <c r="B17">
        <v>281421.47409999999</v>
      </c>
      <c r="C17">
        <v>311716.27510000003</v>
      </c>
      <c r="D17">
        <v>349330.21869999898</v>
      </c>
      <c r="E17">
        <v>348609.81430000003</v>
      </c>
      <c r="F17">
        <v>359609.0576</v>
      </c>
      <c r="G17">
        <v>401024.32069999998</v>
      </c>
      <c r="H17">
        <v>377109.9423</v>
      </c>
      <c r="I17">
        <v>389840.34379999997</v>
      </c>
      <c r="J17">
        <v>406886.55</v>
      </c>
      <c r="K17">
        <v>412845.85979999998</v>
      </c>
      <c r="L17">
        <v>373007.38099999999</v>
      </c>
      <c r="M17">
        <v>371337.11300000001</v>
      </c>
      <c r="N17">
        <v>372158.4951</v>
      </c>
      <c r="O17">
        <v>383541.9999</v>
      </c>
      <c r="P17">
        <v>390603.00579999998</v>
      </c>
      <c r="Q17">
        <v>396926.65239999897</v>
      </c>
      <c r="R17">
        <v>402993.68520000001</v>
      </c>
      <c r="S17">
        <v>409179.63040000002</v>
      </c>
      <c r="T17">
        <v>415482.64439999999</v>
      </c>
      <c r="U17">
        <v>421883.35719999898</v>
      </c>
      <c r="V17">
        <v>428424.93650000001</v>
      </c>
      <c r="W17">
        <v>435899.2635</v>
      </c>
      <c r="X17">
        <v>443545.16929999902</v>
      </c>
      <c r="Y17">
        <v>451354.15120000002</v>
      </c>
      <c r="Z17">
        <v>459348.33559999999</v>
      </c>
      <c r="AA17">
        <v>467493.80239999999</v>
      </c>
      <c r="AB17">
        <v>475831.99369999999</v>
      </c>
      <c r="AC17">
        <v>484328.77519999997</v>
      </c>
      <c r="AD17">
        <v>493023.41200000001</v>
      </c>
      <c r="AE17">
        <v>501874.35310000001</v>
      </c>
      <c r="AF17">
        <v>510980.66489999997</v>
      </c>
      <c r="AG17">
        <v>520215.59449999902</v>
      </c>
      <c r="AH17">
        <v>529654.79920000001</v>
      </c>
      <c r="AI17">
        <v>539287.35900000005</v>
      </c>
      <c r="AJ17">
        <v>549153.55570000003</v>
      </c>
      <c r="AK17">
        <v>559215.79729999998</v>
      </c>
      <c r="AL17">
        <v>569489.56799999997</v>
      </c>
      <c r="AM17">
        <v>579930.44869999995</v>
      </c>
      <c r="AN17">
        <v>590583.51379999996</v>
      </c>
      <c r="AO17">
        <v>601491.54449999996</v>
      </c>
      <c r="AP17">
        <v>612609.71359999897</v>
      </c>
    </row>
    <row r="18" spans="1:42" x14ac:dyDescent="0.3">
      <c r="A18" t="s">
        <v>165</v>
      </c>
      <c r="B18">
        <v>17756.221399999999</v>
      </c>
      <c r="C18">
        <v>20600.2003999999</v>
      </c>
      <c r="D18">
        <v>25308.5998</v>
      </c>
      <c r="E18">
        <v>24268.2</v>
      </c>
      <c r="F18">
        <v>24478.7032</v>
      </c>
      <c r="G18">
        <v>25897.022699999899</v>
      </c>
      <c r="H18">
        <v>26645.593299999899</v>
      </c>
      <c r="I18">
        <v>29310.480899999999</v>
      </c>
      <c r="J18">
        <v>30929.534500000002</v>
      </c>
      <c r="K18">
        <v>31759.208799999898</v>
      </c>
      <c r="L18">
        <v>28762.158099999899</v>
      </c>
      <c r="M18">
        <v>33015.208999999901</v>
      </c>
      <c r="N18">
        <v>40237.149499999898</v>
      </c>
      <c r="O18">
        <v>41256.1323999999</v>
      </c>
      <c r="P18">
        <v>42125.888599999998</v>
      </c>
      <c r="Q18">
        <v>43886.921199999997</v>
      </c>
      <c r="R18">
        <v>44412.182699999998</v>
      </c>
      <c r="S18">
        <v>44909.614499999901</v>
      </c>
      <c r="T18">
        <v>45434.554600000003</v>
      </c>
      <c r="U18">
        <v>45994.762600000002</v>
      </c>
      <c r="V18">
        <v>46614.006299999899</v>
      </c>
      <c r="W18">
        <v>47255.095699999903</v>
      </c>
      <c r="X18">
        <v>47898.399299999997</v>
      </c>
      <c r="Y18">
        <v>48544.772100000002</v>
      </c>
      <c r="Z18">
        <v>49222.883099999999</v>
      </c>
      <c r="AA18">
        <v>49919.453000000001</v>
      </c>
      <c r="AB18">
        <v>50645.807800000002</v>
      </c>
      <c r="AC18">
        <v>51410.697899999897</v>
      </c>
      <c r="AD18">
        <v>52192.389000000003</v>
      </c>
      <c r="AE18">
        <v>53012.721099999901</v>
      </c>
      <c r="AF18">
        <v>53867.448899999901</v>
      </c>
      <c r="AG18">
        <v>54730.792799999901</v>
      </c>
      <c r="AH18">
        <v>55618.389699999898</v>
      </c>
      <c r="AI18">
        <v>56531.2389999999</v>
      </c>
      <c r="AJ18">
        <v>57475.320800000001</v>
      </c>
      <c r="AK18">
        <v>58444.0439999999</v>
      </c>
      <c r="AL18">
        <v>59433.0272999999</v>
      </c>
      <c r="AM18">
        <v>60424.458099999902</v>
      </c>
      <c r="AN18">
        <v>61423.549299999897</v>
      </c>
      <c r="AO18">
        <v>62431.601099999898</v>
      </c>
      <c r="AP18">
        <v>63435.772700000001</v>
      </c>
    </row>
    <row r="19" spans="1:42" x14ac:dyDescent="0.3">
      <c r="A19" t="s">
        <v>166</v>
      </c>
      <c r="B19">
        <v>3335.0735999999902</v>
      </c>
      <c r="C19">
        <v>4358.8694999999998</v>
      </c>
      <c r="D19">
        <v>5104.59979999999</v>
      </c>
      <c r="E19">
        <v>4480.1000999999997</v>
      </c>
      <c r="F19">
        <v>4347.3044999999902</v>
      </c>
      <c r="G19">
        <v>3808.5304999999998</v>
      </c>
      <c r="H19">
        <v>4135.1464999999998</v>
      </c>
      <c r="I19">
        <v>4615.6437999999998</v>
      </c>
      <c r="J19">
        <v>4762.2305999999999</v>
      </c>
      <c r="K19">
        <v>5066.3651</v>
      </c>
      <c r="L19">
        <v>4690.7743</v>
      </c>
      <c r="M19">
        <v>6181.7722999999996</v>
      </c>
      <c r="N19">
        <v>7632.6444999999903</v>
      </c>
      <c r="O19">
        <v>7370.4321999999902</v>
      </c>
      <c r="P19">
        <v>7564.5754999999999</v>
      </c>
      <c r="Q19">
        <v>7874.5727999999999</v>
      </c>
      <c r="R19">
        <v>7967.0805</v>
      </c>
      <c r="S19">
        <v>8057.4656999999997</v>
      </c>
      <c r="T19">
        <v>8152.9709999999995</v>
      </c>
      <c r="U19">
        <v>8258.0566999999992</v>
      </c>
      <c r="V19">
        <v>8378.4387999999999</v>
      </c>
      <c r="W19">
        <v>8500.1579000000002</v>
      </c>
      <c r="X19">
        <v>8631.3608000000004</v>
      </c>
      <c r="Y19">
        <v>8766.3839000000007</v>
      </c>
      <c r="Z19">
        <v>8911.7281999999996</v>
      </c>
      <c r="AA19">
        <v>9063.277</v>
      </c>
      <c r="AB19">
        <v>9226.4997999999996</v>
      </c>
      <c r="AC19">
        <v>9402.7047999999904</v>
      </c>
      <c r="AD19">
        <v>9589.1540999999906</v>
      </c>
      <c r="AE19">
        <v>9788.5144</v>
      </c>
      <c r="AF19">
        <v>9984.8513999999905</v>
      </c>
      <c r="AG19">
        <v>10179.0541999999</v>
      </c>
      <c r="AH19">
        <v>10376.656300000001</v>
      </c>
      <c r="AI19">
        <v>10575.6631</v>
      </c>
      <c r="AJ19">
        <v>10777.0820999999</v>
      </c>
      <c r="AK19">
        <v>10978.1937</v>
      </c>
      <c r="AL19">
        <v>11180.735000000001</v>
      </c>
      <c r="AM19">
        <v>11382.141900000001</v>
      </c>
      <c r="AN19">
        <v>11582.7965</v>
      </c>
      <c r="AO19">
        <v>11778.7886</v>
      </c>
      <c r="AP19">
        <v>11970.5184999999</v>
      </c>
    </row>
    <row r="20" spans="1:42" x14ac:dyDescent="0.3">
      <c r="A20" t="s">
        <v>167</v>
      </c>
      <c r="B20">
        <v>5002.2512999999999</v>
      </c>
      <c r="C20">
        <v>5387.5105999999996</v>
      </c>
      <c r="D20">
        <v>5804.8122000000003</v>
      </c>
      <c r="E20">
        <v>5764.9497000000001</v>
      </c>
      <c r="F20">
        <v>5886.8216999999904</v>
      </c>
      <c r="G20">
        <v>6334.6203999999998</v>
      </c>
      <c r="H20">
        <v>6714.8544000000002</v>
      </c>
      <c r="I20">
        <v>7691.5889999999899</v>
      </c>
      <c r="J20">
        <v>8304.4359999999997</v>
      </c>
      <c r="K20">
        <v>9060.3050000000003</v>
      </c>
      <c r="L20">
        <v>9107.2210999999897</v>
      </c>
      <c r="M20">
        <v>11390.465</v>
      </c>
      <c r="N20">
        <v>13491.4635</v>
      </c>
      <c r="O20">
        <v>13381.171399999999</v>
      </c>
      <c r="P20">
        <v>13752.178399999901</v>
      </c>
      <c r="Q20">
        <v>14229.1096</v>
      </c>
      <c r="R20">
        <v>14491.109</v>
      </c>
      <c r="S20">
        <v>14742.1807999999</v>
      </c>
      <c r="T20">
        <v>14976.7374</v>
      </c>
      <c r="U20">
        <v>15208.119199999999</v>
      </c>
      <c r="V20">
        <v>15439.0724999999</v>
      </c>
      <c r="W20">
        <v>15659.0486</v>
      </c>
      <c r="X20">
        <v>15885.4625</v>
      </c>
      <c r="Y20">
        <v>16112.259</v>
      </c>
      <c r="Z20">
        <v>16350.8807</v>
      </c>
      <c r="AA20">
        <v>16601.715199999999</v>
      </c>
      <c r="AB20">
        <v>16865.272199999999</v>
      </c>
      <c r="AC20">
        <v>17149.107100000001</v>
      </c>
      <c r="AD20">
        <v>17446.734299999898</v>
      </c>
      <c r="AE20">
        <v>17766.531799999899</v>
      </c>
      <c r="AF20">
        <v>18101.4395</v>
      </c>
      <c r="AG20">
        <v>18435.943499999899</v>
      </c>
      <c r="AH20">
        <v>18773.391899999999</v>
      </c>
      <c r="AI20">
        <v>19114.345099999999</v>
      </c>
      <c r="AJ20">
        <v>19460.4084999999</v>
      </c>
      <c r="AK20">
        <v>19805.063399999999</v>
      </c>
      <c r="AL20">
        <v>20149.828099999901</v>
      </c>
      <c r="AM20">
        <v>20495.141799999899</v>
      </c>
      <c r="AN20">
        <v>20838.8086</v>
      </c>
      <c r="AO20">
        <v>21175.358400000001</v>
      </c>
      <c r="AP20">
        <v>21503.970299999899</v>
      </c>
    </row>
    <row r="21" spans="1:42" x14ac:dyDescent="0.3">
      <c r="A21" t="s">
        <v>168</v>
      </c>
      <c r="B21">
        <v>3389.4859999999899</v>
      </c>
      <c r="C21">
        <v>4133.4998999999998</v>
      </c>
      <c r="D21">
        <v>4990.3001000000004</v>
      </c>
      <c r="E21">
        <v>4879.0640999999996</v>
      </c>
      <c r="F21">
        <v>4654.3373999999903</v>
      </c>
      <c r="G21">
        <v>4804.9090999999999</v>
      </c>
      <c r="H21">
        <v>4578.8702000000003</v>
      </c>
      <c r="I21">
        <v>5232.0450000000001</v>
      </c>
      <c r="J21">
        <v>5237.7766999999903</v>
      </c>
      <c r="K21">
        <v>5364.26709999999</v>
      </c>
      <c r="L21">
        <v>5347.2244999999903</v>
      </c>
      <c r="M21">
        <v>6296.8792999999896</v>
      </c>
      <c r="N21">
        <v>8179.6140999999898</v>
      </c>
      <c r="O21">
        <v>7935.8751999999904</v>
      </c>
      <c r="P21">
        <v>8083.6961999999903</v>
      </c>
      <c r="Q21">
        <v>8330.2201999999997</v>
      </c>
      <c r="R21">
        <v>8459.0187000000005</v>
      </c>
      <c r="S21">
        <v>8582.1440000000002</v>
      </c>
      <c r="T21">
        <v>8710.6311000000005</v>
      </c>
      <c r="U21">
        <v>8845.0413000000008</v>
      </c>
      <c r="V21">
        <v>8979.5771000000004</v>
      </c>
      <c r="W21">
        <v>9116.2376999999997</v>
      </c>
      <c r="X21">
        <v>9260.9120000000003</v>
      </c>
      <c r="Y21">
        <v>9405.1637999999894</v>
      </c>
      <c r="Z21">
        <v>9550.8791999999994</v>
      </c>
      <c r="AA21">
        <v>9697.9992999999995</v>
      </c>
      <c r="AB21">
        <v>9847.6677999999993</v>
      </c>
      <c r="AC21">
        <v>10000.0003</v>
      </c>
      <c r="AD21">
        <v>10148.066999999901</v>
      </c>
      <c r="AE21">
        <v>10286.9938</v>
      </c>
      <c r="AF21">
        <v>10418.857899999901</v>
      </c>
      <c r="AG21">
        <v>10540.510899999999</v>
      </c>
      <c r="AH21">
        <v>10653.8549999999</v>
      </c>
      <c r="AI21">
        <v>10763.6911</v>
      </c>
      <c r="AJ21">
        <v>10868.1963</v>
      </c>
      <c r="AK21">
        <v>10964.5893</v>
      </c>
      <c r="AL21">
        <v>11051.674499999999</v>
      </c>
      <c r="AM21">
        <v>11129.1076999999</v>
      </c>
      <c r="AN21">
        <v>11197.970799999999</v>
      </c>
      <c r="AO21">
        <v>11256.8249</v>
      </c>
      <c r="AP21">
        <v>11308.6633</v>
      </c>
    </row>
    <row r="22" spans="1:42" x14ac:dyDescent="0.3">
      <c r="A22" t="s">
        <v>169</v>
      </c>
      <c r="B22">
        <v>6726.2458999999899</v>
      </c>
      <c r="C22">
        <v>8750.3383999999896</v>
      </c>
      <c r="D22">
        <v>10109.900600000001</v>
      </c>
      <c r="E22">
        <v>11309.1000999999</v>
      </c>
      <c r="F22">
        <v>10218.863799999999</v>
      </c>
      <c r="G22">
        <v>8321.0828999999994</v>
      </c>
      <c r="H22">
        <v>8704.5328999999892</v>
      </c>
      <c r="I22">
        <v>10704.3874</v>
      </c>
      <c r="J22">
        <v>11349.9774</v>
      </c>
      <c r="K22">
        <v>12539.7551</v>
      </c>
      <c r="L22">
        <v>12088.2084</v>
      </c>
      <c r="M22">
        <v>14994.0162</v>
      </c>
      <c r="N22">
        <v>19408.848999999998</v>
      </c>
      <c r="O22">
        <v>18563.862499999999</v>
      </c>
      <c r="P22">
        <v>19194.801599999901</v>
      </c>
      <c r="Q22">
        <v>20536.4277</v>
      </c>
      <c r="R22">
        <v>20958.383999999998</v>
      </c>
      <c r="S22">
        <v>21350.540999999899</v>
      </c>
      <c r="T22">
        <v>21698.066900000002</v>
      </c>
      <c r="U22">
        <v>22026.119200000001</v>
      </c>
      <c r="V22">
        <v>22342.0148999999</v>
      </c>
      <c r="W22">
        <v>22651.0965</v>
      </c>
      <c r="X22">
        <v>22974.195400000001</v>
      </c>
      <c r="Y22">
        <v>23294.4156</v>
      </c>
      <c r="Z22">
        <v>23618.985100000002</v>
      </c>
      <c r="AA22">
        <v>23944.614299999899</v>
      </c>
      <c r="AB22">
        <v>24274.4879</v>
      </c>
      <c r="AC22">
        <v>24615.220799999901</v>
      </c>
      <c r="AD22">
        <v>24944.324299999898</v>
      </c>
      <c r="AE22">
        <v>25261.315199999899</v>
      </c>
      <c r="AF22">
        <v>25549.556199999999</v>
      </c>
      <c r="AG22">
        <v>25822.801200000002</v>
      </c>
      <c r="AH22">
        <v>26086.5324</v>
      </c>
      <c r="AI22">
        <v>26348.3171</v>
      </c>
      <c r="AJ22">
        <v>26607.7834</v>
      </c>
      <c r="AK22">
        <v>26862.619500000001</v>
      </c>
      <c r="AL22">
        <v>27113.064600000002</v>
      </c>
      <c r="AM22">
        <v>27355.340899999999</v>
      </c>
      <c r="AN22">
        <v>27587.024199999902</v>
      </c>
      <c r="AO22">
        <v>27794.387999999999</v>
      </c>
      <c r="AP22">
        <v>27976.866900000001</v>
      </c>
    </row>
    <row r="23" spans="1:42" x14ac:dyDescent="0.3">
      <c r="A23" t="s">
        <v>170</v>
      </c>
      <c r="B23">
        <v>19648.1394</v>
      </c>
      <c r="C23">
        <v>20678.099899999899</v>
      </c>
      <c r="D23">
        <v>20976.9002</v>
      </c>
      <c r="E23">
        <v>20822.700099999998</v>
      </c>
      <c r="F23">
        <v>19286.405999999999</v>
      </c>
      <c r="G23">
        <v>23449.795900000001</v>
      </c>
      <c r="H23">
        <v>21197.888599999998</v>
      </c>
      <c r="I23">
        <v>22299.2709</v>
      </c>
      <c r="J23">
        <v>22364.831399999999</v>
      </c>
      <c r="K23">
        <v>23450.536599999901</v>
      </c>
      <c r="L23">
        <v>21296.2203999999</v>
      </c>
      <c r="M23">
        <v>24158.6522</v>
      </c>
      <c r="N23">
        <v>30228.131799999999</v>
      </c>
      <c r="O23">
        <v>30438.608700000001</v>
      </c>
      <c r="P23">
        <v>31496.258999999998</v>
      </c>
      <c r="Q23">
        <v>33026.892699999997</v>
      </c>
      <c r="R23">
        <v>33797.145499999897</v>
      </c>
      <c r="S23">
        <v>34572.288599999898</v>
      </c>
      <c r="T23">
        <v>35363.967299999997</v>
      </c>
      <c r="U23">
        <v>36140.579499999898</v>
      </c>
      <c r="V23">
        <v>36904.960099999997</v>
      </c>
      <c r="W23">
        <v>37641.557399999998</v>
      </c>
      <c r="X23">
        <v>38369.419399999999</v>
      </c>
      <c r="Y23">
        <v>39079.8393</v>
      </c>
      <c r="Z23">
        <v>39802.450199999999</v>
      </c>
      <c r="AA23">
        <v>40517.269399999997</v>
      </c>
      <c r="AB23">
        <v>41243.302399999899</v>
      </c>
      <c r="AC23">
        <v>41979.596400000002</v>
      </c>
      <c r="AD23">
        <v>42708.531099999898</v>
      </c>
      <c r="AE23">
        <v>43438.266600000003</v>
      </c>
      <c r="AF23">
        <v>44143.015200000002</v>
      </c>
      <c r="AG23">
        <v>44846.758500000004</v>
      </c>
      <c r="AH23">
        <v>45573.688199999997</v>
      </c>
      <c r="AI23">
        <v>46332.976600000002</v>
      </c>
      <c r="AJ23">
        <v>47124.007299999997</v>
      </c>
      <c r="AK23">
        <v>47948.559699999998</v>
      </c>
      <c r="AL23">
        <v>48795.630299999997</v>
      </c>
      <c r="AM23">
        <v>49662.786</v>
      </c>
      <c r="AN23">
        <v>50547.822399999997</v>
      </c>
      <c r="AO23">
        <v>51423.263500000001</v>
      </c>
      <c r="AP23">
        <v>52292.604499999899</v>
      </c>
    </row>
    <row r="24" spans="1:42" x14ac:dyDescent="0.3">
      <c r="A24" t="s">
        <v>171</v>
      </c>
      <c r="B24">
        <v>7194.0893999999998</v>
      </c>
      <c r="C24">
        <v>7183.8002999999999</v>
      </c>
      <c r="D24">
        <v>7879.7997999999998</v>
      </c>
      <c r="E24">
        <v>7878.3997999999901</v>
      </c>
      <c r="F24">
        <v>7799.0905000000002</v>
      </c>
      <c r="G24">
        <v>8451.2189999999991</v>
      </c>
      <c r="H24">
        <v>9479.6994999999897</v>
      </c>
      <c r="I24">
        <v>10178.4357</v>
      </c>
      <c r="J24">
        <v>11144.3801999999</v>
      </c>
      <c r="K24">
        <v>12451.215</v>
      </c>
      <c r="L24">
        <v>12336.9109999999</v>
      </c>
      <c r="M24">
        <v>13532.1005</v>
      </c>
      <c r="N24">
        <v>15125.5981999999</v>
      </c>
      <c r="O24">
        <v>15611.5251999999</v>
      </c>
      <c r="P24">
        <v>16271.2925</v>
      </c>
      <c r="Q24">
        <v>17069.061300000001</v>
      </c>
      <c r="R24">
        <v>17835.280200000001</v>
      </c>
      <c r="S24">
        <v>18618.4215999999</v>
      </c>
      <c r="T24">
        <v>19422.451300000001</v>
      </c>
      <c r="U24">
        <v>20230.438899999899</v>
      </c>
      <c r="V24">
        <v>21039.9987</v>
      </c>
      <c r="W24">
        <v>21818.159799999899</v>
      </c>
      <c r="X24">
        <v>22593.815299999998</v>
      </c>
      <c r="Y24">
        <v>23329.452599999899</v>
      </c>
      <c r="Z24">
        <v>24061.294399999999</v>
      </c>
      <c r="AA24">
        <v>24776.1967</v>
      </c>
      <c r="AB24">
        <v>25480.9844999999</v>
      </c>
      <c r="AC24">
        <v>26175.1662</v>
      </c>
      <c r="AD24">
        <v>26850.312300000001</v>
      </c>
      <c r="AE24">
        <v>27505.6345</v>
      </c>
      <c r="AF24">
        <v>28126.1643999999</v>
      </c>
      <c r="AG24">
        <v>28712.041300000001</v>
      </c>
      <c r="AH24">
        <v>29273.286499999998</v>
      </c>
      <c r="AI24">
        <v>29814.479599999901</v>
      </c>
      <c r="AJ24">
        <v>30333.058799999901</v>
      </c>
      <c r="AK24">
        <v>30830.0380999999</v>
      </c>
      <c r="AL24">
        <v>31295.8757999999</v>
      </c>
      <c r="AM24">
        <v>31736.2291</v>
      </c>
      <c r="AN24">
        <v>32150.398499999999</v>
      </c>
      <c r="AO24">
        <v>32539.7399</v>
      </c>
      <c r="AP24">
        <v>32902.913499999901</v>
      </c>
    </row>
    <row r="25" spans="1:42" x14ac:dyDescent="0.3">
      <c r="A25" t="s">
        <v>172</v>
      </c>
      <c r="B25">
        <v>30256.126299999902</v>
      </c>
      <c r="C25">
        <v>35661.000099999903</v>
      </c>
      <c r="D25">
        <v>41079.407499999899</v>
      </c>
      <c r="E25">
        <v>44327.556299999902</v>
      </c>
      <c r="F25">
        <v>43041.686099999999</v>
      </c>
      <c r="G25">
        <v>42598.036</v>
      </c>
      <c r="H25">
        <v>44975.358599999898</v>
      </c>
      <c r="I25">
        <v>51911.238299999903</v>
      </c>
      <c r="J25">
        <v>55151.137699999897</v>
      </c>
      <c r="K25">
        <v>59352.780299999897</v>
      </c>
      <c r="L25">
        <v>58418.847099999999</v>
      </c>
      <c r="M25">
        <v>69682.853699999905</v>
      </c>
      <c r="N25">
        <v>85976.730599999893</v>
      </c>
      <c r="O25">
        <v>84710.203999999998</v>
      </c>
      <c r="P25">
        <v>86925.720999999903</v>
      </c>
      <c r="Q25">
        <v>91198.055699999997</v>
      </c>
      <c r="R25">
        <v>93210.934200000003</v>
      </c>
      <c r="S25">
        <v>95150.773400000005</v>
      </c>
      <c r="T25">
        <v>97144.8253999999</v>
      </c>
      <c r="U25">
        <v>99257.654500000004</v>
      </c>
      <c r="V25">
        <v>101496.520099999</v>
      </c>
      <c r="W25">
        <v>103868.662399999</v>
      </c>
      <c r="X25">
        <v>106271.502499999</v>
      </c>
      <c r="Y25">
        <v>108601.9423</v>
      </c>
      <c r="Z25">
        <v>110945.08440000001</v>
      </c>
      <c r="AA25">
        <v>113219.199899999</v>
      </c>
      <c r="AB25">
        <v>115468.63039999999</v>
      </c>
      <c r="AC25">
        <v>117694.3613</v>
      </c>
      <c r="AD25">
        <v>119812.4953</v>
      </c>
      <c r="AE25">
        <v>121823.823699999</v>
      </c>
      <c r="AF25">
        <v>123591.68309999999</v>
      </c>
      <c r="AG25">
        <v>125252.0898</v>
      </c>
      <c r="AH25">
        <v>126798.2047</v>
      </c>
      <c r="AI25">
        <v>128279.6436</v>
      </c>
      <c r="AJ25">
        <v>129719.6284</v>
      </c>
      <c r="AK25">
        <v>131105.182899999</v>
      </c>
      <c r="AL25">
        <v>132444.5343</v>
      </c>
      <c r="AM25">
        <v>133768.70120000001</v>
      </c>
      <c r="AN25">
        <v>135091.6096</v>
      </c>
      <c r="AO25">
        <v>136381.76949999901</v>
      </c>
      <c r="AP25">
        <v>137639.476</v>
      </c>
    </row>
    <row r="26" spans="1:42" x14ac:dyDescent="0.3">
      <c r="A26" t="s">
        <v>173</v>
      </c>
      <c r="B26">
        <v>7067.3234000000002</v>
      </c>
      <c r="C26">
        <v>7456.5000999999902</v>
      </c>
      <c r="D26">
        <v>7921.9252999999999</v>
      </c>
      <c r="E26">
        <v>7288.0346999999902</v>
      </c>
      <c r="F26">
        <v>6584.3254999999999</v>
      </c>
      <c r="G26">
        <v>6774.3146999999999</v>
      </c>
      <c r="H26">
        <v>7139.1193000000003</v>
      </c>
      <c r="I26">
        <v>7939.8621000000003</v>
      </c>
      <c r="J26">
        <v>8275.6597000000002</v>
      </c>
      <c r="K26">
        <v>8642.0239999999994</v>
      </c>
      <c r="L26">
        <v>7782.6700999999903</v>
      </c>
      <c r="M26">
        <v>9293.8264999999992</v>
      </c>
      <c r="N26">
        <v>11424.043100000001</v>
      </c>
      <c r="O26">
        <v>11323.2829</v>
      </c>
      <c r="P26">
        <v>11618.5998</v>
      </c>
      <c r="Q26">
        <v>12069.0072</v>
      </c>
      <c r="R26">
        <v>12377.546700000001</v>
      </c>
      <c r="S26">
        <v>12685.687</v>
      </c>
      <c r="T26">
        <v>12981.675299999901</v>
      </c>
      <c r="U26">
        <v>13271.2541</v>
      </c>
      <c r="V26">
        <v>13560.102800000001</v>
      </c>
      <c r="W26">
        <v>13845.594300000001</v>
      </c>
      <c r="X26">
        <v>14137.3988999999</v>
      </c>
      <c r="Y26">
        <v>14421.3298</v>
      </c>
      <c r="Z26">
        <v>14711.5077</v>
      </c>
      <c r="AA26">
        <v>15023.342999999901</v>
      </c>
      <c r="AB26">
        <v>15309.072</v>
      </c>
      <c r="AC26">
        <v>15594.079900000001</v>
      </c>
      <c r="AD26">
        <v>15869.1869999999</v>
      </c>
      <c r="AE26">
        <v>16137.924499999999</v>
      </c>
      <c r="AF26">
        <v>16383.4312999999</v>
      </c>
      <c r="AG26">
        <v>16617.286199999999</v>
      </c>
      <c r="AH26">
        <v>16836.474200000001</v>
      </c>
      <c r="AI26">
        <v>17044.449999999899</v>
      </c>
      <c r="AJ26">
        <v>17241.321299999901</v>
      </c>
      <c r="AK26">
        <v>17425.7821</v>
      </c>
      <c r="AL26">
        <v>17608.708200000001</v>
      </c>
      <c r="AM26">
        <v>17787.550599999999</v>
      </c>
      <c r="AN26">
        <v>17964.495999999999</v>
      </c>
      <c r="AO26">
        <v>18144.617499999898</v>
      </c>
      <c r="AP26">
        <v>18325.740099999999</v>
      </c>
    </row>
    <row r="27" spans="1:42" x14ac:dyDescent="0.3">
      <c r="A27" t="s">
        <v>174</v>
      </c>
      <c r="B27">
        <v>7957.1169999999902</v>
      </c>
      <c r="C27">
        <v>9569.3001000000004</v>
      </c>
      <c r="D27">
        <v>10974.416299999901</v>
      </c>
      <c r="E27">
        <v>11488.399799999999</v>
      </c>
      <c r="F27">
        <v>11538.745800000001</v>
      </c>
      <c r="G27">
        <v>12119.3485</v>
      </c>
      <c r="H27">
        <v>11951.864600000001</v>
      </c>
      <c r="I27">
        <v>12671.7608</v>
      </c>
      <c r="J27">
        <v>13077.311400000001</v>
      </c>
      <c r="K27">
        <v>13177.047399999999</v>
      </c>
      <c r="L27">
        <v>12067.288699999999</v>
      </c>
      <c r="M27">
        <v>14011.602799999901</v>
      </c>
      <c r="N27">
        <v>16541.503499999999</v>
      </c>
      <c r="O27">
        <v>15942.839599999899</v>
      </c>
      <c r="P27">
        <v>16565.525600000001</v>
      </c>
      <c r="Q27">
        <v>16995.340700000001</v>
      </c>
      <c r="R27">
        <v>17155.702799999901</v>
      </c>
      <c r="S27">
        <v>17312.873200000002</v>
      </c>
      <c r="T27">
        <v>17491.162700000001</v>
      </c>
      <c r="U27">
        <v>17680.168299999899</v>
      </c>
      <c r="V27">
        <v>17894.1306</v>
      </c>
      <c r="W27">
        <v>18122.567499999899</v>
      </c>
      <c r="X27">
        <v>18353.598999999998</v>
      </c>
      <c r="Y27">
        <v>18577.242999999999</v>
      </c>
      <c r="Z27">
        <v>18811.5821</v>
      </c>
      <c r="AA27">
        <v>19047.622599999999</v>
      </c>
      <c r="AB27">
        <v>19298.967699999899</v>
      </c>
      <c r="AC27">
        <v>19554.502899999999</v>
      </c>
      <c r="AD27">
        <v>19804.9925</v>
      </c>
      <c r="AE27">
        <v>20060.323799999998</v>
      </c>
      <c r="AF27">
        <v>20302.721199999902</v>
      </c>
      <c r="AG27">
        <v>20555.754000000001</v>
      </c>
      <c r="AH27">
        <v>20805.1692</v>
      </c>
      <c r="AI27">
        <v>21056.789100000002</v>
      </c>
      <c r="AJ27">
        <v>21317.6787</v>
      </c>
      <c r="AK27">
        <v>21577.934600000001</v>
      </c>
      <c r="AL27">
        <v>21843.643100000001</v>
      </c>
      <c r="AM27">
        <v>22103.173299999999</v>
      </c>
      <c r="AN27">
        <v>22367.964800000002</v>
      </c>
      <c r="AO27">
        <v>22627.556400000001</v>
      </c>
      <c r="AP27">
        <v>22887.594999999899</v>
      </c>
    </row>
    <row r="28" spans="1:42" x14ac:dyDescent="0.3">
      <c r="A28" t="s">
        <v>175</v>
      </c>
      <c r="B28">
        <v>7560.7309999999898</v>
      </c>
      <c r="C28">
        <v>9289.9788000000008</v>
      </c>
      <c r="D28">
        <v>10539.9791</v>
      </c>
      <c r="E28">
        <v>11188.4764</v>
      </c>
      <c r="F28">
        <v>10875.4955999999</v>
      </c>
      <c r="G28">
        <v>10814.541299999901</v>
      </c>
      <c r="H28">
        <v>11289.5388</v>
      </c>
      <c r="I28">
        <v>13201.2373999999</v>
      </c>
      <c r="J28">
        <v>12640.1020999999</v>
      </c>
      <c r="K28">
        <v>13467.6097999999</v>
      </c>
      <c r="L28">
        <v>11836.5198</v>
      </c>
      <c r="M28">
        <v>14934.471600000001</v>
      </c>
      <c r="N28">
        <v>20321.077799999999</v>
      </c>
      <c r="O28">
        <v>20193.8917</v>
      </c>
      <c r="P28">
        <v>21003.595399999998</v>
      </c>
      <c r="Q28">
        <v>21558.846599999899</v>
      </c>
      <c r="R28">
        <v>21950.350699999999</v>
      </c>
      <c r="S28">
        <v>22372.7876</v>
      </c>
      <c r="T28">
        <v>22766.0916</v>
      </c>
      <c r="U28">
        <v>23149.9700999999</v>
      </c>
      <c r="V28">
        <v>23528.072299999902</v>
      </c>
      <c r="W28">
        <v>23897.694800000001</v>
      </c>
      <c r="X28">
        <v>24270.8645</v>
      </c>
      <c r="Y28">
        <v>24639.7007999999</v>
      </c>
      <c r="Z28">
        <v>25014.416199999901</v>
      </c>
      <c r="AA28">
        <v>25396.883399999999</v>
      </c>
      <c r="AB28">
        <v>25787.472099999999</v>
      </c>
      <c r="AC28">
        <v>26188.578399999999</v>
      </c>
      <c r="AD28">
        <v>26577.866900000001</v>
      </c>
      <c r="AE28">
        <v>26954.218700000001</v>
      </c>
      <c r="AF28">
        <v>27321.708299999998</v>
      </c>
      <c r="AG28">
        <v>27679.878799999999</v>
      </c>
      <c r="AH28">
        <v>28030.769799999998</v>
      </c>
      <c r="AI28">
        <v>28383.276699999999</v>
      </c>
      <c r="AJ28">
        <v>28741.031299999999</v>
      </c>
      <c r="AK28">
        <v>29100.4471999999</v>
      </c>
      <c r="AL28">
        <v>29456.066199999899</v>
      </c>
      <c r="AM28">
        <v>29811.8403</v>
      </c>
      <c r="AN28">
        <v>30162.5762</v>
      </c>
      <c r="AO28">
        <v>30503.212299999999</v>
      </c>
      <c r="AP28">
        <v>30829.2853</v>
      </c>
    </row>
    <row r="29" spans="1:42" x14ac:dyDescent="0.3">
      <c r="A29" t="s">
        <v>176</v>
      </c>
      <c r="B29">
        <v>11249.1346999999</v>
      </c>
      <c r="C29">
        <v>14486.599899999999</v>
      </c>
      <c r="D29">
        <v>14767.47</v>
      </c>
      <c r="E29">
        <v>16939.800399999898</v>
      </c>
      <c r="F29">
        <v>17694.839400000001</v>
      </c>
      <c r="G29">
        <v>17143.311699999998</v>
      </c>
      <c r="H29">
        <v>17578.5101</v>
      </c>
      <c r="I29">
        <v>18777.881099999999</v>
      </c>
      <c r="J29">
        <v>19384.554099999899</v>
      </c>
      <c r="K29">
        <v>20406.769899999999</v>
      </c>
      <c r="L29">
        <v>18411.317699999901</v>
      </c>
      <c r="M29">
        <v>22207.462500000001</v>
      </c>
      <c r="N29">
        <v>27818.654899999899</v>
      </c>
      <c r="O29">
        <v>28190.554999999898</v>
      </c>
      <c r="P29">
        <v>28927.6506999999</v>
      </c>
      <c r="Q29">
        <v>29960.779299999998</v>
      </c>
      <c r="R29">
        <v>30703.810899999899</v>
      </c>
      <c r="S29">
        <v>31424.1793</v>
      </c>
      <c r="T29">
        <v>32156.376099999899</v>
      </c>
      <c r="U29">
        <v>32901.515499999899</v>
      </c>
      <c r="V29">
        <v>33661.838900000002</v>
      </c>
      <c r="W29">
        <v>34425.7575</v>
      </c>
      <c r="X29">
        <v>35205.431100000002</v>
      </c>
      <c r="Y29">
        <v>35955.217199999999</v>
      </c>
      <c r="Z29">
        <v>36689.533299999901</v>
      </c>
      <c r="AA29">
        <v>37403.0628</v>
      </c>
      <c r="AB29">
        <v>38100.533599999901</v>
      </c>
      <c r="AC29">
        <v>38771.569199999998</v>
      </c>
      <c r="AD29">
        <v>39395.727899999998</v>
      </c>
      <c r="AE29">
        <v>39990.549599999897</v>
      </c>
      <c r="AF29">
        <v>40522.759599999998</v>
      </c>
      <c r="AG29">
        <v>41047.322200000002</v>
      </c>
      <c r="AH29">
        <v>41578.927799999998</v>
      </c>
      <c r="AI29">
        <v>42137.081699999901</v>
      </c>
      <c r="AJ29">
        <v>42713.214999999997</v>
      </c>
      <c r="AK29">
        <v>43295.230900000002</v>
      </c>
      <c r="AL29">
        <v>43885.6041999999</v>
      </c>
      <c r="AM29">
        <v>44485.839599999999</v>
      </c>
      <c r="AN29">
        <v>45096.632599999997</v>
      </c>
      <c r="AO29">
        <v>45699.798600000002</v>
      </c>
      <c r="AP29">
        <v>46304.009599999903</v>
      </c>
    </row>
    <row r="30" spans="1:42" x14ac:dyDescent="0.3">
      <c r="A30" t="s">
        <v>177</v>
      </c>
      <c r="B30">
        <v>23927.552299999901</v>
      </c>
      <c r="C30">
        <v>23687.4729999999</v>
      </c>
      <c r="D30">
        <v>24025.3586</v>
      </c>
      <c r="E30">
        <v>23044.7811</v>
      </c>
      <c r="F30">
        <v>16849.868399999901</v>
      </c>
      <c r="G30">
        <v>15374.972100000001</v>
      </c>
      <c r="H30">
        <v>12891.706</v>
      </c>
      <c r="I30">
        <v>15303.6871999999</v>
      </c>
      <c r="J30">
        <v>15461.1927</v>
      </c>
      <c r="K30">
        <v>15576.5039</v>
      </c>
      <c r="L30">
        <v>15464.794900000001</v>
      </c>
      <c r="M30">
        <v>16064.970499999899</v>
      </c>
      <c r="N30">
        <v>16651.144899999999</v>
      </c>
      <c r="O30">
        <v>17079.180599999901</v>
      </c>
      <c r="P30">
        <v>17406.6882999999</v>
      </c>
      <c r="Q30">
        <v>17612.720099999999</v>
      </c>
      <c r="R30">
        <v>17778.171899999899</v>
      </c>
      <c r="S30">
        <v>18046.288799999998</v>
      </c>
      <c r="T30">
        <v>18455.262699999999</v>
      </c>
      <c r="U30">
        <v>18822.8479999999</v>
      </c>
      <c r="V30">
        <v>19076.4735</v>
      </c>
      <c r="W30">
        <v>19390.8887</v>
      </c>
      <c r="X30">
        <v>19711.469499999999</v>
      </c>
      <c r="Y30">
        <v>20036.8482999999</v>
      </c>
      <c r="Z30">
        <v>20364.059499999999</v>
      </c>
      <c r="AA30">
        <v>20752.867899999899</v>
      </c>
      <c r="AB30">
        <v>21122.211799999899</v>
      </c>
      <c r="AC30">
        <v>21495.448999999899</v>
      </c>
      <c r="AD30">
        <v>21874.240399999901</v>
      </c>
      <c r="AE30">
        <v>22253.757900000001</v>
      </c>
      <c r="AF30">
        <v>22649.360199999999</v>
      </c>
      <c r="AG30">
        <v>23049.824399999899</v>
      </c>
      <c r="AH30">
        <v>23455.290300000001</v>
      </c>
      <c r="AI30">
        <v>23867.2821</v>
      </c>
      <c r="AJ30">
        <v>24284.992699999999</v>
      </c>
      <c r="AK30">
        <v>24708.9676</v>
      </c>
      <c r="AL30">
        <v>25139.965699999899</v>
      </c>
      <c r="AM30">
        <v>25580.407399999898</v>
      </c>
      <c r="AN30">
        <v>26026.494600000002</v>
      </c>
      <c r="AO30">
        <v>26481.7395</v>
      </c>
      <c r="AP30">
        <v>26923.096899999899</v>
      </c>
    </row>
    <row r="31" spans="1:42" x14ac:dyDescent="0.3">
      <c r="A31" t="s">
        <v>178</v>
      </c>
      <c r="B31">
        <v>114847.7766</v>
      </c>
      <c r="C31">
        <v>119423.33969999899</v>
      </c>
      <c r="D31">
        <v>119820.659799999</v>
      </c>
      <c r="E31">
        <v>138103.1464</v>
      </c>
      <c r="F31">
        <v>276759.5723</v>
      </c>
      <c r="G31">
        <v>281577.56329999998</v>
      </c>
      <c r="H31">
        <v>286697.38660000003</v>
      </c>
      <c r="I31">
        <v>291682.83880000003</v>
      </c>
      <c r="J31">
        <v>297291.40360000002</v>
      </c>
      <c r="K31">
        <v>300746.905499999</v>
      </c>
      <c r="L31">
        <v>293185.09009999997</v>
      </c>
      <c r="M31">
        <v>305586.36729999998</v>
      </c>
      <c r="N31">
        <v>312318.48599999998</v>
      </c>
      <c r="O31">
        <v>314817.63679999998</v>
      </c>
      <c r="P31">
        <v>323604.16229999898</v>
      </c>
      <c r="Q31">
        <v>325558.42050000001</v>
      </c>
      <c r="R31">
        <v>333381.03720000002</v>
      </c>
      <c r="S31">
        <v>335401.16089999903</v>
      </c>
      <c r="T31">
        <v>346728.98939999897</v>
      </c>
      <c r="U31">
        <v>354638.190899999</v>
      </c>
      <c r="V31">
        <v>360455.01899999997</v>
      </c>
      <c r="W31">
        <v>367494.47889999999</v>
      </c>
      <c r="X31">
        <v>374658.85859999998</v>
      </c>
      <c r="Y31">
        <v>381943.67180000001</v>
      </c>
      <c r="Z31">
        <v>389323.66039999999</v>
      </c>
      <c r="AA31">
        <v>396874.59610000002</v>
      </c>
      <c r="AB31">
        <v>404597.2475</v>
      </c>
      <c r="AC31">
        <v>412433.73509999999</v>
      </c>
      <c r="AD31">
        <v>420391.78789999901</v>
      </c>
      <c r="AE31">
        <v>428411.0785</v>
      </c>
      <c r="AF31">
        <v>436644.26949999901</v>
      </c>
      <c r="AG31">
        <v>445045.33439999999</v>
      </c>
      <c r="AH31">
        <v>453586.475299999</v>
      </c>
      <c r="AI31">
        <v>462257.95659999899</v>
      </c>
      <c r="AJ31">
        <v>471058.45120000001</v>
      </c>
      <c r="AK31">
        <v>480006.6728</v>
      </c>
      <c r="AL31">
        <v>489090.06559999997</v>
      </c>
      <c r="AM31">
        <v>498334.39980000001</v>
      </c>
      <c r="AN31">
        <v>507730.92979999998</v>
      </c>
      <c r="AO31">
        <v>517312.2156</v>
      </c>
      <c r="AP31">
        <v>527054.24490000005</v>
      </c>
    </row>
    <row r="32" spans="1:42" x14ac:dyDescent="0.3">
      <c r="A32" t="s">
        <v>179</v>
      </c>
      <c r="B32">
        <v>822.86559999999997</v>
      </c>
      <c r="C32">
        <v>854.89139999999998</v>
      </c>
      <c r="D32">
        <v>885.37199999999996</v>
      </c>
      <c r="E32">
        <v>935.85829999999999</v>
      </c>
      <c r="F32">
        <v>952.10119999999995</v>
      </c>
      <c r="G32">
        <v>966.9751</v>
      </c>
      <c r="H32">
        <v>979.38039999999899</v>
      </c>
      <c r="I32">
        <v>1054.0146999999999</v>
      </c>
      <c r="J32">
        <v>1126.6677999999999</v>
      </c>
      <c r="K32">
        <v>1153.8820000000001</v>
      </c>
      <c r="L32">
        <v>1074.9304</v>
      </c>
      <c r="M32">
        <v>1122.2597000000001</v>
      </c>
      <c r="N32">
        <v>1179.1593</v>
      </c>
      <c r="O32">
        <v>1213.54239999999</v>
      </c>
      <c r="P32">
        <v>1242.3670999999899</v>
      </c>
      <c r="Q32">
        <v>1269.75169999999</v>
      </c>
      <c r="R32">
        <v>1295.93369999999</v>
      </c>
      <c r="S32">
        <v>1324.0907999999899</v>
      </c>
      <c r="T32">
        <v>1355.54249999999</v>
      </c>
      <c r="U32">
        <v>1386.5536999999999</v>
      </c>
      <c r="V32">
        <v>1409.3372999999999</v>
      </c>
      <c r="W32">
        <v>1436.88949999999</v>
      </c>
      <c r="X32">
        <v>1464.9649999999999</v>
      </c>
      <c r="Y32">
        <v>1493.4231</v>
      </c>
      <c r="Z32">
        <v>1522.4526000000001</v>
      </c>
      <c r="AA32">
        <v>1551.9331999999999</v>
      </c>
      <c r="AB32">
        <v>1581.9929999999999</v>
      </c>
      <c r="AC32">
        <v>1612.4861000000001</v>
      </c>
      <c r="AD32">
        <v>1643.54349999999</v>
      </c>
      <c r="AE32">
        <v>1674.8271</v>
      </c>
      <c r="AF32">
        <v>1707.5746999999999</v>
      </c>
      <c r="AG32">
        <v>1739.9797999999901</v>
      </c>
      <c r="AH32">
        <v>1773.1619000000001</v>
      </c>
      <c r="AI32">
        <v>1807.1183000000001</v>
      </c>
      <c r="AJ32">
        <v>1841.4776999999999</v>
      </c>
      <c r="AK32">
        <v>1876.3928000000001</v>
      </c>
      <c r="AL32">
        <v>1911.9404999999999</v>
      </c>
      <c r="AM32">
        <v>1948.1404</v>
      </c>
      <c r="AN32">
        <v>1984.8507999999999</v>
      </c>
      <c r="AO32">
        <v>2022.2777000000001</v>
      </c>
      <c r="AP32">
        <v>2060.3422</v>
      </c>
    </row>
    <row r="33" spans="1:42" x14ac:dyDescent="0.3">
      <c r="A33" t="s">
        <v>180</v>
      </c>
      <c r="B33">
        <v>4483.8366999999998</v>
      </c>
      <c r="C33">
        <v>5637.3855000000003</v>
      </c>
      <c r="D33">
        <v>5607.8720000000003</v>
      </c>
      <c r="E33">
        <v>5300.5268999999898</v>
      </c>
      <c r="F33">
        <v>5397.9580999999898</v>
      </c>
      <c r="G33">
        <v>5630.1911999999902</v>
      </c>
      <c r="H33">
        <v>5904.5355999999902</v>
      </c>
      <c r="I33">
        <v>6900.8531999999996</v>
      </c>
      <c r="J33">
        <v>6676.7287999999899</v>
      </c>
      <c r="K33">
        <v>7218.0904999999902</v>
      </c>
      <c r="L33">
        <v>5366.9825000000001</v>
      </c>
      <c r="M33">
        <v>7451.7026999999998</v>
      </c>
      <c r="N33">
        <v>10312.1656</v>
      </c>
      <c r="O33">
        <v>10197.634700000001</v>
      </c>
      <c r="P33">
        <v>10444.7737</v>
      </c>
      <c r="Q33">
        <v>10832.1558999999</v>
      </c>
      <c r="R33">
        <v>11073.5491</v>
      </c>
      <c r="S33">
        <v>11286.9582999999</v>
      </c>
      <c r="T33">
        <v>11481.4912</v>
      </c>
      <c r="U33">
        <v>11675.659799999999</v>
      </c>
      <c r="V33">
        <v>11864.509399999901</v>
      </c>
      <c r="W33">
        <v>12034.797999999901</v>
      </c>
      <c r="X33">
        <v>12203.856299999899</v>
      </c>
      <c r="Y33">
        <v>12373.1816</v>
      </c>
      <c r="Z33">
        <v>12554.608899999999</v>
      </c>
      <c r="AA33">
        <v>12732.9430999999</v>
      </c>
      <c r="AB33">
        <v>12916.547999999901</v>
      </c>
      <c r="AC33">
        <v>13115.1214</v>
      </c>
      <c r="AD33">
        <v>13322.545399999901</v>
      </c>
      <c r="AE33">
        <v>13556.0867</v>
      </c>
      <c r="AF33">
        <v>13779.8161</v>
      </c>
      <c r="AG33">
        <v>14002.011200000001</v>
      </c>
      <c r="AH33">
        <v>14232.132099999901</v>
      </c>
      <c r="AI33">
        <v>14460.0108</v>
      </c>
      <c r="AJ33">
        <v>14690.6813</v>
      </c>
      <c r="AK33">
        <v>14923.842699999999</v>
      </c>
      <c r="AL33">
        <v>15161.220600000001</v>
      </c>
      <c r="AM33">
        <v>15402.409</v>
      </c>
      <c r="AN33">
        <v>15647.0969999999</v>
      </c>
      <c r="AO33">
        <v>15888.8238</v>
      </c>
      <c r="AP33">
        <v>16125.1041999999</v>
      </c>
    </row>
    <row r="34" spans="1:42" x14ac:dyDescent="0.3">
      <c r="A34" t="s">
        <v>181</v>
      </c>
      <c r="B34">
        <v>61647.841999999997</v>
      </c>
      <c r="C34">
        <v>69814.299799999993</v>
      </c>
      <c r="D34">
        <v>80403.492400000003</v>
      </c>
      <c r="E34">
        <v>61708.376499999998</v>
      </c>
      <c r="F34">
        <v>63455.604599999999</v>
      </c>
      <c r="G34">
        <v>64702.494100000004</v>
      </c>
      <c r="H34">
        <v>65914.506800000003</v>
      </c>
      <c r="I34">
        <v>68419.642399999997</v>
      </c>
      <c r="J34">
        <v>70471.286899999905</v>
      </c>
      <c r="K34">
        <v>71023.504100000006</v>
      </c>
      <c r="L34">
        <v>72401.400599999994</v>
      </c>
      <c r="M34">
        <v>80621.479399999997</v>
      </c>
      <c r="N34">
        <v>84625.459400000007</v>
      </c>
      <c r="O34">
        <v>87186.467799999999</v>
      </c>
      <c r="P34">
        <v>89800.345599999899</v>
      </c>
      <c r="Q34">
        <v>92415.034700000004</v>
      </c>
      <c r="R34">
        <v>95266.853099999993</v>
      </c>
      <c r="S34">
        <v>98142.197999999902</v>
      </c>
      <c r="T34">
        <v>99651.080600000001</v>
      </c>
      <c r="U34">
        <v>101925.65609999999</v>
      </c>
      <c r="V34">
        <v>103590.07839999899</v>
      </c>
      <c r="W34">
        <v>105616.20450000001</v>
      </c>
      <c r="X34">
        <v>107673.346799999</v>
      </c>
      <c r="Y34">
        <v>109768.5273</v>
      </c>
      <c r="Z34">
        <v>111922.3698</v>
      </c>
      <c r="AA34">
        <v>114070.24159999999</v>
      </c>
      <c r="AB34">
        <v>116258.33879999899</v>
      </c>
      <c r="AC34">
        <v>118504.65979999999</v>
      </c>
      <c r="AD34">
        <v>120789.4059</v>
      </c>
      <c r="AE34">
        <v>123154.4572</v>
      </c>
      <c r="AF34">
        <v>125486.0315</v>
      </c>
      <c r="AG34">
        <v>127861.364699999</v>
      </c>
      <c r="AH34">
        <v>130291.4614</v>
      </c>
      <c r="AI34">
        <v>132783.56089999899</v>
      </c>
      <c r="AJ34">
        <v>135338.59789999999</v>
      </c>
      <c r="AK34">
        <v>137923.26429999899</v>
      </c>
      <c r="AL34">
        <v>140542.11339999901</v>
      </c>
      <c r="AM34">
        <v>143199.258399999</v>
      </c>
      <c r="AN34">
        <v>145902.33660000001</v>
      </c>
      <c r="AO34">
        <v>148657.31940000001</v>
      </c>
      <c r="AP34">
        <v>151459.88329999999</v>
      </c>
    </row>
    <row r="35" spans="1:42" x14ac:dyDescent="0.3">
      <c r="A35" t="s">
        <v>182</v>
      </c>
      <c r="B35">
        <v>1564.3526999999999</v>
      </c>
      <c r="C35">
        <v>1819.7329</v>
      </c>
      <c r="D35">
        <v>1832.3135999999899</v>
      </c>
      <c r="E35">
        <v>1933.6985999999899</v>
      </c>
      <c r="F35">
        <v>1972.4924000000001</v>
      </c>
      <c r="G35">
        <v>2055.7244000000001</v>
      </c>
      <c r="H35">
        <v>2138.4765000000002</v>
      </c>
      <c r="I35">
        <v>2230.2504999999901</v>
      </c>
      <c r="J35">
        <v>2316.6923000000002</v>
      </c>
      <c r="K35">
        <v>2407.2792999999901</v>
      </c>
      <c r="L35">
        <v>2260.1774999999998</v>
      </c>
      <c r="M35">
        <v>2349.77719999999</v>
      </c>
      <c r="N35">
        <v>2412.9902999999899</v>
      </c>
      <c r="O35">
        <v>2485.5228000000002</v>
      </c>
      <c r="P35">
        <v>2597.2487999999998</v>
      </c>
      <c r="Q35">
        <v>2696.52519999999</v>
      </c>
      <c r="R35">
        <v>2796.5382</v>
      </c>
      <c r="S35">
        <v>2903.8038000000001</v>
      </c>
      <c r="T35">
        <v>2926.3962999999899</v>
      </c>
      <c r="U35">
        <v>2993.0248000000001</v>
      </c>
      <c r="V35">
        <v>3042.1381999999899</v>
      </c>
      <c r="W35">
        <v>3101.7928000000002</v>
      </c>
      <c r="X35">
        <v>3162.3757000000001</v>
      </c>
      <c r="Y35">
        <v>3223.90109999999</v>
      </c>
      <c r="Z35">
        <v>3286.3802000000001</v>
      </c>
      <c r="AA35">
        <v>3349.93</v>
      </c>
      <c r="AB35">
        <v>3414.8584999999998</v>
      </c>
      <c r="AC35">
        <v>3480.7710000000002</v>
      </c>
      <c r="AD35">
        <v>3547.9594999999999</v>
      </c>
      <c r="AE35">
        <v>3616.0907999999899</v>
      </c>
      <c r="AF35">
        <v>3685.3242999999902</v>
      </c>
      <c r="AG35">
        <v>3756.0576999999998</v>
      </c>
      <c r="AH35">
        <v>3828.0897</v>
      </c>
      <c r="AI35">
        <v>3901.3294999999998</v>
      </c>
      <c r="AJ35">
        <v>3975.5996</v>
      </c>
      <c r="AK35">
        <v>4051.2746000000002</v>
      </c>
      <c r="AL35">
        <v>4128.1818999999996</v>
      </c>
      <c r="AM35">
        <v>4206.2662999999902</v>
      </c>
      <c r="AN35">
        <v>4285.8891000000003</v>
      </c>
      <c r="AO35">
        <v>4366.8493999999901</v>
      </c>
      <c r="AP35">
        <v>4449.1772000000001</v>
      </c>
    </row>
    <row r="36" spans="1:42" x14ac:dyDescent="0.3">
      <c r="A36" t="s">
        <v>183</v>
      </c>
      <c r="B36">
        <v>1402993.8992999899</v>
      </c>
      <c r="C36">
        <v>1518484.5611999901</v>
      </c>
      <c r="D36">
        <v>1569135.5496</v>
      </c>
      <c r="E36">
        <v>1622239.1564</v>
      </c>
      <c r="F36">
        <v>1683867.9409999901</v>
      </c>
      <c r="G36">
        <v>1670803.1850999999</v>
      </c>
      <c r="H36">
        <v>1668916.7224999999</v>
      </c>
      <c r="I36">
        <v>1742112.52999999</v>
      </c>
      <c r="J36">
        <v>1828026.0647</v>
      </c>
      <c r="K36">
        <v>1869866.1687</v>
      </c>
      <c r="L36">
        <v>1806205.8093000001</v>
      </c>
      <c r="M36">
        <v>1908636.1342</v>
      </c>
      <c r="N36">
        <v>1939952.10839999</v>
      </c>
      <c r="O36">
        <v>1959260.5288</v>
      </c>
      <c r="P36">
        <v>1987768.9669000001</v>
      </c>
      <c r="Q36">
        <v>2033493.209</v>
      </c>
      <c r="R36">
        <v>2080380.5945999899</v>
      </c>
      <c r="S36">
        <v>2115141.3741000001</v>
      </c>
      <c r="T36">
        <v>2159771.93019999</v>
      </c>
      <c r="U36">
        <v>2203314.5175000001</v>
      </c>
      <c r="V36">
        <v>2246797.0876000002</v>
      </c>
      <c r="W36">
        <v>2291548.0392</v>
      </c>
      <c r="X36">
        <v>2337051.8382000001</v>
      </c>
      <c r="Y36">
        <v>2383542.6876999899</v>
      </c>
      <c r="Z36">
        <v>2431066.1412</v>
      </c>
      <c r="AA36">
        <v>2479449.9830999998</v>
      </c>
      <c r="AB36">
        <v>2528772.82769999</v>
      </c>
      <c r="AC36">
        <v>2579168.639</v>
      </c>
      <c r="AD36">
        <v>2630419.8130999999</v>
      </c>
      <c r="AE36">
        <v>2682776.7137999898</v>
      </c>
      <c r="AF36">
        <v>2736095.1968999999</v>
      </c>
      <c r="AG36">
        <v>2790403.3141999901</v>
      </c>
      <c r="AH36">
        <v>2845765.9753</v>
      </c>
      <c r="AI36">
        <v>2902369.2702000001</v>
      </c>
      <c r="AJ36">
        <v>2960360.1442</v>
      </c>
      <c r="AK36">
        <v>3019401.301</v>
      </c>
      <c r="AL36">
        <v>3079514.8879</v>
      </c>
      <c r="AM36">
        <v>3140730.5406999998</v>
      </c>
      <c r="AN36">
        <v>3203306.7031</v>
      </c>
      <c r="AO36">
        <v>3267119.8683999898</v>
      </c>
      <c r="AP36">
        <v>3332196.28359999</v>
      </c>
    </row>
    <row r="37" spans="1:42" x14ac:dyDescent="0.3">
      <c r="A37" t="s">
        <v>184</v>
      </c>
      <c r="B37">
        <v>645388.70629999903</v>
      </c>
      <c r="C37">
        <v>643165.84259999997</v>
      </c>
      <c r="D37">
        <v>643533.36269999901</v>
      </c>
      <c r="E37">
        <v>645398.66090000002</v>
      </c>
      <c r="F37">
        <v>705058.13679999998</v>
      </c>
      <c r="G37">
        <v>723644.3628</v>
      </c>
      <c r="H37">
        <v>730454.42379999894</v>
      </c>
      <c r="I37">
        <v>782156.01809999999</v>
      </c>
      <c r="J37">
        <v>809469.43980000005</v>
      </c>
      <c r="K37">
        <v>806576.29729999998</v>
      </c>
      <c r="L37">
        <v>769322.940899999</v>
      </c>
      <c r="M37">
        <v>782071.12100000004</v>
      </c>
      <c r="N37">
        <v>795719.34809999994</v>
      </c>
      <c r="O37">
        <v>808555.8798</v>
      </c>
      <c r="P37">
        <v>817331.17989999999</v>
      </c>
      <c r="Q37">
        <v>821328.94790000003</v>
      </c>
      <c r="R37">
        <v>821226.33479999902</v>
      </c>
      <c r="S37">
        <v>824120.76419999998</v>
      </c>
      <c r="T37">
        <v>835554.79649999901</v>
      </c>
      <c r="U37">
        <v>843151.33749999898</v>
      </c>
      <c r="V37">
        <v>845708.55409999995</v>
      </c>
      <c r="W37">
        <v>850797.75359999901</v>
      </c>
      <c r="X37">
        <v>855883.31759999995</v>
      </c>
      <c r="Y37">
        <v>860993.73270000005</v>
      </c>
      <c r="Z37">
        <v>866170.84580000001</v>
      </c>
      <c r="AA37">
        <v>871297.35690000001</v>
      </c>
      <c r="AB37">
        <v>876492.70779999904</v>
      </c>
      <c r="AC37">
        <v>881730.17079999996</v>
      </c>
      <c r="AD37">
        <v>887007.39859999996</v>
      </c>
      <c r="AE37">
        <v>892342.05809999898</v>
      </c>
      <c r="AF37">
        <v>897724.41229999997</v>
      </c>
      <c r="AG37">
        <v>903131.31899999897</v>
      </c>
      <c r="AH37">
        <v>908511.88539999898</v>
      </c>
      <c r="AI37">
        <v>913983.26199999999</v>
      </c>
      <c r="AJ37">
        <v>919660.84249999898</v>
      </c>
      <c r="AK37">
        <v>925212.62040000001</v>
      </c>
      <c r="AL37">
        <v>930791.99039999896</v>
      </c>
      <c r="AM37">
        <v>936362.03579999902</v>
      </c>
      <c r="AN37">
        <v>942013.65359999903</v>
      </c>
      <c r="AO37">
        <v>947672.84869999997</v>
      </c>
      <c r="AP37">
        <v>953403.80949999997</v>
      </c>
    </row>
    <row r="38" spans="1:42" x14ac:dyDescent="0.3">
      <c r="A38" t="s">
        <v>185</v>
      </c>
      <c r="B38">
        <v>364230.64689999999</v>
      </c>
      <c r="C38">
        <v>385029.61249999999</v>
      </c>
      <c r="D38">
        <v>405546.00529999897</v>
      </c>
      <c r="E38">
        <v>427363.89549999899</v>
      </c>
      <c r="F38">
        <v>458140.26429999998</v>
      </c>
      <c r="G38">
        <v>440923.46879999898</v>
      </c>
      <c r="H38">
        <v>434759.79499999899</v>
      </c>
      <c r="I38">
        <v>460501.5943</v>
      </c>
      <c r="J38">
        <v>485617.57750000001</v>
      </c>
      <c r="K38">
        <v>494745.3823</v>
      </c>
      <c r="L38">
        <v>468855.24320000003</v>
      </c>
      <c r="M38">
        <v>490145.24909999903</v>
      </c>
      <c r="N38">
        <v>506295.77850000001</v>
      </c>
      <c r="O38">
        <v>513641.17680000002</v>
      </c>
      <c r="P38">
        <v>522929.6741</v>
      </c>
      <c r="Q38">
        <v>538851.01429999899</v>
      </c>
      <c r="R38">
        <v>546700.97849999997</v>
      </c>
      <c r="S38">
        <v>555012.51080000005</v>
      </c>
      <c r="T38">
        <v>567719.78799999994</v>
      </c>
      <c r="U38">
        <v>579147.29079999996</v>
      </c>
      <c r="V38">
        <v>590696.84099999897</v>
      </c>
      <c r="W38">
        <v>602471.54390000005</v>
      </c>
      <c r="X38">
        <v>614500.26149999897</v>
      </c>
      <c r="Y38">
        <v>626794.77879999904</v>
      </c>
      <c r="Z38">
        <v>639315.71470000001</v>
      </c>
      <c r="AA38">
        <v>652090.03060000006</v>
      </c>
      <c r="AB38">
        <v>665129.60589999903</v>
      </c>
      <c r="AC38">
        <v>678456.62309999997</v>
      </c>
      <c r="AD38">
        <v>692054.89569999999</v>
      </c>
      <c r="AE38">
        <v>705875.23499999999</v>
      </c>
      <c r="AF38">
        <v>720025.75410000002</v>
      </c>
      <c r="AG38">
        <v>734384.28579999995</v>
      </c>
      <c r="AH38">
        <v>749012.46269999899</v>
      </c>
      <c r="AI38">
        <v>764021.02969999996</v>
      </c>
      <c r="AJ38">
        <v>779339.50100000005</v>
      </c>
      <c r="AK38">
        <v>794920.94689999998</v>
      </c>
      <c r="AL38">
        <v>810826.35369999998</v>
      </c>
      <c r="AM38">
        <v>827090.79479999898</v>
      </c>
      <c r="AN38">
        <v>843698.67169999995</v>
      </c>
      <c r="AO38">
        <v>860603.05980000005</v>
      </c>
      <c r="AP38">
        <v>877898.24929999898</v>
      </c>
    </row>
    <row r="39" spans="1:42" x14ac:dyDescent="0.3">
      <c r="A39" t="s">
        <v>186</v>
      </c>
      <c r="B39">
        <v>170486.4712</v>
      </c>
      <c r="C39">
        <v>169030.99650000001</v>
      </c>
      <c r="D39">
        <v>177624.61840000001</v>
      </c>
      <c r="E39">
        <v>185065.8469</v>
      </c>
      <c r="F39">
        <v>198888.5834</v>
      </c>
      <c r="G39">
        <v>211786.56469999999</v>
      </c>
      <c r="H39">
        <v>222511.43220000001</v>
      </c>
      <c r="I39">
        <v>223331.379599999</v>
      </c>
      <c r="J39">
        <v>233541.36689999999</v>
      </c>
      <c r="K39">
        <v>238171.48529999901</v>
      </c>
      <c r="L39">
        <v>233080.40150000001</v>
      </c>
      <c r="M39">
        <v>244516.06219999999</v>
      </c>
      <c r="N39">
        <v>253686.73669999899</v>
      </c>
      <c r="O39">
        <v>258485.25369999901</v>
      </c>
      <c r="P39">
        <v>262908.33029999997</v>
      </c>
      <c r="Q39">
        <v>268730.99890000001</v>
      </c>
      <c r="R39">
        <v>274858.4743</v>
      </c>
      <c r="S39">
        <v>281479.50109999999</v>
      </c>
      <c r="T39">
        <v>312563.44759999902</v>
      </c>
      <c r="U39">
        <v>331772.65210000001</v>
      </c>
      <c r="V39">
        <v>343714.17219999997</v>
      </c>
      <c r="W39">
        <v>360094.88229999901</v>
      </c>
      <c r="X39">
        <v>376929.57689999999</v>
      </c>
      <c r="Y39">
        <v>394271.412799999</v>
      </c>
      <c r="Z39">
        <v>412097.0368</v>
      </c>
      <c r="AA39">
        <v>430416.78460000001</v>
      </c>
      <c r="AB39">
        <v>449238.06469999999</v>
      </c>
      <c r="AC39">
        <v>468556.0931</v>
      </c>
      <c r="AD39">
        <v>488388.95779999997</v>
      </c>
      <c r="AE39">
        <v>508729.34449999902</v>
      </c>
      <c r="AF39">
        <v>529610.73479999998</v>
      </c>
      <c r="AG39">
        <v>551015.60849999997</v>
      </c>
      <c r="AH39">
        <v>572982.16399999999</v>
      </c>
      <c r="AI39">
        <v>595578.25910000002</v>
      </c>
      <c r="AJ39">
        <v>618778.36369999999</v>
      </c>
      <c r="AK39">
        <v>642562.8088</v>
      </c>
      <c r="AL39">
        <v>666975.21489999897</v>
      </c>
      <c r="AM39">
        <v>691992.98250000004</v>
      </c>
      <c r="AN39">
        <v>717630.54220000003</v>
      </c>
      <c r="AO39">
        <v>743850.43579999998</v>
      </c>
      <c r="AP39">
        <v>770676.28699999896</v>
      </c>
    </row>
    <row r="40" spans="1:42" x14ac:dyDescent="0.3">
      <c r="A40" t="s">
        <v>187</v>
      </c>
      <c r="B40">
        <v>31387.399499999901</v>
      </c>
      <c r="C40">
        <v>32571.075999999899</v>
      </c>
      <c r="D40">
        <v>33269.348299999998</v>
      </c>
      <c r="E40">
        <v>33163.093800000002</v>
      </c>
      <c r="F40">
        <v>34639.920099999901</v>
      </c>
      <c r="G40">
        <v>36364.1751</v>
      </c>
      <c r="H40">
        <v>36663.196199999998</v>
      </c>
      <c r="I40">
        <v>38029.330199999997</v>
      </c>
      <c r="J40">
        <v>39135.031299999901</v>
      </c>
      <c r="K40">
        <v>40257.026499999898</v>
      </c>
      <c r="L40">
        <v>39419.2651999999</v>
      </c>
      <c r="M40">
        <v>41611.265899999999</v>
      </c>
      <c r="N40">
        <v>42583.360499999901</v>
      </c>
      <c r="O40">
        <v>43394.970299999899</v>
      </c>
      <c r="P40">
        <v>44307.178099999997</v>
      </c>
      <c r="Q40">
        <v>45286.896999999997</v>
      </c>
      <c r="R40">
        <v>46366.767999999996</v>
      </c>
      <c r="S40">
        <v>47492.061300000001</v>
      </c>
      <c r="T40">
        <v>52688.487099999998</v>
      </c>
      <c r="U40">
        <v>55926.364599999899</v>
      </c>
      <c r="V40">
        <v>57941.482799999998</v>
      </c>
      <c r="W40">
        <v>60706.317199999998</v>
      </c>
      <c r="X40">
        <v>63544.684600000001</v>
      </c>
      <c r="Y40">
        <v>66467.982300000003</v>
      </c>
      <c r="Z40">
        <v>69469.837</v>
      </c>
      <c r="AA40">
        <v>72556.548699999999</v>
      </c>
      <c r="AB40">
        <v>75729.762900000002</v>
      </c>
      <c r="AC40">
        <v>79003.495299999995</v>
      </c>
      <c r="AD40">
        <v>82363.140799999994</v>
      </c>
      <c r="AE40">
        <v>85796.025699999998</v>
      </c>
      <c r="AF40">
        <v>89319.6011</v>
      </c>
      <c r="AG40">
        <v>92929.519199999893</v>
      </c>
      <c r="AH40">
        <v>96624.707099999898</v>
      </c>
      <c r="AI40">
        <v>100413.96279999999</v>
      </c>
      <c r="AJ40">
        <v>104323.5962</v>
      </c>
      <c r="AK40">
        <v>108334.853699999</v>
      </c>
      <c r="AL40">
        <v>112450.8461</v>
      </c>
      <c r="AM40">
        <v>116665.032799999</v>
      </c>
      <c r="AN40">
        <v>120989.416199999</v>
      </c>
      <c r="AO40">
        <v>125406.9301</v>
      </c>
      <c r="AP40">
        <v>129939.38869999901</v>
      </c>
    </row>
    <row r="41" spans="1:42" x14ac:dyDescent="0.3">
      <c r="A41" t="s">
        <v>188</v>
      </c>
      <c r="B41">
        <v>250471.8737</v>
      </c>
      <c r="C41">
        <v>247830.88039999901</v>
      </c>
      <c r="D41">
        <v>260927.99679999999</v>
      </c>
      <c r="E41">
        <v>292139.45939999999</v>
      </c>
      <c r="F41">
        <v>279177.17369999998</v>
      </c>
      <c r="G41">
        <v>263957.67739999999</v>
      </c>
      <c r="H41">
        <v>253170.4007</v>
      </c>
      <c r="I41">
        <v>276212.07069999998</v>
      </c>
      <c r="J41">
        <v>269009.27850000001</v>
      </c>
      <c r="K41">
        <v>274922.42659999902</v>
      </c>
      <c r="L41">
        <v>267599.19479999901</v>
      </c>
      <c r="M41">
        <v>280308.82019999903</v>
      </c>
      <c r="N41">
        <v>270754.57969999901</v>
      </c>
      <c r="O41">
        <v>264581.4768</v>
      </c>
      <c r="P41">
        <v>279137.89059999998</v>
      </c>
      <c r="Q41">
        <v>280652.65879999899</v>
      </c>
      <c r="R41">
        <v>282300.02549999999</v>
      </c>
      <c r="S41">
        <v>284157.23079999897</v>
      </c>
      <c r="T41">
        <v>275951.1177</v>
      </c>
      <c r="U41">
        <v>273072.06789999898</v>
      </c>
      <c r="V41">
        <v>279917.50059999898</v>
      </c>
      <c r="W41">
        <v>281891.88699999999</v>
      </c>
      <c r="X41">
        <v>283899.46720000001</v>
      </c>
      <c r="Y41">
        <v>285915.50719999999</v>
      </c>
      <c r="Z41">
        <v>287933.95409999898</v>
      </c>
      <c r="AA41">
        <v>289967.28699999902</v>
      </c>
      <c r="AB41">
        <v>292011.42469999898</v>
      </c>
      <c r="AC41">
        <v>294066.58269999898</v>
      </c>
      <c r="AD41">
        <v>296136.96669999999</v>
      </c>
      <c r="AE41">
        <v>298221.0134</v>
      </c>
      <c r="AF41">
        <v>300310.84279999998</v>
      </c>
      <c r="AG41">
        <v>302422.9889</v>
      </c>
      <c r="AH41">
        <v>304541.42329999898</v>
      </c>
      <c r="AI41">
        <v>306681.05540000001</v>
      </c>
      <c r="AJ41">
        <v>308827.69239999901</v>
      </c>
      <c r="AK41">
        <v>310978.93869999901</v>
      </c>
      <c r="AL41">
        <v>313146.24359999999</v>
      </c>
      <c r="AM41">
        <v>315343.18289999902</v>
      </c>
      <c r="AN41">
        <v>317546.34700000001</v>
      </c>
      <c r="AO41">
        <v>319773.13669999898</v>
      </c>
      <c r="AP41">
        <v>322015.28099999903</v>
      </c>
    </row>
    <row r="42" spans="1:42" x14ac:dyDescent="0.3">
      <c r="A42" t="s">
        <v>189</v>
      </c>
      <c r="B42">
        <v>24120.586599999999</v>
      </c>
      <c r="C42">
        <v>31106.876199999901</v>
      </c>
      <c r="D42">
        <v>36044.673199999997</v>
      </c>
      <c r="E42">
        <v>30849.6659</v>
      </c>
      <c r="F42">
        <v>33054.111799999999</v>
      </c>
      <c r="G42">
        <v>33034.8819</v>
      </c>
      <c r="H42">
        <v>31555.8836999999</v>
      </c>
      <c r="I42">
        <v>34743.301599999897</v>
      </c>
      <c r="J42">
        <v>36608.810199999898</v>
      </c>
      <c r="K42">
        <v>37138.248899999999</v>
      </c>
      <c r="L42">
        <v>36888.344299999997</v>
      </c>
      <c r="M42">
        <v>37736.823299999902</v>
      </c>
      <c r="N42">
        <v>35087.832000000002</v>
      </c>
      <c r="O42">
        <v>35163.252500000002</v>
      </c>
      <c r="P42">
        <v>35833.297100000003</v>
      </c>
      <c r="Q42">
        <v>36030.167199999902</v>
      </c>
      <c r="R42">
        <v>36078.8917</v>
      </c>
      <c r="S42">
        <v>36449.792399999998</v>
      </c>
      <c r="T42">
        <v>37846.7912</v>
      </c>
      <c r="U42">
        <v>38711.556199999999</v>
      </c>
      <c r="V42">
        <v>39344.299199999899</v>
      </c>
      <c r="W42">
        <v>40113.181499999999</v>
      </c>
      <c r="X42">
        <v>40892.765700000004</v>
      </c>
      <c r="Y42">
        <v>41683.209499999997</v>
      </c>
      <c r="Z42">
        <v>42491.136700000003</v>
      </c>
      <c r="AA42">
        <v>43311.3845</v>
      </c>
      <c r="AB42">
        <v>44147.891600000003</v>
      </c>
      <c r="AC42">
        <v>44996.891799999998</v>
      </c>
      <c r="AD42">
        <v>45860.8289</v>
      </c>
      <c r="AE42">
        <v>46734.978399999898</v>
      </c>
      <c r="AF42">
        <v>47646.165699999998</v>
      </c>
      <c r="AG42">
        <v>48548.422700000003</v>
      </c>
      <c r="AH42">
        <v>49473.228499999997</v>
      </c>
      <c r="AI42">
        <v>50420.038699999903</v>
      </c>
      <c r="AJ42">
        <v>51379.972299999899</v>
      </c>
      <c r="AK42">
        <v>52354.594499999999</v>
      </c>
      <c r="AL42">
        <v>53347.636400000003</v>
      </c>
      <c r="AM42">
        <v>54339.091399999998</v>
      </c>
      <c r="AN42">
        <v>55367.328800000003</v>
      </c>
      <c r="AO42">
        <v>56414.179499999998</v>
      </c>
      <c r="AP42">
        <v>57478.974300000002</v>
      </c>
    </row>
    <row r="43" spans="1:42" x14ac:dyDescent="0.3">
      <c r="A43" t="s">
        <v>190</v>
      </c>
      <c r="B43">
        <v>1249359.0567999999</v>
      </c>
      <c r="C43">
        <v>1335066.0263999901</v>
      </c>
      <c r="D43">
        <v>1380580.56399999</v>
      </c>
      <c r="E43">
        <v>1436418.9749</v>
      </c>
      <c r="F43">
        <v>1475029.7544</v>
      </c>
      <c r="G43">
        <v>1431347.0189999901</v>
      </c>
      <c r="H43">
        <v>1404483.4578</v>
      </c>
      <c r="I43">
        <v>1515015.43669999</v>
      </c>
      <c r="J43">
        <v>1575483.7594999999</v>
      </c>
      <c r="K43">
        <v>1669240.2371</v>
      </c>
      <c r="L43">
        <v>1706690.7655</v>
      </c>
      <c r="M43">
        <v>1844583.7416999999</v>
      </c>
      <c r="N43">
        <v>1903706.8084</v>
      </c>
      <c r="O43">
        <v>1988257.9546999999</v>
      </c>
      <c r="P43">
        <v>2079699.9606999899</v>
      </c>
      <c r="Q43">
        <v>2178752.9432999999</v>
      </c>
      <c r="R43">
        <v>2277940.1214000001</v>
      </c>
      <c r="S43">
        <v>2383859.2392999898</v>
      </c>
      <c r="T43">
        <v>2497183.29039999</v>
      </c>
      <c r="U43">
        <v>2614546.16709999</v>
      </c>
      <c r="V43">
        <v>2638647.9816000001</v>
      </c>
      <c r="W43">
        <v>2712465.4964999999</v>
      </c>
      <c r="X43">
        <v>2788397.0572000002</v>
      </c>
      <c r="Y43">
        <v>2866599.2146999901</v>
      </c>
      <c r="Z43">
        <v>2947024.0024999999</v>
      </c>
      <c r="AA43">
        <v>3029741.0307</v>
      </c>
      <c r="AB43">
        <v>3114778.7837999999</v>
      </c>
      <c r="AC43">
        <v>3202188.6697999998</v>
      </c>
      <c r="AD43">
        <v>3292014.0608999901</v>
      </c>
      <c r="AE43">
        <v>3384237.25</v>
      </c>
      <c r="AF43">
        <v>3479033.764</v>
      </c>
      <c r="AG43">
        <v>3576359.2538999999</v>
      </c>
      <c r="AH43">
        <v>3675849.3318999899</v>
      </c>
      <c r="AI43">
        <v>3778456.4380999999</v>
      </c>
      <c r="AJ43">
        <v>3884768.145</v>
      </c>
      <c r="AK43">
        <v>3993678.3158999998</v>
      </c>
      <c r="AL43">
        <v>4105588.1408000002</v>
      </c>
      <c r="AM43">
        <v>4220632.5453999899</v>
      </c>
      <c r="AN43">
        <v>4338744.466</v>
      </c>
      <c r="AO43">
        <v>4460079.9298999896</v>
      </c>
      <c r="AP43">
        <v>4584669.4139</v>
      </c>
    </row>
    <row r="44" spans="1:42" x14ac:dyDescent="0.3">
      <c r="A44" t="s">
        <v>191</v>
      </c>
      <c r="B44">
        <v>286412.26009999902</v>
      </c>
      <c r="C44">
        <v>333220.26539999997</v>
      </c>
      <c r="D44">
        <v>352068.49819999997</v>
      </c>
      <c r="E44">
        <v>381865.359999999</v>
      </c>
      <c r="F44">
        <v>388098.608899999</v>
      </c>
      <c r="G44">
        <v>344337.59289999999</v>
      </c>
      <c r="H44">
        <v>355814.15330000001</v>
      </c>
      <c r="I44">
        <v>376626.45739999902</v>
      </c>
      <c r="J44">
        <v>432103.84099999903</v>
      </c>
      <c r="K44">
        <v>448255.73549999902</v>
      </c>
      <c r="L44">
        <v>418688.25589999999</v>
      </c>
      <c r="M44">
        <v>455035.7916</v>
      </c>
      <c r="N44">
        <v>486177.08909999998</v>
      </c>
      <c r="O44">
        <v>515634.01419999998</v>
      </c>
      <c r="P44">
        <v>555389.05539999902</v>
      </c>
      <c r="Q44">
        <v>593628.75449999899</v>
      </c>
      <c r="R44">
        <v>631505.71939999994</v>
      </c>
      <c r="S44">
        <v>668348.46680000005</v>
      </c>
      <c r="T44">
        <v>722957.97340000002</v>
      </c>
      <c r="U44">
        <v>774554.46539999906</v>
      </c>
      <c r="V44">
        <v>787021.71809999901</v>
      </c>
      <c r="W44">
        <v>821248.82270000002</v>
      </c>
      <c r="X44">
        <v>856863.46499999904</v>
      </c>
      <c r="Y44">
        <v>894207.93409999995</v>
      </c>
      <c r="Z44">
        <v>933284.10560000001</v>
      </c>
      <c r="AA44">
        <v>974064.49959999998</v>
      </c>
      <c r="AB44">
        <v>1016745.983</v>
      </c>
      <c r="AC44">
        <v>1061297.7455</v>
      </c>
      <c r="AD44">
        <v>1107835.4191000001</v>
      </c>
      <c r="AE44">
        <v>1156459.0068999999</v>
      </c>
      <c r="AF44">
        <v>1207253.1068</v>
      </c>
      <c r="AG44">
        <v>1260199.8742</v>
      </c>
      <c r="AH44">
        <v>1316113.3947000001</v>
      </c>
      <c r="AI44">
        <v>1374307.1353</v>
      </c>
      <c r="AJ44">
        <v>1434855.4576999999</v>
      </c>
      <c r="AK44">
        <v>1497947.5773</v>
      </c>
      <c r="AL44">
        <v>1563886.11579999</v>
      </c>
      <c r="AM44">
        <v>1632666.6594</v>
      </c>
      <c r="AN44">
        <v>1704463.7087999999</v>
      </c>
      <c r="AO44">
        <v>1779430.6976999999</v>
      </c>
      <c r="AP44">
        <v>1857705.4963999901</v>
      </c>
    </row>
    <row r="45" spans="1:42" x14ac:dyDescent="0.3">
      <c r="A45" t="s">
        <v>192</v>
      </c>
      <c r="B45">
        <v>238771.76769999901</v>
      </c>
      <c r="C45">
        <v>258177.4149</v>
      </c>
      <c r="D45">
        <v>269729.40659999999</v>
      </c>
      <c r="E45">
        <v>269925.8616</v>
      </c>
      <c r="F45">
        <v>282017.86109999899</v>
      </c>
      <c r="G45">
        <v>291864.58539999998</v>
      </c>
      <c r="H45">
        <v>299595.48609999899</v>
      </c>
      <c r="I45">
        <v>315946.66960000002</v>
      </c>
      <c r="J45">
        <v>337424.907799999</v>
      </c>
      <c r="K45">
        <v>336753.26500000001</v>
      </c>
      <c r="L45">
        <v>309619.99359999999</v>
      </c>
      <c r="M45">
        <v>324427.520599999</v>
      </c>
      <c r="N45">
        <v>331355.76040000003</v>
      </c>
      <c r="O45">
        <v>335166.69599999901</v>
      </c>
      <c r="P45">
        <v>343340.77969999902</v>
      </c>
      <c r="Q45">
        <v>351892.7096</v>
      </c>
      <c r="R45">
        <v>359153.40539999999</v>
      </c>
      <c r="S45">
        <v>366549.02860000002</v>
      </c>
      <c r="T45">
        <v>373504.86729999998</v>
      </c>
      <c r="U45">
        <v>380958.8272</v>
      </c>
      <c r="V45">
        <v>388525.96279999998</v>
      </c>
      <c r="W45">
        <v>396260.04190000001</v>
      </c>
      <c r="X45">
        <v>404130.3382</v>
      </c>
      <c r="Y45">
        <v>412184.345399999</v>
      </c>
      <c r="Z45">
        <v>420410.43769999902</v>
      </c>
      <c r="AA45">
        <v>428768.9693</v>
      </c>
      <c r="AB45">
        <v>437328.4987</v>
      </c>
      <c r="AC45">
        <v>446050.79810000001</v>
      </c>
      <c r="AD45">
        <v>454904.61569999898</v>
      </c>
      <c r="AE45">
        <v>463945.798699999</v>
      </c>
      <c r="AF45">
        <v>473144.20779999997</v>
      </c>
      <c r="AG45">
        <v>482507.76189999998</v>
      </c>
      <c r="AH45">
        <v>492043.22629999899</v>
      </c>
      <c r="AI45">
        <v>501807.43399999902</v>
      </c>
      <c r="AJ45">
        <v>511749.56410000002</v>
      </c>
      <c r="AK45">
        <v>521921.26269999897</v>
      </c>
      <c r="AL45">
        <v>532271.5392</v>
      </c>
      <c r="AM45">
        <v>542798.39410000003</v>
      </c>
      <c r="AN45">
        <v>553509.48069999996</v>
      </c>
      <c r="AO45">
        <v>564464.956799999</v>
      </c>
      <c r="AP45">
        <v>575668.51459999999</v>
      </c>
    </row>
    <row r="46" spans="1:42" x14ac:dyDescent="0.3">
      <c r="A46" t="s">
        <v>193</v>
      </c>
      <c r="B46">
        <v>175552.7395</v>
      </c>
      <c r="C46">
        <v>184131.11479999899</v>
      </c>
      <c r="D46">
        <v>186205.005999999</v>
      </c>
      <c r="E46">
        <v>185878.74519999899</v>
      </c>
      <c r="F46">
        <v>187388.17529999901</v>
      </c>
      <c r="G46">
        <v>197220.119899999</v>
      </c>
      <c r="H46">
        <v>198928.56539999999</v>
      </c>
      <c r="I46">
        <v>213145.51869999999</v>
      </c>
      <c r="J46">
        <v>225724.31090000001</v>
      </c>
      <c r="K46">
        <v>228479.90839999999</v>
      </c>
      <c r="L46">
        <v>219617.709</v>
      </c>
      <c r="M46">
        <v>229762.74280000001</v>
      </c>
      <c r="N46">
        <v>236168.94199999899</v>
      </c>
      <c r="O46">
        <v>238609.75940000001</v>
      </c>
      <c r="P46">
        <v>245375.93429999999</v>
      </c>
      <c r="Q46">
        <v>250432.33309999999</v>
      </c>
      <c r="R46">
        <v>255251.016299999</v>
      </c>
      <c r="S46">
        <v>260421.9878</v>
      </c>
      <c r="T46">
        <v>264628.43839999998</v>
      </c>
      <c r="U46">
        <v>269449.81929999997</v>
      </c>
      <c r="V46">
        <v>278099.34709999902</v>
      </c>
      <c r="W46">
        <v>285068.7819</v>
      </c>
      <c r="X46">
        <v>292211.46250000002</v>
      </c>
      <c r="Y46">
        <v>299533.08189999999</v>
      </c>
      <c r="Z46">
        <v>307060.645699999</v>
      </c>
      <c r="AA46">
        <v>314734.7708</v>
      </c>
      <c r="AB46">
        <v>322312.72889999999</v>
      </c>
      <c r="AC46">
        <v>330375.14240000001</v>
      </c>
      <c r="AD46">
        <v>338647.69020000001</v>
      </c>
      <c r="AE46">
        <v>347134.12520000001</v>
      </c>
      <c r="AF46">
        <v>355792.53690000001</v>
      </c>
      <c r="AG46">
        <v>364664.1</v>
      </c>
      <c r="AH46">
        <v>373765.59079999902</v>
      </c>
      <c r="AI46">
        <v>383105.98349999997</v>
      </c>
      <c r="AJ46">
        <v>392689.62319999997</v>
      </c>
      <c r="AK46">
        <v>402503.9902</v>
      </c>
      <c r="AL46">
        <v>412572.71669999999</v>
      </c>
      <c r="AM46">
        <v>422871.08169999899</v>
      </c>
      <c r="AN46">
        <v>433417.4915</v>
      </c>
      <c r="AO46">
        <v>444246.2193</v>
      </c>
      <c r="AP46">
        <v>455327.84919999901</v>
      </c>
    </row>
    <row r="47" spans="1:42" x14ac:dyDescent="0.3">
      <c r="A47" t="s">
        <v>194</v>
      </c>
      <c r="B47">
        <v>59973.495300000002</v>
      </c>
      <c r="C47">
        <v>61519.308199999999</v>
      </c>
      <c r="D47">
        <v>59365.2117</v>
      </c>
      <c r="E47">
        <v>56791.441399999901</v>
      </c>
      <c r="F47">
        <v>53044.222399999999</v>
      </c>
      <c r="G47">
        <v>50763.659399999997</v>
      </c>
      <c r="H47">
        <v>53562.813199999997</v>
      </c>
      <c r="I47">
        <v>54536.587699999996</v>
      </c>
      <c r="J47">
        <v>54794.614399999999</v>
      </c>
      <c r="K47">
        <v>53698.298999999999</v>
      </c>
      <c r="L47">
        <v>48358.942199999998</v>
      </c>
      <c r="M47">
        <v>53387.445999999902</v>
      </c>
      <c r="N47">
        <v>55542.6613</v>
      </c>
      <c r="O47">
        <v>56666.941400000003</v>
      </c>
      <c r="P47">
        <v>57794.386199999899</v>
      </c>
      <c r="Q47">
        <v>58934.6518</v>
      </c>
      <c r="R47">
        <v>60101.190199999903</v>
      </c>
      <c r="S47">
        <v>61311.345300000001</v>
      </c>
      <c r="T47">
        <v>63695.5749</v>
      </c>
      <c r="U47">
        <v>65580.243000000002</v>
      </c>
      <c r="V47">
        <v>66679.790399999998</v>
      </c>
      <c r="W47">
        <v>68211.540499999901</v>
      </c>
      <c r="X47">
        <v>69786.467999999993</v>
      </c>
      <c r="Y47">
        <v>71395.118799999997</v>
      </c>
      <c r="Z47">
        <v>73047.931899999894</v>
      </c>
      <c r="AA47">
        <v>74734.222800000003</v>
      </c>
      <c r="AB47">
        <v>76464.911999999997</v>
      </c>
      <c r="AC47">
        <v>78238.122499999896</v>
      </c>
      <c r="AD47">
        <v>80047.836999999898</v>
      </c>
      <c r="AE47">
        <v>81897.339699999997</v>
      </c>
      <c r="AF47">
        <v>83784.584799999895</v>
      </c>
      <c r="AG47">
        <v>85711.369699999894</v>
      </c>
      <c r="AH47">
        <v>87689.0671</v>
      </c>
      <c r="AI47">
        <v>89715.487099999998</v>
      </c>
      <c r="AJ47">
        <v>91787.861799999999</v>
      </c>
      <c r="AK47">
        <v>93912.094299999997</v>
      </c>
      <c r="AL47">
        <v>96085.852599999998</v>
      </c>
      <c r="AM47">
        <v>98301.451199999996</v>
      </c>
      <c r="AN47">
        <v>100567.216399999</v>
      </c>
      <c r="AO47">
        <v>102887.87239999999</v>
      </c>
      <c r="AP47">
        <v>105259.503099999</v>
      </c>
    </row>
    <row r="48" spans="1:42" x14ac:dyDescent="0.3">
      <c r="A48" t="s">
        <v>195</v>
      </c>
      <c r="B48">
        <v>34096.480300000003</v>
      </c>
      <c r="C48">
        <v>39556.732899999901</v>
      </c>
      <c r="D48">
        <v>42743.4785999999</v>
      </c>
      <c r="E48">
        <v>46293.904799999997</v>
      </c>
      <c r="F48">
        <v>47712.768400000001</v>
      </c>
      <c r="G48">
        <v>43567.749399999899</v>
      </c>
      <c r="H48">
        <v>42648.717299999997</v>
      </c>
      <c r="I48">
        <v>48399.704299999998</v>
      </c>
      <c r="J48">
        <v>49861.6561</v>
      </c>
      <c r="K48">
        <v>51450.732699999899</v>
      </c>
      <c r="L48">
        <v>47824.4117999999</v>
      </c>
      <c r="M48">
        <v>52930.5721999999</v>
      </c>
      <c r="N48">
        <v>56932.6803</v>
      </c>
      <c r="O48">
        <v>58171.3080999999</v>
      </c>
      <c r="P48">
        <v>60245.361100000002</v>
      </c>
      <c r="Q48">
        <v>62475.402699999999</v>
      </c>
      <c r="R48">
        <v>64623.7906</v>
      </c>
      <c r="S48">
        <v>66795.772999999899</v>
      </c>
      <c r="T48">
        <v>68476.450700000001</v>
      </c>
      <c r="U48">
        <v>70491.467099999994</v>
      </c>
      <c r="V48">
        <v>71670.148799999995</v>
      </c>
      <c r="W48">
        <v>73323.239199999996</v>
      </c>
      <c r="X48">
        <v>75015.568499999994</v>
      </c>
      <c r="Y48">
        <v>76747.361399999994</v>
      </c>
      <c r="Z48">
        <v>78518.754999999903</v>
      </c>
      <c r="AA48">
        <v>80331.684800000003</v>
      </c>
      <c r="AB48">
        <v>82186.727599999998</v>
      </c>
      <c r="AC48">
        <v>84083.338399999993</v>
      </c>
      <c r="AD48">
        <v>86023.480599999995</v>
      </c>
      <c r="AE48">
        <v>88010.751300000004</v>
      </c>
      <c r="AF48">
        <v>90044.151399999901</v>
      </c>
      <c r="AG48">
        <v>92124.473399999901</v>
      </c>
      <c r="AH48">
        <v>94250.513000000006</v>
      </c>
      <c r="AI48">
        <v>96425.424299999999</v>
      </c>
      <c r="AJ48">
        <v>98651.681100000002</v>
      </c>
      <c r="AK48">
        <v>100926.745199999</v>
      </c>
      <c r="AL48">
        <v>103258.06</v>
      </c>
      <c r="AM48">
        <v>105644.282299999</v>
      </c>
      <c r="AN48">
        <v>108083.16079999899</v>
      </c>
      <c r="AO48">
        <v>110501.35289999899</v>
      </c>
      <c r="AP48">
        <v>113004.953499999</v>
      </c>
    </row>
    <row r="49" spans="1:42" x14ac:dyDescent="0.3">
      <c r="A49" t="s">
        <v>196</v>
      </c>
      <c r="B49">
        <v>163237.28249999901</v>
      </c>
      <c r="C49">
        <v>166782.49039999899</v>
      </c>
      <c r="D49">
        <v>189029.2997</v>
      </c>
      <c r="E49">
        <v>191744.20409999901</v>
      </c>
      <c r="F49">
        <v>135156.59700000001</v>
      </c>
      <c r="G49">
        <v>138258.85690000001</v>
      </c>
      <c r="H49">
        <v>138995.31389999899</v>
      </c>
      <c r="I49">
        <v>146961.38329999999</v>
      </c>
      <c r="J49">
        <v>152469.1948</v>
      </c>
      <c r="K49">
        <v>154451.05739999999</v>
      </c>
      <c r="L49">
        <v>145948.49909999999</v>
      </c>
      <c r="M49">
        <v>156460.47899999999</v>
      </c>
      <c r="N49">
        <v>160859.74919999999</v>
      </c>
      <c r="O49">
        <v>163547.32279999999</v>
      </c>
      <c r="P49">
        <v>168195.52339999899</v>
      </c>
      <c r="Q49">
        <v>172506.69549999901</v>
      </c>
      <c r="R49">
        <v>176642.64899999899</v>
      </c>
      <c r="S49">
        <v>180097.37959999999</v>
      </c>
      <c r="T49">
        <v>186073.95619999999</v>
      </c>
      <c r="U49">
        <v>191195.2157</v>
      </c>
      <c r="V49">
        <v>193927.58799999999</v>
      </c>
      <c r="W49">
        <v>197934.9204</v>
      </c>
      <c r="X49">
        <v>202022.16149999999</v>
      </c>
      <c r="Y49">
        <v>206167.66039999999</v>
      </c>
      <c r="Z49">
        <v>210395.893199999</v>
      </c>
      <c r="AA49">
        <v>214670.00509999899</v>
      </c>
      <c r="AB49">
        <v>219022.29749999999</v>
      </c>
      <c r="AC49">
        <v>223454.75020000001</v>
      </c>
      <c r="AD49">
        <v>227958.77979999999</v>
      </c>
      <c r="AE49">
        <v>232574.5459</v>
      </c>
      <c r="AF49">
        <v>237267.51509999999</v>
      </c>
      <c r="AG49">
        <v>242067.5828</v>
      </c>
      <c r="AH49">
        <v>246949.71889999899</v>
      </c>
      <c r="AI49">
        <v>251971.28339999999</v>
      </c>
      <c r="AJ49">
        <v>257195.38070000001</v>
      </c>
      <c r="AK49">
        <v>262510.64439999999</v>
      </c>
      <c r="AL49">
        <v>267973.66469999898</v>
      </c>
      <c r="AM49">
        <v>273601.70069999999</v>
      </c>
      <c r="AN49">
        <v>279407.62559999898</v>
      </c>
      <c r="AO49">
        <v>285399.27370000002</v>
      </c>
      <c r="AP49">
        <v>291583.50679999997</v>
      </c>
    </row>
    <row r="50" spans="1:42" x14ac:dyDescent="0.3">
      <c r="A50" t="s">
        <v>197</v>
      </c>
      <c r="B50">
        <v>400506.58559999999</v>
      </c>
      <c r="C50">
        <v>464711.35089999897</v>
      </c>
      <c r="D50">
        <v>486516.08519999997</v>
      </c>
      <c r="E50">
        <v>508662.98550000001</v>
      </c>
      <c r="F50">
        <v>522080.53369999898</v>
      </c>
      <c r="G50">
        <v>516304.76829999901</v>
      </c>
      <c r="H50">
        <v>527495.61140000005</v>
      </c>
      <c r="I50">
        <v>546866.40300000005</v>
      </c>
      <c r="J50">
        <v>577588.24789999996</v>
      </c>
      <c r="K50">
        <v>590549.19549999898</v>
      </c>
      <c r="L50">
        <v>586359.78899999999</v>
      </c>
      <c r="M50">
        <v>610666.22820000001</v>
      </c>
      <c r="N50">
        <v>626463.476399999</v>
      </c>
      <c r="O50">
        <v>639265.34699999902</v>
      </c>
      <c r="P50">
        <v>661238.48869999906</v>
      </c>
      <c r="Q50">
        <v>677316.43290000001</v>
      </c>
      <c r="R50">
        <v>693380.31709999999</v>
      </c>
      <c r="S50">
        <v>708471.92859999998</v>
      </c>
      <c r="T50">
        <v>786187.89069999906</v>
      </c>
      <c r="U50">
        <v>834525.82860000001</v>
      </c>
      <c r="V50">
        <v>864552.79059999902</v>
      </c>
      <c r="W50">
        <v>905768.69479999901</v>
      </c>
      <c r="X50">
        <v>948124.54589999898</v>
      </c>
      <c r="Y50">
        <v>991669.219199999</v>
      </c>
      <c r="Z50">
        <v>1036525.74189999</v>
      </c>
      <c r="AA50">
        <v>1082570.9313000001</v>
      </c>
      <c r="AB50">
        <v>1129889.4040000001</v>
      </c>
      <c r="AC50">
        <v>1178466.4790000001</v>
      </c>
      <c r="AD50">
        <v>1228341.8171000001</v>
      </c>
      <c r="AE50">
        <v>1279545.8288</v>
      </c>
      <c r="AF50">
        <v>1332196.0161999899</v>
      </c>
      <c r="AG50">
        <v>1386146.5323999899</v>
      </c>
      <c r="AH50">
        <v>1441220.97339999</v>
      </c>
      <c r="AI50">
        <v>1497950.6827999901</v>
      </c>
      <c r="AJ50">
        <v>1556764.86909999</v>
      </c>
      <c r="AK50">
        <v>1616577.2653999999</v>
      </c>
      <c r="AL50">
        <v>1677858.83279999</v>
      </c>
      <c r="AM50">
        <v>1740686.0696999901</v>
      </c>
      <c r="AN50">
        <v>1805026.55139999</v>
      </c>
      <c r="AO50">
        <v>1870917.4195000001</v>
      </c>
      <c r="AP50">
        <v>1938423.6869000001</v>
      </c>
    </row>
    <row r="51" spans="1:42" x14ac:dyDescent="0.3">
      <c r="A51" t="s">
        <v>198</v>
      </c>
      <c r="B51">
        <v>238670.1249</v>
      </c>
      <c r="C51">
        <v>260446.85750000001</v>
      </c>
      <c r="D51">
        <v>258705.88579999999</v>
      </c>
      <c r="E51">
        <v>267053.82410000003</v>
      </c>
      <c r="F51">
        <v>283188.42529999901</v>
      </c>
      <c r="G51">
        <v>266486.48560000001</v>
      </c>
      <c r="H51">
        <v>264900.36439999897</v>
      </c>
      <c r="I51">
        <v>276825.7279</v>
      </c>
      <c r="J51">
        <v>277367.20889999898</v>
      </c>
      <c r="K51">
        <v>285865.60609999998</v>
      </c>
      <c r="L51">
        <v>295467.99089999998</v>
      </c>
      <c r="M51">
        <v>314881.97849999898</v>
      </c>
      <c r="N51">
        <v>325305.74429999897</v>
      </c>
      <c r="O51">
        <v>334556.48739999899</v>
      </c>
      <c r="P51">
        <v>339383.03830000001</v>
      </c>
      <c r="Q51">
        <v>345687.60509999999</v>
      </c>
      <c r="R51">
        <v>352547.99920000002</v>
      </c>
      <c r="S51">
        <v>359601.78019999899</v>
      </c>
      <c r="T51">
        <v>400390.01299999998</v>
      </c>
      <c r="U51">
        <v>425021.10969999997</v>
      </c>
      <c r="V51">
        <v>440331.1923</v>
      </c>
      <c r="W51">
        <v>461337.87150000001</v>
      </c>
      <c r="X51">
        <v>482926.622399999</v>
      </c>
      <c r="Y51">
        <v>505115.9866</v>
      </c>
      <c r="Z51">
        <v>527930.428699999</v>
      </c>
      <c r="AA51">
        <v>551371.53349999897</v>
      </c>
      <c r="AB51">
        <v>575457.55260000005</v>
      </c>
      <c r="AC51">
        <v>600199.82499999995</v>
      </c>
      <c r="AD51">
        <v>625606.25029999902</v>
      </c>
      <c r="AE51">
        <v>651677.87089999998</v>
      </c>
      <c r="AF51">
        <v>678477.43590000004</v>
      </c>
      <c r="AG51">
        <v>705959.45290000003</v>
      </c>
      <c r="AH51">
        <v>734083.81200000003</v>
      </c>
      <c r="AI51">
        <v>763009.890799999</v>
      </c>
      <c r="AJ51">
        <v>792836.21810000006</v>
      </c>
      <c r="AK51">
        <v>823277.63930000004</v>
      </c>
      <c r="AL51">
        <v>854476.42799999902</v>
      </c>
      <c r="AM51">
        <v>886459.62890000001</v>
      </c>
      <c r="AN51">
        <v>919225.96619999898</v>
      </c>
      <c r="AO51">
        <v>952788.6899</v>
      </c>
      <c r="AP51">
        <v>987173.43859999999</v>
      </c>
    </row>
    <row r="52" spans="1:42" x14ac:dyDescent="0.3">
      <c r="A52" t="s">
        <v>199</v>
      </c>
      <c r="B52">
        <v>138384.00649999999</v>
      </c>
      <c r="C52">
        <v>158905.397399999</v>
      </c>
      <c r="D52">
        <v>161393.43089999899</v>
      </c>
      <c r="E52">
        <v>168074.31450000001</v>
      </c>
      <c r="F52">
        <v>169896.61139999999</v>
      </c>
      <c r="G52">
        <v>166305.683499999</v>
      </c>
      <c r="H52">
        <v>163902.37710000001</v>
      </c>
      <c r="I52">
        <v>178039.59819999899</v>
      </c>
      <c r="J52">
        <v>190300.12090000001</v>
      </c>
      <c r="K52">
        <v>199851.82989999899</v>
      </c>
      <c r="L52">
        <v>195724.88099999999</v>
      </c>
      <c r="M52">
        <v>202949.55619999999</v>
      </c>
      <c r="N52">
        <v>213771.83739999999</v>
      </c>
      <c r="O52">
        <v>224393.63589999999</v>
      </c>
      <c r="P52">
        <v>237612.99349999899</v>
      </c>
      <c r="Q52">
        <v>250187.394899999</v>
      </c>
      <c r="R52">
        <v>262891.57899999898</v>
      </c>
      <c r="S52">
        <v>276107.30629999901</v>
      </c>
      <c r="T52">
        <v>289477.23</v>
      </c>
      <c r="U52">
        <v>303806.09720000002</v>
      </c>
      <c r="V52">
        <v>308523.95909999899</v>
      </c>
      <c r="W52">
        <v>318541.86179999902</v>
      </c>
      <c r="X52">
        <v>328949.57260000001</v>
      </c>
      <c r="Y52">
        <v>339797.79939999903</v>
      </c>
      <c r="Z52">
        <v>351099.82189999899</v>
      </c>
      <c r="AA52">
        <v>362808.87499999901</v>
      </c>
      <c r="AB52">
        <v>374912.21919999999</v>
      </c>
      <c r="AC52">
        <v>387369.64319999999</v>
      </c>
      <c r="AD52">
        <v>400125.89099999901</v>
      </c>
      <c r="AE52">
        <v>413230.98050000001</v>
      </c>
      <c r="AF52">
        <v>426719.56910000002</v>
      </c>
      <c r="AG52">
        <v>440628.21500000003</v>
      </c>
      <c r="AH52">
        <v>454974.42609999998</v>
      </c>
      <c r="AI52">
        <v>469911.70649999997</v>
      </c>
      <c r="AJ52">
        <v>485556.6029</v>
      </c>
      <c r="AK52">
        <v>502139.1335</v>
      </c>
      <c r="AL52">
        <v>518878.41409999999</v>
      </c>
      <c r="AM52">
        <v>536202.239899999</v>
      </c>
      <c r="AN52">
        <v>554013.5649</v>
      </c>
      <c r="AO52">
        <v>572285.35900000005</v>
      </c>
      <c r="AP52">
        <v>591072.93779999996</v>
      </c>
    </row>
    <row r="53" spans="1:42" x14ac:dyDescent="0.3">
      <c r="A53" t="s">
        <v>200</v>
      </c>
      <c r="B53">
        <v>649274.68379999895</v>
      </c>
      <c r="C53">
        <v>711006.34109999996</v>
      </c>
      <c r="D53">
        <v>731755.924</v>
      </c>
      <c r="E53">
        <v>770954.29509999999</v>
      </c>
      <c r="F53">
        <v>798818.32639999897</v>
      </c>
      <c r="G53">
        <v>818738.182399999</v>
      </c>
      <c r="H53">
        <v>836922.50119999901</v>
      </c>
      <c r="I53">
        <v>896473.66269999999</v>
      </c>
      <c r="J53">
        <v>950118.7389</v>
      </c>
      <c r="K53">
        <v>987581.19209999999</v>
      </c>
      <c r="L53">
        <v>943905.76879999996</v>
      </c>
      <c r="M53">
        <v>972805.28430000006</v>
      </c>
      <c r="N53">
        <v>1015957.3053999899</v>
      </c>
      <c r="O53">
        <v>1058048.8322000001</v>
      </c>
      <c r="P53">
        <v>1109993.6542</v>
      </c>
      <c r="Q53">
        <v>1158730.7065999899</v>
      </c>
      <c r="R53">
        <v>1210568.4417999899</v>
      </c>
      <c r="S53">
        <v>1265111.1051</v>
      </c>
      <c r="T53">
        <v>1334954.5999</v>
      </c>
      <c r="U53">
        <v>1401720.4087999901</v>
      </c>
      <c r="V53">
        <v>1424456.3606999901</v>
      </c>
      <c r="W53">
        <v>1471416.93079999</v>
      </c>
      <c r="X53">
        <v>1519915.5278999901</v>
      </c>
      <c r="Y53">
        <v>1570054.9265000001</v>
      </c>
      <c r="Z53">
        <v>1621930.62949999</v>
      </c>
      <c r="AA53">
        <v>1675536.5559</v>
      </c>
      <c r="AB53">
        <v>1730867.3014</v>
      </c>
      <c r="AC53">
        <v>1788035.0493000001</v>
      </c>
      <c r="AD53">
        <v>1846982.199</v>
      </c>
      <c r="AE53">
        <v>1907814.3365</v>
      </c>
      <c r="AF53">
        <v>1970620.49079999</v>
      </c>
      <c r="AG53">
        <v>2035449.0876</v>
      </c>
      <c r="AH53">
        <v>2102419.6395</v>
      </c>
      <c r="AI53">
        <v>2171671.7496000002</v>
      </c>
      <c r="AJ53">
        <v>2243465.7697000001</v>
      </c>
      <c r="AK53">
        <v>2317577.0106000002</v>
      </c>
      <c r="AL53">
        <v>2394155.2744</v>
      </c>
      <c r="AM53">
        <v>2473346.2711999998</v>
      </c>
      <c r="AN53">
        <v>2555112.4010000001</v>
      </c>
      <c r="AO53">
        <v>2639415.3579999902</v>
      </c>
      <c r="AP53">
        <v>2726511.9645999898</v>
      </c>
    </row>
    <row r="54" spans="1:42" x14ac:dyDescent="0.3">
      <c r="A54" t="s">
        <v>201</v>
      </c>
      <c r="B54">
        <v>169036.43959999899</v>
      </c>
      <c r="C54">
        <v>209398.827599999</v>
      </c>
      <c r="D54">
        <v>98475.281000000003</v>
      </c>
      <c r="E54">
        <v>192032.5931</v>
      </c>
      <c r="F54">
        <v>206668.27889999899</v>
      </c>
      <c r="G54">
        <v>177053.43109999999</v>
      </c>
      <c r="H54">
        <v>216768.88020000001</v>
      </c>
      <c r="I54">
        <v>181080.2377</v>
      </c>
      <c r="J54">
        <v>170543.70629999999</v>
      </c>
      <c r="K54">
        <v>169857.56200000001</v>
      </c>
      <c r="L54">
        <v>164228.28639999899</v>
      </c>
      <c r="M54">
        <v>171426.27569999901</v>
      </c>
      <c r="N54">
        <v>179853.89420000001</v>
      </c>
      <c r="O54">
        <v>184432.8124</v>
      </c>
      <c r="P54">
        <v>187752.92699999901</v>
      </c>
      <c r="Q54">
        <v>192195.15189999901</v>
      </c>
      <c r="R54">
        <v>196576.995</v>
      </c>
      <c r="S54">
        <v>202049.35399999999</v>
      </c>
      <c r="T54">
        <v>209897.896799999</v>
      </c>
      <c r="U54">
        <v>216686.74050000001</v>
      </c>
      <c r="V54">
        <v>223581.36779999899</v>
      </c>
      <c r="W54">
        <v>230742.78630000001</v>
      </c>
      <c r="X54">
        <v>238134.54680000001</v>
      </c>
      <c r="Y54">
        <v>245760.11290000001</v>
      </c>
      <c r="Z54">
        <v>253629.1047</v>
      </c>
      <c r="AA54">
        <v>261746.65919999901</v>
      </c>
      <c r="AB54">
        <v>270122.80379999999</v>
      </c>
      <c r="AC54">
        <v>278768.68550000002</v>
      </c>
      <c r="AD54">
        <v>287689.85419999901</v>
      </c>
      <c r="AE54">
        <v>296891.90740000003</v>
      </c>
      <c r="AF54">
        <v>306383.75639999902</v>
      </c>
      <c r="AG54">
        <v>316179.08539999998</v>
      </c>
      <c r="AH54">
        <v>326291.01799999998</v>
      </c>
      <c r="AI54">
        <v>336728.46220000001</v>
      </c>
      <c r="AJ54">
        <v>347494.47449999902</v>
      </c>
      <c r="AK54">
        <v>358605.95789999899</v>
      </c>
      <c r="AL54">
        <v>370071.95349999901</v>
      </c>
      <c r="AM54">
        <v>381907.66159999999</v>
      </c>
      <c r="AN54">
        <v>394119.30040000001</v>
      </c>
      <c r="AO54">
        <v>406724.00939999899</v>
      </c>
      <c r="AP54">
        <v>419727.94939999899</v>
      </c>
    </row>
    <row r="55" spans="1:42" x14ac:dyDescent="0.3">
      <c r="A55" t="s">
        <v>202</v>
      </c>
      <c r="B55">
        <v>909575.32389999903</v>
      </c>
      <c r="C55">
        <v>986040.37109999906</v>
      </c>
      <c r="D55">
        <v>1002285.5735000001</v>
      </c>
      <c r="E55">
        <v>1060370.2361000001</v>
      </c>
      <c r="F55">
        <v>1105632.34209999</v>
      </c>
      <c r="G55">
        <v>1140213.7996</v>
      </c>
      <c r="H55">
        <v>1163166.5796999999</v>
      </c>
      <c r="I55">
        <v>1208861.9952</v>
      </c>
      <c r="J55">
        <v>1255245.615</v>
      </c>
      <c r="K55">
        <v>1285259.1451000001</v>
      </c>
      <c r="L55">
        <v>1227769.2079</v>
      </c>
      <c r="M55">
        <v>1305007.6126999999</v>
      </c>
      <c r="N55">
        <v>1345542.57949999</v>
      </c>
      <c r="O55">
        <v>1398786.6828000001</v>
      </c>
      <c r="P55">
        <v>1456216.5068999999</v>
      </c>
      <c r="Q55">
        <v>1511982.4569999999</v>
      </c>
      <c r="R55">
        <v>1570735.06029999</v>
      </c>
      <c r="S55">
        <v>1633712.8905</v>
      </c>
      <c r="T55">
        <v>1676879.4839999899</v>
      </c>
      <c r="U55">
        <v>1732398.6477999999</v>
      </c>
      <c r="V55">
        <v>1765217.7838000001</v>
      </c>
      <c r="W55">
        <v>1811087.9421000001</v>
      </c>
      <c r="X55">
        <v>1858085.9125999899</v>
      </c>
      <c r="Y55">
        <v>1906352.62989999</v>
      </c>
      <c r="Z55">
        <v>1955969.3018999901</v>
      </c>
      <c r="AA55">
        <v>2006754.156</v>
      </c>
      <c r="AB55">
        <v>2058910.8059999901</v>
      </c>
      <c r="AC55">
        <v>2112448.0910999998</v>
      </c>
      <c r="AD55">
        <v>2167378.04</v>
      </c>
      <c r="AE55">
        <v>2223735.6743999999</v>
      </c>
      <c r="AF55">
        <v>2281394.4160000002</v>
      </c>
      <c r="AG55">
        <v>2340565.7102999999</v>
      </c>
      <c r="AH55">
        <v>2401320.2327999901</v>
      </c>
      <c r="AI55">
        <v>2463800.0857000002</v>
      </c>
      <c r="AJ55">
        <v>2528009.6235999898</v>
      </c>
      <c r="AK55">
        <v>2593769.2017999999</v>
      </c>
      <c r="AL55">
        <v>2661161.5726000001</v>
      </c>
      <c r="AM55">
        <v>2730429.0142999999</v>
      </c>
      <c r="AN55">
        <v>2801417.6243999898</v>
      </c>
      <c r="AO55">
        <v>2874382.3648999999</v>
      </c>
      <c r="AP55">
        <v>2949120.3588999901</v>
      </c>
    </row>
    <row r="56" spans="1:42" x14ac:dyDescent="0.3">
      <c r="A56" t="s">
        <v>203</v>
      </c>
      <c r="B56">
        <v>47449.0583999999</v>
      </c>
      <c r="C56">
        <v>49131.350099999901</v>
      </c>
      <c r="D56">
        <v>46467.2765</v>
      </c>
      <c r="E56">
        <v>42940.016799999903</v>
      </c>
      <c r="F56">
        <v>36934.276899999997</v>
      </c>
      <c r="G56">
        <v>31329.186699999998</v>
      </c>
      <c r="H56">
        <v>30777.590400000001</v>
      </c>
      <c r="I56">
        <v>32161.313900000001</v>
      </c>
      <c r="J56">
        <v>31739.786699999899</v>
      </c>
      <c r="K56">
        <v>32755.3007</v>
      </c>
      <c r="L56">
        <v>31526.0609</v>
      </c>
      <c r="M56">
        <v>32583.050499999899</v>
      </c>
      <c r="N56">
        <v>21195.271999999899</v>
      </c>
      <c r="O56">
        <v>22255.036199999999</v>
      </c>
      <c r="P56">
        <v>23351.168300000001</v>
      </c>
      <c r="Q56">
        <v>24551.262299999999</v>
      </c>
      <c r="R56">
        <v>25774.434499999999</v>
      </c>
      <c r="S56">
        <v>27092.4483</v>
      </c>
      <c r="T56">
        <v>26986.0753</v>
      </c>
      <c r="U56">
        <v>27629.667399999998</v>
      </c>
      <c r="V56">
        <v>28075.466699999899</v>
      </c>
      <c r="W56">
        <v>28627.8289999999</v>
      </c>
      <c r="X56">
        <v>29186.248500000002</v>
      </c>
      <c r="Y56">
        <v>29760.593099999998</v>
      </c>
      <c r="Z56">
        <v>30344.002699999899</v>
      </c>
      <c r="AA56">
        <v>30931.297999999999</v>
      </c>
      <c r="AB56">
        <v>31534.628100000002</v>
      </c>
      <c r="AC56">
        <v>32144.004899999902</v>
      </c>
      <c r="AD56">
        <v>32765.008299999899</v>
      </c>
      <c r="AE56">
        <v>33401.0795</v>
      </c>
      <c r="AF56">
        <v>34036.570599999999</v>
      </c>
      <c r="AG56">
        <v>34683.9281999999</v>
      </c>
      <c r="AH56">
        <v>35346.254099999998</v>
      </c>
      <c r="AI56">
        <v>36015.682000000001</v>
      </c>
      <c r="AJ56">
        <v>36702.643999999898</v>
      </c>
      <c r="AK56">
        <v>37400.692799999997</v>
      </c>
      <c r="AL56">
        <v>38109.072999999902</v>
      </c>
      <c r="AM56">
        <v>38831.3508</v>
      </c>
      <c r="AN56">
        <v>39561.777699999999</v>
      </c>
      <c r="AO56">
        <v>40310.163699999903</v>
      </c>
      <c r="AP56">
        <v>41064.829199999898</v>
      </c>
    </row>
    <row r="57" spans="1:42" x14ac:dyDescent="0.3">
      <c r="A57" t="s">
        <v>204</v>
      </c>
      <c r="B57">
        <v>196595.40579999899</v>
      </c>
      <c r="C57">
        <v>218231.56459999899</v>
      </c>
      <c r="D57">
        <v>225404.29800000001</v>
      </c>
      <c r="E57">
        <v>233077.89939999999</v>
      </c>
      <c r="F57">
        <v>222642.04389999999</v>
      </c>
      <c r="G57">
        <v>189601.07089999999</v>
      </c>
      <c r="H57">
        <v>195803.11699999901</v>
      </c>
      <c r="I57">
        <v>167786.7985</v>
      </c>
      <c r="J57">
        <v>195165.58799999999</v>
      </c>
      <c r="K57">
        <v>195817.018799999</v>
      </c>
      <c r="L57">
        <v>187714.725199999</v>
      </c>
      <c r="M57">
        <v>193798.46960000001</v>
      </c>
      <c r="N57">
        <v>208530.08069999999</v>
      </c>
      <c r="O57">
        <v>216181.58660000001</v>
      </c>
      <c r="P57">
        <v>220970.34349999999</v>
      </c>
      <c r="Q57">
        <v>227293.82129999899</v>
      </c>
      <c r="R57">
        <v>234096.88109999901</v>
      </c>
      <c r="S57">
        <v>241379.044499999</v>
      </c>
      <c r="T57">
        <v>249527.44479999901</v>
      </c>
      <c r="U57">
        <v>257529.45789999899</v>
      </c>
      <c r="V57">
        <v>265769.98210000002</v>
      </c>
      <c r="W57">
        <v>274271.30029999901</v>
      </c>
      <c r="X57">
        <v>283040.39799999999</v>
      </c>
      <c r="Y57">
        <v>292087.04090000002</v>
      </c>
      <c r="Z57">
        <v>301421.42830000003</v>
      </c>
      <c r="AA57">
        <v>311045.16249999899</v>
      </c>
      <c r="AB57">
        <v>320974.49439999898</v>
      </c>
      <c r="AC57">
        <v>331226.13699999999</v>
      </c>
      <c r="AD57">
        <v>341809.53840000002</v>
      </c>
      <c r="AE57">
        <v>352756.02109999902</v>
      </c>
      <c r="AF57">
        <v>364040.22879999998</v>
      </c>
      <c r="AG57">
        <v>375695.56179999898</v>
      </c>
      <c r="AH57">
        <v>387745.15399999998</v>
      </c>
      <c r="AI57">
        <v>400193.78619999898</v>
      </c>
      <c r="AJ57">
        <v>412999.33740000002</v>
      </c>
      <c r="AK57">
        <v>426205.58620000002</v>
      </c>
      <c r="AL57">
        <v>439814.79070000001</v>
      </c>
      <c r="AM57">
        <v>453874.67699999898</v>
      </c>
      <c r="AN57">
        <v>468394.644299999</v>
      </c>
      <c r="AO57">
        <v>483389.26380000002</v>
      </c>
      <c r="AP57">
        <v>498877.52309999999</v>
      </c>
    </row>
    <row r="58" spans="1:42" x14ac:dyDescent="0.3">
      <c r="A58" t="s">
        <v>205</v>
      </c>
      <c r="B58">
        <v>70331.980999999898</v>
      </c>
      <c r="C58">
        <v>88472.904399999898</v>
      </c>
      <c r="D58">
        <v>85297.261399999901</v>
      </c>
      <c r="E58">
        <v>66756.6679</v>
      </c>
      <c r="F58">
        <v>82835.194900000002</v>
      </c>
      <c r="G58">
        <v>82949.8514</v>
      </c>
      <c r="H58">
        <v>92469.232900000003</v>
      </c>
      <c r="I58">
        <v>100550.145299999</v>
      </c>
      <c r="J58">
        <v>99132.040699999998</v>
      </c>
      <c r="K58">
        <v>101321.3037</v>
      </c>
      <c r="L58">
        <v>99503.340599999996</v>
      </c>
      <c r="M58">
        <v>103132.416499999</v>
      </c>
      <c r="N58">
        <v>106401.160299999</v>
      </c>
      <c r="O58">
        <v>109588.39759999901</v>
      </c>
      <c r="P58">
        <v>112796.74719999899</v>
      </c>
      <c r="Q58">
        <v>115993.80710000001</v>
      </c>
      <c r="R58">
        <v>119406.3609</v>
      </c>
      <c r="S58">
        <v>122850.015399999</v>
      </c>
      <c r="T58">
        <v>130528.301899999</v>
      </c>
      <c r="U58">
        <v>136452.7942</v>
      </c>
      <c r="V58">
        <v>142367.34129999901</v>
      </c>
      <c r="W58">
        <v>148682.65259999901</v>
      </c>
      <c r="X58">
        <v>155273.28149999899</v>
      </c>
      <c r="Y58">
        <v>162149.88819999999</v>
      </c>
      <c r="Z58">
        <v>169329.29380000001</v>
      </c>
      <c r="AA58">
        <v>176817.514</v>
      </c>
      <c r="AB58">
        <v>184633.71779999899</v>
      </c>
      <c r="AC58">
        <v>192789.92290000001</v>
      </c>
      <c r="AD58">
        <v>201298.34450000001</v>
      </c>
      <c r="AE58">
        <v>210177.36689999999</v>
      </c>
      <c r="AF58">
        <v>219440.13250000001</v>
      </c>
      <c r="AG58">
        <v>229103.38289999901</v>
      </c>
      <c r="AH58">
        <v>239186.24079999901</v>
      </c>
      <c r="AI58">
        <v>249708.58040000001</v>
      </c>
      <c r="AJ58">
        <v>260683.59419999999</v>
      </c>
      <c r="AK58">
        <v>272131.95620000002</v>
      </c>
      <c r="AL58">
        <v>284075.56819999899</v>
      </c>
      <c r="AM58">
        <v>296538.04049999901</v>
      </c>
      <c r="AN58">
        <v>309538.30069999897</v>
      </c>
      <c r="AO58">
        <v>323100.38770000002</v>
      </c>
      <c r="AP58">
        <v>337248.24949999899</v>
      </c>
    </row>
    <row r="59" spans="1:42" x14ac:dyDescent="0.3">
      <c r="A59" t="s">
        <v>206</v>
      </c>
      <c r="B59">
        <v>67408.660600000003</v>
      </c>
      <c r="C59">
        <v>70363.824099999998</v>
      </c>
      <c r="D59">
        <v>71846.670799999905</v>
      </c>
      <c r="E59">
        <v>74388.818699999902</v>
      </c>
      <c r="F59">
        <v>94432.296700000006</v>
      </c>
      <c r="G59">
        <v>97264.234299999996</v>
      </c>
      <c r="H59">
        <v>97674.9880999999</v>
      </c>
      <c r="I59">
        <v>98996.650599999994</v>
      </c>
      <c r="J59">
        <v>100721.783199999</v>
      </c>
      <c r="K59">
        <v>101027.43799999901</v>
      </c>
      <c r="L59">
        <v>94619.807899999898</v>
      </c>
      <c r="M59">
        <v>99268.554999999993</v>
      </c>
      <c r="N59">
        <v>101351.1416</v>
      </c>
      <c r="O59">
        <v>102466.12179999999</v>
      </c>
      <c r="P59">
        <v>104110.443499999</v>
      </c>
      <c r="Q59">
        <v>105631.24199999899</v>
      </c>
      <c r="R59">
        <v>107082.709399999</v>
      </c>
      <c r="S59">
        <v>108551.5834</v>
      </c>
      <c r="T59">
        <v>110497.4281</v>
      </c>
      <c r="U59">
        <v>112248.659799999</v>
      </c>
      <c r="V59">
        <v>116754.124</v>
      </c>
      <c r="W59">
        <v>120013.5456</v>
      </c>
      <c r="X59">
        <v>123372.9715</v>
      </c>
      <c r="Y59">
        <v>126836.4258</v>
      </c>
      <c r="Z59">
        <v>130394.0113</v>
      </c>
      <c r="AA59">
        <v>134042.75509999899</v>
      </c>
      <c r="AB59">
        <v>137807.82809999899</v>
      </c>
      <c r="AC59">
        <v>141659.08299999899</v>
      </c>
      <c r="AD59">
        <v>145626.009499999</v>
      </c>
      <c r="AE59">
        <v>149714.39290000001</v>
      </c>
      <c r="AF59">
        <v>153899.5079</v>
      </c>
      <c r="AG59">
        <v>158204.86170000001</v>
      </c>
      <c r="AH59">
        <v>162625.57930000001</v>
      </c>
      <c r="AI59">
        <v>167186.4846</v>
      </c>
      <c r="AJ59">
        <v>171895.8812</v>
      </c>
      <c r="AK59">
        <v>176711.66319999899</v>
      </c>
      <c r="AL59">
        <v>181658.33970000001</v>
      </c>
      <c r="AM59">
        <v>186746.64109999899</v>
      </c>
      <c r="AN59">
        <v>191981.95519999901</v>
      </c>
      <c r="AO59">
        <v>197362.58100000001</v>
      </c>
      <c r="AP59">
        <v>202901.2309</v>
      </c>
    </row>
    <row r="60" spans="1:42" x14ac:dyDescent="0.3">
      <c r="A60" t="s">
        <v>207</v>
      </c>
      <c r="B60">
        <v>76173.070699999997</v>
      </c>
      <c r="C60">
        <v>28109.283899999999</v>
      </c>
      <c r="D60">
        <v>46076.4039999999</v>
      </c>
      <c r="E60">
        <v>22200.365099999901</v>
      </c>
      <c r="F60">
        <v>16291.0383</v>
      </c>
      <c r="G60">
        <v>18623.797600000002</v>
      </c>
      <c r="H60">
        <v>28126.479099999899</v>
      </c>
      <c r="I60">
        <v>21525.006299999899</v>
      </c>
      <c r="J60">
        <v>28555.899799999901</v>
      </c>
      <c r="K60">
        <v>28023.8924999999</v>
      </c>
      <c r="L60">
        <v>25143.617199999899</v>
      </c>
      <c r="M60">
        <v>27064.456399999999</v>
      </c>
      <c r="N60">
        <v>27077.368699999999</v>
      </c>
      <c r="O60">
        <v>28444.6561</v>
      </c>
      <c r="P60">
        <v>28789.1859</v>
      </c>
      <c r="Q60">
        <v>29639.910400000001</v>
      </c>
      <c r="R60">
        <v>30186.169099999901</v>
      </c>
      <c r="S60">
        <v>30862.790599999898</v>
      </c>
      <c r="T60">
        <v>33013.334399999898</v>
      </c>
      <c r="U60">
        <v>34572.5917999999</v>
      </c>
      <c r="V60">
        <v>36055.946100000001</v>
      </c>
      <c r="W60">
        <v>37663.832499999997</v>
      </c>
      <c r="X60">
        <v>39344.373500000002</v>
      </c>
      <c r="Y60">
        <v>41095.604099999997</v>
      </c>
      <c r="Z60">
        <v>42920.952299999997</v>
      </c>
      <c r="AA60">
        <v>44822.864500000003</v>
      </c>
      <c r="AB60">
        <v>46805.471599999997</v>
      </c>
      <c r="AC60">
        <v>48871.3868</v>
      </c>
      <c r="AD60">
        <v>51025.677000000003</v>
      </c>
      <c r="AE60">
        <v>53271.484700000001</v>
      </c>
      <c r="AF60">
        <v>55611.668199999898</v>
      </c>
      <c r="AG60">
        <v>58051.023299999899</v>
      </c>
      <c r="AH60">
        <v>60596.633999999998</v>
      </c>
      <c r="AI60">
        <v>63250.7405</v>
      </c>
      <c r="AJ60">
        <v>66017.668399999995</v>
      </c>
      <c r="AK60">
        <v>68902.112899999993</v>
      </c>
      <c r="AL60">
        <v>71910.493899999899</v>
      </c>
      <c r="AM60">
        <v>75051.280299999999</v>
      </c>
      <c r="AN60">
        <v>78321.941600000006</v>
      </c>
      <c r="AO60">
        <v>81735.229000000007</v>
      </c>
      <c r="AP60">
        <v>85291.954499999905</v>
      </c>
    </row>
    <row r="61" spans="1:42" x14ac:dyDescent="0.3">
      <c r="A61" t="s">
        <v>208</v>
      </c>
      <c r="B61">
        <v>47644.5992999999</v>
      </c>
      <c r="C61">
        <v>43605.9254</v>
      </c>
      <c r="D61">
        <v>47833.623899999897</v>
      </c>
      <c r="E61">
        <v>45633.878999999899</v>
      </c>
      <c r="F61">
        <v>41898.278499999898</v>
      </c>
      <c r="G61">
        <v>48066.0173</v>
      </c>
      <c r="H61">
        <v>40625.434800000003</v>
      </c>
      <c r="I61">
        <v>48290.398699999998</v>
      </c>
      <c r="J61">
        <v>52385.218199999901</v>
      </c>
      <c r="K61">
        <v>52120.223400000003</v>
      </c>
      <c r="L61">
        <v>49366.175499999998</v>
      </c>
      <c r="M61">
        <v>49582.6662</v>
      </c>
      <c r="N61">
        <v>51176.927300000003</v>
      </c>
      <c r="O61">
        <v>52710.368399999999</v>
      </c>
      <c r="P61">
        <v>54111.4615999999</v>
      </c>
      <c r="Q61">
        <v>56171.318899999897</v>
      </c>
      <c r="R61">
        <v>57849.227800000001</v>
      </c>
      <c r="S61">
        <v>60141.632700000002</v>
      </c>
      <c r="T61">
        <v>63501.167800000003</v>
      </c>
      <c r="U61">
        <v>66384.617400000003</v>
      </c>
      <c r="V61">
        <v>69265.265100000004</v>
      </c>
      <c r="W61">
        <v>72340.390899999897</v>
      </c>
      <c r="X61">
        <v>75548.766599999901</v>
      </c>
      <c r="Y61">
        <v>78896.681299999997</v>
      </c>
      <c r="Z61">
        <v>82389.972499999902</v>
      </c>
      <c r="AA61">
        <v>86034.533799999903</v>
      </c>
      <c r="AB61">
        <v>89837.603600000002</v>
      </c>
      <c r="AC61">
        <v>93806.246699999901</v>
      </c>
      <c r="AD61">
        <v>97946.905399999901</v>
      </c>
      <c r="AE61">
        <v>102267.803599999</v>
      </c>
      <c r="AF61">
        <v>106775.45979999899</v>
      </c>
      <c r="AG61">
        <v>111477.99439999901</v>
      </c>
      <c r="AH61">
        <v>116384.1352</v>
      </c>
      <c r="AI61">
        <v>121504.014799999</v>
      </c>
      <c r="AJ61">
        <v>126844.45110000001</v>
      </c>
      <c r="AK61">
        <v>132416.76060000001</v>
      </c>
      <c r="AL61">
        <v>138229.63529999999</v>
      </c>
      <c r="AM61">
        <v>144294.087499999</v>
      </c>
      <c r="AN61">
        <v>150620.35259999899</v>
      </c>
      <c r="AO61">
        <v>157219.94399999999</v>
      </c>
      <c r="AP61">
        <v>164096.26920000001</v>
      </c>
    </row>
    <row r="62" spans="1:42" x14ac:dyDescent="0.3">
      <c r="A62" t="s">
        <v>209</v>
      </c>
      <c r="B62">
        <v>164113.822099999</v>
      </c>
      <c r="C62">
        <v>169648.27119999999</v>
      </c>
      <c r="D62">
        <v>166834.495999999</v>
      </c>
      <c r="E62">
        <v>167471.58359999899</v>
      </c>
      <c r="F62">
        <v>176073.49909999999</v>
      </c>
      <c r="G62">
        <v>167635.25080000001</v>
      </c>
      <c r="H62">
        <v>166734.85049999901</v>
      </c>
      <c r="I62">
        <v>183254.464199999</v>
      </c>
      <c r="J62">
        <v>189658.21830000001</v>
      </c>
      <c r="K62">
        <v>198028.25659999999</v>
      </c>
      <c r="L62">
        <v>187068.46119999999</v>
      </c>
      <c r="M62">
        <v>192853.06459999899</v>
      </c>
      <c r="N62">
        <v>203267.13570000001</v>
      </c>
      <c r="O62">
        <v>212169.9492</v>
      </c>
      <c r="P62">
        <v>223789.57860000001</v>
      </c>
      <c r="Q62">
        <v>232594.33970000001</v>
      </c>
      <c r="R62">
        <v>242919.9198</v>
      </c>
      <c r="S62">
        <v>251303.60079999999</v>
      </c>
      <c r="T62">
        <v>266545.70880000002</v>
      </c>
      <c r="U62">
        <v>279886.82299999899</v>
      </c>
      <c r="V62">
        <v>284431.12279999902</v>
      </c>
      <c r="W62">
        <v>293817.99690000003</v>
      </c>
      <c r="X62">
        <v>303510.94400000002</v>
      </c>
      <c r="Y62">
        <v>313523.88740000001</v>
      </c>
      <c r="Z62">
        <v>323865.97100000002</v>
      </c>
      <c r="AA62">
        <v>334549.9596</v>
      </c>
      <c r="AB62">
        <v>345590.28909999999</v>
      </c>
      <c r="AC62">
        <v>356992.66950000002</v>
      </c>
      <c r="AD62">
        <v>368770.28720000002</v>
      </c>
      <c r="AE62">
        <v>380935.188599999</v>
      </c>
      <c r="AF62">
        <v>393538.42259999999</v>
      </c>
      <c r="AG62">
        <v>406587.87579999899</v>
      </c>
      <c r="AH62">
        <v>420012.154099999</v>
      </c>
      <c r="AI62">
        <v>433875.41680000001</v>
      </c>
      <c r="AJ62">
        <v>448216.09429999901</v>
      </c>
      <c r="AK62">
        <v>463010.56189999997</v>
      </c>
      <c r="AL62">
        <v>478290.68399999902</v>
      </c>
      <c r="AM62">
        <v>494084.58419999998</v>
      </c>
      <c r="AN62">
        <v>510395.84460000001</v>
      </c>
      <c r="AO62">
        <v>527246.95030000003</v>
      </c>
      <c r="AP62">
        <v>544656.08770000003</v>
      </c>
    </row>
    <row r="63" spans="1:42" x14ac:dyDescent="0.3">
      <c r="A63" t="s">
        <v>210</v>
      </c>
      <c r="B63">
        <v>38823.625699999902</v>
      </c>
      <c r="C63">
        <v>39179.017599999897</v>
      </c>
      <c r="D63">
        <v>44115.566500000001</v>
      </c>
      <c r="E63">
        <v>51335.978600000002</v>
      </c>
      <c r="F63">
        <v>46101.367599999903</v>
      </c>
      <c r="G63">
        <v>48196.728399999898</v>
      </c>
      <c r="H63">
        <v>35809.054400000001</v>
      </c>
      <c r="I63">
        <v>41176.021500000003</v>
      </c>
      <c r="J63">
        <v>47751.001499999998</v>
      </c>
      <c r="K63">
        <v>49899.946799999998</v>
      </c>
      <c r="L63">
        <v>48602.386999999901</v>
      </c>
      <c r="M63">
        <v>50595.2717999999</v>
      </c>
      <c r="N63">
        <v>51863.646200000003</v>
      </c>
      <c r="O63">
        <v>54138.378699999899</v>
      </c>
      <c r="P63">
        <v>56731.300299999901</v>
      </c>
      <c r="Q63">
        <v>58077.616300000002</v>
      </c>
      <c r="R63">
        <v>59225.437899999997</v>
      </c>
      <c r="S63">
        <v>60844.902499999997</v>
      </c>
      <c r="T63">
        <v>66122.884999999995</v>
      </c>
      <c r="U63">
        <v>69390.232099999994</v>
      </c>
      <c r="V63">
        <v>71611.2212</v>
      </c>
      <c r="W63">
        <v>74509.829500000007</v>
      </c>
      <c r="X63">
        <v>77465.563799999902</v>
      </c>
      <c r="Y63">
        <v>80473.899799999999</v>
      </c>
      <c r="Z63">
        <v>83542.015299999999</v>
      </c>
      <c r="AA63">
        <v>86662.816699999996</v>
      </c>
      <c r="AB63">
        <v>89843.758399999904</v>
      </c>
      <c r="AC63">
        <v>93081.077499999999</v>
      </c>
      <c r="AD63">
        <v>96379.152199999997</v>
      </c>
      <c r="AE63">
        <v>99739.353199999896</v>
      </c>
      <c r="AF63">
        <v>103159.8379</v>
      </c>
      <c r="AG63">
        <v>106646.98910000001</v>
      </c>
      <c r="AH63">
        <v>110195.10980000001</v>
      </c>
      <c r="AI63">
        <v>113808.7193</v>
      </c>
      <c r="AJ63">
        <v>117486.5668</v>
      </c>
      <c r="AK63">
        <v>121230.9688</v>
      </c>
      <c r="AL63">
        <v>125037.6517</v>
      </c>
      <c r="AM63">
        <v>128915.82429999999</v>
      </c>
      <c r="AN63">
        <v>132864.7605</v>
      </c>
      <c r="AO63">
        <v>136887.14649999901</v>
      </c>
      <c r="AP63">
        <v>140976.48179999899</v>
      </c>
    </row>
    <row r="64" spans="1:42" x14ac:dyDescent="0.3">
      <c r="A64" t="s">
        <v>211</v>
      </c>
      <c r="B64">
        <v>53062.440799999902</v>
      </c>
      <c r="C64">
        <v>50446.902199999902</v>
      </c>
      <c r="D64">
        <v>47103.844499999897</v>
      </c>
      <c r="E64">
        <v>48519.7402</v>
      </c>
      <c r="F64">
        <v>50527.439699999901</v>
      </c>
      <c r="G64">
        <v>52939.655700000003</v>
      </c>
      <c r="H64">
        <v>52304.316299999897</v>
      </c>
      <c r="I64">
        <v>54311.410399999899</v>
      </c>
      <c r="J64">
        <v>55087.657999999901</v>
      </c>
      <c r="K64">
        <v>55772.266599999901</v>
      </c>
      <c r="L64">
        <v>52048.083699999901</v>
      </c>
      <c r="M64">
        <v>54724.9284999999</v>
      </c>
      <c r="N64">
        <v>55170.862099999998</v>
      </c>
      <c r="O64">
        <v>56653.005499999897</v>
      </c>
      <c r="P64">
        <v>58967.444999999898</v>
      </c>
      <c r="Q64">
        <v>61416.256099999999</v>
      </c>
      <c r="R64">
        <v>63853.306700000001</v>
      </c>
      <c r="S64">
        <v>66268.293399999995</v>
      </c>
      <c r="T64">
        <v>69752.710699999996</v>
      </c>
      <c r="U64">
        <v>72915.860700000005</v>
      </c>
      <c r="V64">
        <v>76071.951499999996</v>
      </c>
      <c r="W64">
        <v>79411.733800000002</v>
      </c>
      <c r="X64">
        <v>82895.697400000005</v>
      </c>
      <c r="Y64">
        <v>86512.515899999999</v>
      </c>
      <c r="Z64">
        <v>90319.452699999907</v>
      </c>
      <c r="AA64">
        <v>94270.543699999995</v>
      </c>
      <c r="AB64">
        <v>98408.775800000003</v>
      </c>
      <c r="AC64">
        <v>102724.859499999</v>
      </c>
      <c r="AD64">
        <v>107218.2129</v>
      </c>
      <c r="AE64">
        <v>111926.780099999</v>
      </c>
      <c r="AF64">
        <v>116788.5768</v>
      </c>
      <c r="AG64">
        <v>121858.410399999</v>
      </c>
      <c r="AH64">
        <v>127154.5981</v>
      </c>
      <c r="AI64">
        <v>132687.8725</v>
      </c>
      <c r="AJ64">
        <v>138468.2555</v>
      </c>
      <c r="AK64">
        <v>144508.26949999999</v>
      </c>
      <c r="AL64">
        <v>150806.81899999999</v>
      </c>
      <c r="AM64">
        <v>157370.39179999899</v>
      </c>
      <c r="AN64">
        <v>164211.38089999999</v>
      </c>
      <c r="AO64">
        <v>171350.92959999901</v>
      </c>
      <c r="AP64">
        <v>178798.4895</v>
      </c>
    </row>
    <row r="65" spans="1:42" x14ac:dyDescent="0.3">
      <c r="A65" t="s">
        <v>212</v>
      </c>
      <c r="B65">
        <v>7662.7972</v>
      </c>
      <c r="C65">
        <v>7558.0673999999999</v>
      </c>
      <c r="D65">
        <v>8048.8262999999997</v>
      </c>
      <c r="E65">
        <v>8371.6258999999991</v>
      </c>
      <c r="F65">
        <v>9153.0106999999898</v>
      </c>
      <c r="G65">
        <v>9955.4599999999991</v>
      </c>
      <c r="H65">
        <v>9936.4696000000004</v>
      </c>
      <c r="I65">
        <v>9567.0728999999992</v>
      </c>
      <c r="J65">
        <v>9602.6573999999891</v>
      </c>
      <c r="K65">
        <v>9929.1750999999895</v>
      </c>
      <c r="L65">
        <v>9922.5698999999895</v>
      </c>
      <c r="M65">
        <v>10166.516799999999</v>
      </c>
      <c r="N65">
        <v>10537.017</v>
      </c>
      <c r="O65">
        <v>10986.149299999999</v>
      </c>
      <c r="P65">
        <v>11482.267099999999</v>
      </c>
      <c r="Q65">
        <v>12035.7436</v>
      </c>
      <c r="R65">
        <v>12588.276</v>
      </c>
      <c r="S65">
        <v>13156.356599999899</v>
      </c>
      <c r="T65">
        <v>13757.6846999999</v>
      </c>
      <c r="U65">
        <v>14382.255299999901</v>
      </c>
      <c r="V65">
        <v>15006.3086999999</v>
      </c>
      <c r="W65">
        <v>15671.7754999999</v>
      </c>
      <c r="X65">
        <v>16366.7647</v>
      </c>
      <c r="Y65">
        <v>17091.874899999999</v>
      </c>
      <c r="Z65">
        <v>17849.498999999902</v>
      </c>
      <c r="AA65">
        <v>18640.523999999899</v>
      </c>
      <c r="AB65">
        <v>19464.387699999999</v>
      </c>
      <c r="AC65">
        <v>20324.179099999899</v>
      </c>
      <c r="AD65">
        <v>21221.692200000001</v>
      </c>
      <c r="AE65">
        <v>22158.9637</v>
      </c>
      <c r="AF65">
        <v>23134.158599999901</v>
      </c>
      <c r="AG65">
        <v>24150.404999999999</v>
      </c>
      <c r="AH65">
        <v>25212.2994</v>
      </c>
      <c r="AI65">
        <v>26320.8076</v>
      </c>
      <c r="AJ65">
        <v>27478.826799999999</v>
      </c>
      <c r="AK65">
        <v>28686.083999999901</v>
      </c>
      <c r="AL65">
        <v>29945.206600000001</v>
      </c>
      <c r="AM65">
        <v>31258.045900000001</v>
      </c>
      <c r="AN65">
        <v>32627.975200000001</v>
      </c>
      <c r="AO65">
        <v>34057.166599999997</v>
      </c>
      <c r="AP65">
        <v>35547.069000000003</v>
      </c>
    </row>
    <row r="66" spans="1:42" x14ac:dyDescent="0.3">
      <c r="A66" t="s">
        <v>213</v>
      </c>
      <c r="B66">
        <v>30929.335799999899</v>
      </c>
      <c r="C66">
        <v>36401.443399999996</v>
      </c>
      <c r="D66">
        <v>37813.802000000003</v>
      </c>
      <c r="E66">
        <v>38788.998099999997</v>
      </c>
      <c r="F66">
        <v>41991.322299999898</v>
      </c>
      <c r="G66">
        <v>43361.780700000003</v>
      </c>
      <c r="H66">
        <v>43702.818099999997</v>
      </c>
      <c r="I66">
        <v>47731.177399999899</v>
      </c>
      <c r="J66">
        <v>52201.377199999901</v>
      </c>
      <c r="K66">
        <v>55259.760699999897</v>
      </c>
      <c r="L66">
        <v>55947.3226</v>
      </c>
      <c r="M66">
        <v>59019.69</v>
      </c>
      <c r="N66">
        <v>61668.988199999898</v>
      </c>
      <c r="O66">
        <v>64895.978799999997</v>
      </c>
      <c r="P66">
        <v>69654.560299999997</v>
      </c>
      <c r="Q66">
        <v>73332.374299999996</v>
      </c>
      <c r="R66">
        <v>77197.978299999901</v>
      </c>
      <c r="S66">
        <v>82064.599400000006</v>
      </c>
      <c r="T66">
        <v>84722.329800000007</v>
      </c>
      <c r="U66">
        <v>88570.654699999999</v>
      </c>
      <c r="V66">
        <v>92414.495699999999</v>
      </c>
      <c r="W66">
        <v>96516.1136999999</v>
      </c>
      <c r="X66">
        <v>100799.34979999901</v>
      </c>
      <c r="Y66">
        <v>105267.7406</v>
      </c>
      <c r="Z66">
        <v>109931.57319999899</v>
      </c>
      <c r="AA66">
        <v>114797.89419999901</v>
      </c>
      <c r="AB66">
        <v>119874.9571</v>
      </c>
      <c r="AC66">
        <v>125169.2513</v>
      </c>
      <c r="AD66">
        <v>130696.8303</v>
      </c>
      <c r="AE66">
        <v>136461.35190000001</v>
      </c>
      <c r="AF66">
        <v>142472.23139999999</v>
      </c>
      <c r="AG66">
        <v>148741.12149999899</v>
      </c>
      <c r="AH66">
        <v>155284.66959999999</v>
      </c>
      <c r="AI66">
        <v>162114.265099999</v>
      </c>
      <c r="AJ66">
        <v>169240.74939999901</v>
      </c>
      <c r="AK66">
        <v>176672.49979999999</v>
      </c>
      <c r="AL66">
        <v>184428.456799999</v>
      </c>
      <c r="AM66">
        <v>192517.85079999999</v>
      </c>
      <c r="AN66">
        <v>200957.07779999901</v>
      </c>
      <c r="AO66">
        <v>209760.40309999901</v>
      </c>
      <c r="AP66">
        <v>218941.7371</v>
      </c>
    </row>
    <row r="67" spans="1:42" x14ac:dyDescent="0.3">
      <c r="A67" t="s">
        <v>214</v>
      </c>
      <c r="B67">
        <v>26190.279899999899</v>
      </c>
      <c r="C67">
        <v>27655.215899999999</v>
      </c>
      <c r="D67">
        <v>27420.306299999898</v>
      </c>
      <c r="E67">
        <v>29777.081999999999</v>
      </c>
      <c r="F67">
        <v>32362.601199999899</v>
      </c>
      <c r="G67">
        <v>34941.450700000001</v>
      </c>
      <c r="H67">
        <v>35305.552900000002</v>
      </c>
      <c r="I67">
        <v>36875.994200000001</v>
      </c>
      <c r="J67">
        <v>39630.658000000003</v>
      </c>
      <c r="K67">
        <v>42582.838199999998</v>
      </c>
      <c r="L67">
        <v>43323.412999999899</v>
      </c>
      <c r="M67">
        <v>45906.602399999902</v>
      </c>
      <c r="N67">
        <v>47940.217999999899</v>
      </c>
      <c r="O67">
        <v>50534.172899999903</v>
      </c>
      <c r="P67">
        <v>53884.348400000003</v>
      </c>
      <c r="Q67">
        <v>57709.316500000001</v>
      </c>
      <c r="R67">
        <v>61427.590399999899</v>
      </c>
      <c r="S67">
        <v>65511.229899999998</v>
      </c>
      <c r="T67">
        <v>67214.383000000002</v>
      </c>
      <c r="U67">
        <v>70278.321400000001</v>
      </c>
      <c r="V67">
        <v>73333.207499999902</v>
      </c>
      <c r="W67">
        <v>76585.226299999995</v>
      </c>
      <c r="X67">
        <v>79978.547199999899</v>
      </c>
      <c r="Y67">
        <v>83517.010499999902</v>
      </c>
      <c r="Z67">
        <v>87214.896199999901</v>
      </c>
      <c r="AA67">
        <v>91069.199099999896</v>
      </c>
      <c r="AB67">
        <v>95094.257100000003</v>
      </c>
      <c r="AC67">
        <v>99296.979200000002</v>
      </c>
      <c r="AD67">
        <v>103679.85769999999</v>
      </c>
      <c r="AE67">
        <v>108255.542899999</v>
      </c>
      <c r="AF67">
        <v>113022.4748</v>
      </c>
      <c r="AG67">
        <v>117994.2435</v>
      </c>
      <c r="AH67">
        <v>123183.8547</v>
      </c>
      <c r="AI67">
        <v>128601.755599999</v>
      </c>
      <c r="AJ67">
        <v>134261.64539999899</v>
      </c>
      <c r="AK67">
        <v>140164.31969999999</v>
      </c>
      <c r="AL67">
        <v>146317.72769999999</v>
      </c>
      <c r="AM67">
        <v>152733.673099999</v>
      </c>
      <c r="AN67">
        <v>159198.79589999901</v>
      </c>
      <c r="AO67">
        <v>166259.87100000001</v>
      </c>
      <c r="AP67">
        <v>173646.15890000001</v>
      </c>
    </row>
    <row r="68" spans="1:42" x14ac:dyDescent="0.3">
      <c r="A68" t="s">
        <v>215</v>
      </c>
      <c r="B68">
        <v>18532.563399999901</v>
      </c>
      <c r="C68">
        <v>19645.927099999899</v>
      </c>
      <c r="D68">
        <v>21095.6692</v>
      </c>
      <c r="E68">
        <v>22773.654200000001</v>
      </c>
      <c r="F68">
        <v>25898.8600999999</v>
      </c>
      <c r="G68">
        <v>26112.8344</v>
      </c>
      <c r="H68">
        <v>27660.368199999899</v>
      </c>
      <c r="I68">
        <v>29340.964899999999</v>
      </c>
      <c r="J68">
        <v>30621.795199999899</v>
      </c>
      <c r="K68">
        <v>30972.4283</v>
      </c>
      <c r="L68">
        <v>29634.147699999899</v>
      </c>
      <c r="M68">
        <v>31141.476399999901</v>
      </c>
      <c r="N68">
        <v>32100.771100000002</v>
      </c>
      <c r="O68">
        <v>33291.6852</v>
      </c>
      <c r="P68">
        <v>34906.949500000002</v>
      </c>
      <c r="Q68">
        <v>36211.537999999899</v>
      </c>
      <c r="R68">
        <v>38627.295599999903</v>
      </c>
      <c r="S68">
        <v>40750.803699999902</v>
      </c>
      <c r="T68">
        <v>42271.001099999899</v>
      </c>
      <c r="U68">
        <v>44196.930899999999</v>
      </c>
      <c r="V68">
        <v>46101.335999999901</v>
      </c>
      <c r="W68">
        <v>48135.432399999903</v>
      </c>
      <c r="X68">
        <v>50269.291700000002</v>
      </c>
      <c r="Y68">
        <v>52493.722300000001</v>
      </c>
      <c r="Z68">
        <v>54817.811199999996</v>
      </c>
      <c r="AA68">
        <v>57242.477400000003</v>
      </c>
      <c r="AB68">
        <v>59768.108299999898</v>
      </c>
      <c r="AC68">
        <v>62406.882499999898</v>
      </c>
      <c r="AD68">
        <v>65157.056999999899</v>
      </c>
      <c r="AE68">
        <v>68031.085199999899</v>
      </c>
      <c r="AF68">
        <v>71030.8655</v>
      </c>
      <c r="AG68">
        <v>74161.994399999996</v>
      </c>
      <c r="AH68">
        <v>77424.819600000003</v>
      </c>
      <c r="AI68">
        <v>80828.153399999996</v>
      </c>
      <c r="AJ68">
        <v>84371.396399999998</v>
      </c>
      <c r="AK68">
        <v>88077.584799999895</v>
      </c>
      <c r="AL68">
        <v>91934.833899999998</v>
      </c>
      <c r="AM68">
        <v>95966.058599999902</v>
      </c>
      <c r="AN68">
        <v>100168.2838</v>
      </c>
      <c r="AO68">
        <v>104565.0926</v>
      </c>
      <c r="AP68">
        <v>109147.7368</v>
      </c>
    </row>
    <row r="69" spans="1:42" x14ac:dyDescent="0.3">
      <c r="A69" t="s">
        <v>216</v>
      </c>
      <c r="B69">
        <v>36120.190699999999</v>
      </c>
      <c r="C69">
        <v>37396.953799999901</v>
      </c>
      <c r="D69">
        <v>38731.779699999897</v>
      </c>
      <c r="E69">
        <v>38604.142200000002</v>
      </c>
      <c r="F69">
        <v>33712.474099999999</v>
      </c>
      <c r="G69">
        <v>32541.009699999999</v>
      </c>
      <c r="H69">
        <v>28785.374599999901</v>
      </c>
      <c r="I69">
        <v>60020.025699999998</v>
      </c>
      <c r="J69">
        <v>77669.476699999999</v>
      </c>
      <c r="K69">
        <v>81940.871700000003</v>
      </c>
      <c r="L69">
        <v>84796.577799999897</v>
      </c>
      <c r="M69">
        <v>87579.465199999904</v>
      </c>
      <c r="N69">
        <v>93364.039999999906</v>
      </c>
      <c r="O69">
        <v>97457.040499999901</v>
      </c>
      <c r="P69">
        <v>103300.18889999999</v>
      </c>
      <c r="Q69">
        <v>109465.784999999</v>
      </c>
      <c r="R69">
        <v>116004.4471</v>
      </c>
      <c r="S69">
        <v>122866.564</v>
      </c>
      <c r="T69">
        <v>126922.9691</v>
      </c>
      <c r="U69">
        <v>132683.64859999999</v>
      </c>
      <c r="V69">
        <v>138439.43150000001</v>
      </c>
      <c r="W69">
        <v>144578.49339999899</v>
      </c>
      <c r="X69">
        <v>150985.72699999899</v>
      </c>
      <c r="Y69">
        <v>157665.42469999901</v>
      </c>
      <c r="Z69">
        <v>164645.99720000001</v>
      </c>
      <c r="AA69">
        <v>171922.630199999</v>
      </c>
      <c r="AB69">
        <v>179510.84959999999</v>
      </c>
      <c r="AC69">
        <v>187431.276099999</v>
      </c>
      <c r="AD69">
        <v>195691.69249999899</v>
      </c>
      <c r="AE69">
        <v>204322.35209999999</v>
      </c>
      <c r="AF69">
        <v>213312.62689999901</v>
      </c>
      <c r="AG69">
        <v>222692.648699999</v>
      </c>
      <c r="AH69">
        <v>232490.27939999901</v>
      </c>
      <c r="AI69">
        <v>242715.84879999899</v>
      </c>
      <c r="AJ69">
        <v>253386.24359999999</v>
      </c>
      <c r="AK69">
        <v>264509.00869999902</v>
      </c>
      <c r="AL69">
        <v>276112.17949999898</v>
      </c>
      <c r="AM69">
        <v>288223.23559999902</v>
      </c>
      <c r="AN69">
        <v>300860.69540000003</v>
      </c>
      <c r="AO69">
        <v>314034.1054</v>
      </c>
      <c r="AP69">
        <v>327778.128499999</v>
      </c>
    </row>
    <row r="70" spans="1:42" x14ac:dyDescent="0.3">
      <c r="A70" t="s">
        <v>217</v>
      </c>
      <c r="B70">
        <v>4654.8978999999999</v>
      </c>
      <c r="C70">
        <v>4985.1057000000001</v>
      </c>
      <c r="D70">
        <v>5264.2914999999903</v>
      </c>
      <c r="E70">
        <v>5794.3772999999901</v>
      </c>
      <c r="F70">
        <v>6450.8338000000003</v>
      </c>
      <c r="G70">
        <v>7014.9988999999896</v>
      </c>
      <c r="H70">
        <v>7179.9400999999898</v>
      </c>
      <c r="I70">
        <v>7290.1588999999904</v>
      </c>
      <c r="J70">
        <v>7856.1966999999904</v>
      </c>
      <c r="K70">
        <v>8201.0848000000005</v>
      </c>
      <c r="L70">
        <v>8343.4084999999995</v>
      </c>
      <c r="M70">
        <v>8857.5823999999993</v>
      </c>
      <c r="N70">
        <v>9400.9495999999999</v>
      </c>
      <c r="O70">
        <v>10032.297699999999</v>
      </c>
      <c r="P70">
        <v>10749.514799999901</v>
      </c>
      <c r="Q70">
        <v>11532.598900000001</v>
      </c>
      <c r="R70">
        <v>12295.441199999999</v>
      </c>
      <c r="S70">
        <v>12990.5544999999</v>
      </c>
      <c r="T70">
        <v>13368.106299999999</v>
      </c>
      <c r="U70">
        <v>13976.723099999999</v>
      </c>
      <c r="V70">
        <v>14583.216700000001</v>
      </c>
      <c r="W70">
        <v>15230.6656999999</v>
      </c>
      <c r="X70">
        <v>15906.0891999999</v>
      </c>
      <c r="Y70">
        <v>16610.8982</v>
      </c>
      <c r="Z70">
        <v>17346.769400000001</v>
      </c>
      <c r="AA70">
        <v>18114.271499999901</v>
      </c>
      <c r="AB70">
        <v>18915.173999999999</v>
      </c>
      <c r="AC70">
        <v>19750.888500000001</v>
      </c>
      <c r="AD70">
        <v>20622.751899999901</v>
      </c>
      <c r="AE70">
        <v>21532.2952999999</v>
      </c>
      <c r="AF70">
        <v>22480.833399999901</v>
      </c>
      <c r="AG70">
        <v>23470.4578</v>
      </c>
      <c r="AH70">
        <v>24503.350899999899</v>
      </c>
      <c r="AI70">
        <v>25580.971399999999</v>
      </c>
      <c r="AJ70">
        <v>26705.619999999901</v>
      </c>
      <c r="AK70">
        <v>27877.474099999999</v>
      </c>
      <c r="AL70">
        <v>29098.8871</v>
      </c>
      <c r="AM70">
        <v>30373.447399999899</v>
      </c>
      <c r="AN70">
        <v>31704.861099999998</v>
      </c>
      <c r="AO70">
        <v>33095.358399999997</v>
      </c>
      <c r="AP70">
        <v>34529.649400000002</v>
      </c>
    </row>
    <row r="71" spans="1:42" x14ac:dyDescent="0.3">
      <c r="A71" t="s">
        <v>218</v>
      </c>
      <c r="B71">
        <v>5988.3715999999904</v>
      </c>
      <c r="C71">
        <v>6472.4154999999901</v>
      </c>
      <c r="D71">
        <v>6884.6297999999897</v>
      </c>
      <c r="E71">
        <v>6762.0464000000002</v>
      </c>
      <c r="F71">
        <v>7286.1315000000004</v>
      </c>
      <c r="G71">
        <v>8091.8973999999898</v>
      </c>
      <c r="H71">
        <v>7785.5514000000003</v>
      </c>
      <c r="I71">
        <v>7172.8243000000002</v>
      </c>
      <c r="J71">
        <v>7408.8728000000001</v>
      </c>
      <c r="K71">
        <v>7787.77519999999</v>
      </c>
      <c r="L71">
        <v>7768.2929999999997</v>
      </c>
      <c r="M71">
        <v>8352.2637999999897</v>
      </c>
      <c r="N71">
        <v>8799.0504000000001</v>
      </c>
      <c r="O71">
        <v>9243.5753000000004</v>
      </c>
      <c r="P71">
        <v>9793.0875999999898</v>
      </c>
      <c r="Q71">
        <v>10338.517599999999</v>
      </c>
      <c r="R71">
        <v>10905.780499999901</v>
      </c>
      <c r="S71">
        <v>11507.7726</v>
      </c>
      <c r="T71">
        <v>11925.9806999999</v>
      </c>
      <c r="U71">
        <v>12468.325800000001</v>
      </c>
      <c r="V71">
        <v>13010.1433</v>
      </c>
      <c r="W71">
        <v>13587.734</v>
      </c>
      <c r="X71">
        <v>14190.781199999999</v>
      </c>
      <c r="Y71">
        <v>14819.3729</v>
      </c>
      <c r="Z71">
        <v>15476.0018</v>
      </c>
      <c r="AA71">
        <v>16159.769199999901</v>
      </c>
      <c r="AB71">
        <v>16873.546300000002</v>
      </c>
      <c r="AC71">
        <v>17618.776999999998</v>
      </c>
      <c r="AD71">
        <v>18396.561499999902</v>
      </c>
      <c r="AE71">
        <v>19208.941299999999</v>
      </c>
      <c r="AF71">
        <v>20055.363599999899</v>
      </c>
      <c r="AG71">
        <v>20937.937699999999</v>
      </c>
      <c r="AH71">
        <v>21859.997299999999</v>
      </c>
      <c r="AI71">
        <v>22822.3498</v>
      </c>
      <c r="AJ71">
        <v>23827.876899999999</v>
      </c>
      <c r="AK71">
        <v>24876.1162999999</v>
      </c>
      <c r="AL71">
        <v>25969.379599999898</v>
      </c>
      <c r="AM71">
        <v>27109.5245</v>
      </c>
      <c r="AN71">
        <v>28298.3597999999</v>
      </c>
      <c r="AO71">
        <v>29540.2075</v>
      </c>
      <c r="AP71">
        <v>30835.197199999999</v>
      </c>
    </row>
    <row r="72" spans="1:42" x14ac:dyDescent="0.3">
      <c r="A72" t="s">
        <v>219</v>
      </c>
      <c r="B72">
        <v>117737.56389999999</v>
      </c>
      <c r="C72">
        <v>137040.35010000001</v>
      </c>
      <c r="D72">
        <v>166264.08399999901</v>
      </c>
      <c r="E72">
        <v>171551.79920000001</v>
      </c>
      <c r="F72">
        <v>218787.88190000001</v>
      </c>
      <c r="G72">
        <v>284890.99959999998</v>
      </c>
      <c r="H72">
        <v>297990.56400000001</v>
      </c>
      <c r="I72">
        <v>311599.2856</v>
      </c>
      <c r="J72">
        <v>354840.89959999901</v>
      </c>
      <c r="K72">
        <v>366946.50739999901</v>
      </c>
      <c r="L72">
        <v>349333.08279999997</v>
      </c>
      <c r="M72">
        <v>362607.78450000001</v>
      </c>
      <c r="N72">
        <v>380929.55420000001</v>
      </c>
      <c r="O72">
        <v>396936.19759999902</v>
      </c>
      <c r="P72">
        <v>411091.68670000002</v>
      </c>
      <c r="Q72">
        <v>427035.17200000002</v>
      </c>
      <c r="R72">
        <v>444800.60129999998</v>
      </c>
      <c r="S72">
        <v>464668.43949999899</v>
      </c>
      <c r="T72">
        <v>474742.51279999898</v>
      </c>
      <c r="U72">
        <v>489935.87969999999</v>
      </c>
      <c r="V72">
        <v>505611.90779999999</v>
      </c>
      <c r="W72">
        <v>521778.19750000001</v>
      </c>
      <c r="X72">
        <v>538458.50479999895</v>
      </c>
      <c r="Y72">
        <v>555666.44409999996</v>
      </c>
      <c r="Z72">
        <v>573435.83259999997</v>
      </c>
      <c r="AA72">
        <v>591753.51340000005</v>
      </c>
      <c r="AB72">
        <v>610670.14149999898</v>
      </c>
      <c r="AC72">
        <v>630188.79989999998</v>
      </c>
      <c r="AD72">
        <v>650344.53449999902</v>
      </c>
      <c r="AE72">
        <v>671160.13970000006</v>
      </c>
      <c r="AF72">
        <v>692614.92200000002</v>
      </c>
      <c r="AG72">
        <v>714759.98499999999</v>
      </c>
      <c r="AH72">
        <v>737633.03999999899</v>
      </c>
      <c r="AI72">
        <v>761247.99140000006</v>
      </c>
      <c r="AJ72">
        <v>785620.25910000002</v>
      </c>
      <c r="AK72">
        <v>810754.80099999998</v>
      </c>
      <c r="AL72">
        <v>836669.867499999</v>
      </c>
      <c r="AM72">
        <v>863453.70259999903</v>
      </c>
      <c r="AN72">
        <v>891090.34149999998</v>
      </c>
      <c r="AO72">
        <v>919639.14829999895</v>
      </c>
      <c r="AP72">
        <v>949091.81310000003</v>
      </c>
    </row>
    <row r="73" spans="1:42" x14ac:dyDescent="0.3">
      <c r="A73" t="s">
        <v>220</v>
      </c>
      <c r="B73">
        <v>18045.878499999901</v>
      </c>
      <c r="C73">
        <v>18487.7503</v>
      </c>
      <c r="D73">
        <v>15682.5025999999</v>
      </c>
      <c r="E73">
        <v>17878.970399999998</v>
      </c>
      <c r="F73">
        <v>17596.4879</v>
      </c>
      <c r="G73">
        <v>16499.665400000002</v>
      </c>
      <c r="H73">
        <v>16239.5443</v>
      </c>
      <c r="I73">
        <v>16090.733200000001</v>
      </c>
      <c r="J73">
        <v>18130.3999999999</v>
      </c>
      <c r="K73">
        <v>18696.069</v>
      </c>
      <c r="L73">
        <v>18519.702099999999</v>
      </c>
      <c r="M73">
        <v>19583.110400000001</v>
      </c>
      <c r="N73">
        <v>20751.7183</v>
      </c>
      <c r="O73">
        <v>21478.0281</v>
      </c>
      <c r="P73">
        <v>22533.6257999999</v>
      </c>
      <c r="Q73">
        <v>23659.662799999998</v>
      </c>
      <c r="R73">
        <v>24936.511399999999</v>
      </c>
      <c r="S73">
        <v>26183.100900000001</v>
      </c>
      <c r="T73">
        <v>28319.0884999999</v>
      </c>
      <c r="U73">
        <v>30060.682699999899</v>
      </c>
      <c r="V73">
        <v>31141.896199999901</v>
      </c>
      <c r="W73">
        <v>32628.951799999999</v>
      </c>
      <c r="X73">
        <v>34157.861100000002</v>
      </c>
      <c r="Y73">
        <v>35728.197999999997</v>
      </c>
      <c r="Z73">
        <v>37342.4353999999</v>
      </c>
      <c r="AA73">
        <v>39000.7694999999</v>
      </c>
      <c r="AB73">
        <v>40705.269899999999</v>
      </c>
      <c r="AC73">
        <v>42454.444199999904</v>
      </c>
      <c r="AD73">
        <v>44252.883300000001</v>
      </c>
      <c r="AE73">
        <v>46098.641299999901</v>
      </c>
      <c r="AF73">
        <v>47990.932200000003</v>
      </c>
      <c r="AG73">
        <v>49935.929300000003</v>
      </c>
      <c r="AH73">
        <v>51931.660600000003</v>
      </c>
      <c r="AI73">
        <v>53980.108899999999</v>
      </c>
      <c r="AJ73">
        <v>56080.366999999998</v>
      </c>
      <c r="AK73">
        <v>58233.1754</v>
      </c>
      <c r="AL73">
        <v>60442.371299999897</v>
      </c>
      <c r="AM73">
        <v>62707.751799999998</v>
      </c>
      <c r="AN73">
        <v>65029.527999999998</v>
      </c>
      <c r="AO73">
        <v>67409.302299999996</v>
      </c>
      <c r="AP73">
        <v>69844.566799999899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41D1-A2F5-49C4-8F40-A5AF3D00F479}">
  <sheetPr>
    <tabColor theme="6"/>
  </sheetPr>
  <dimension ref="A1:AP73"/>
  <sheetViews>
    <sheetView topLeftCell="W1" workbookViewId="0">
      <selection activeCell="AQ11" sqref="AQ11"/>
    </sheetView>
  </sheetViews>
  <sheetFormatPr defaultRowHeight="15.75" x14ac:dyDescent="0.3"/>
  <sheetData>
    <row r="1" spans="1:42" x14ac:dyDescent="0.3">
      <c r="A1" t="s">
        <v>149</v>
      </c>
    </row>
    <row r="2" spans="1:42" x14ac:dyDescent="0.3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3">
      <c r="A3" t="s">
        <v>150</v>
      </c>
      <c r="B3">
        <f>'Total exports'!B3/SUM('Total exports'!B$3:B$73)</f>
        <v>7.7975570746983726E-3</v>
      </c>
      <c r="C3">
        <f>'Total exports'!C3/SUM('Total exports'!C$3:C$73)</f>
        <v>7.9656748883160152E-3</v>
      </c>
      <c r="D3">
        <f>'Total exports'!D3/SUM('Total exports'!D$3:D$73)</f>
        <v>8.0547461469534839E-3</v>
      </c>
      <c r="E3">
        <f>'Total exports'!E3/SUM('Total exports'!E$3:E$73)</f>
        <v>7.7028151661267174E-3</v>
      </c>
      <c r="F3">
        <f>'Total exports'!F3/SUM('Total exports'!F$3:F$73)</f>
        <v>7.4895116953629286E-3</v>
      </c>
      <c r="G3">
        <f>'Total exports'!G3/SUM('Total exports'!G$3:G$73)</f>
        <v>7.3310010559945165E-3</v>
      </c>
      <c r="H3">
        <f>'Total exports'!H3/SUM('Total exports'!H$3:H$73)</f>
        <v>7.8715810165463623E-3</v>
      </c>
      <c r="I3">
        <f>'Total exports'!I3/SUM('Total exports'!I$3:I$73)</f>
        <v>8.0490869460249845E-3</v>
      </c>
      <c r="J3">
        <f>'Total exports'!J3/SUM('Total exports'!J$3:J$73)</f>
        <v>7.7428051146655125E-3</v>
      </c>
      <c r="K3">
        <f>'Total exports'!K3/SUM('Total exports'!K$3:K$73)</f>
        <v>7.7617852862904568E-3</v>
      </c>
      <c r="L3">
        <f>'Total exports'!L3/SUM('Total exports'!L$3:L$73)</f>
        <v>7.4543746773263874E-3</v>
      </c>
      <c r="M3">
        <f>'Total exports'!M3/SUM('Total exports'!M$3:M$73)</f>
        <v>8.5604579454401E-3</v>
      </c>
      <c r="N3">
        <f>'Total exports'!N3/SUM('Total exports'!N$3:N$73)</f>
        <v>9.561739043032964E-3</v>
      </c>
      <c r="O3">
        <f>'Total exports'!O3/SUM('Total exports'!O$3:O$73)</f>
        <v>9.3146730110566806E-3</v>
      </c>
      <c r="P3">
        <f>'Total exports'!P3/SUM('Total exports'!P$3:P$73)</f>
        <v>9.1362262934542963E-3</v>
      </c>
      <c r="Q3">
        <f>'Total exports'!Q3/SUM('Total exports'!Q$3:Q$73)</f>
        <v>9.0911793806248281E-3</v>
      </c>
      <c r="R3">
        <f>'Total exports'!R3/SUM('Total exports'!R$3:R$73)</f>
        <v>8.9570498012590677E-3</v>
      </c>
      <c r="S3">
        <f>'Total exports'!S3/SUM('Total exports'!S$3:S$73)</f>
        <v>8.8206794767874113E-3</v>
      </c>
      <c r="T3">
        <f>'Total exports'!T3/SUM('Total exports'!T$3:T$73)</f>
        <v>8.6077705840296257E-3</v>
      </c>
      <c r="U3">
        <f>'Total exports'!U3/SUM('Total exports'!U$3:U$73)</f>
        <v>8.4241798920542624E-3</v>
      </c>
      <c r="V3">
        <f>'Total exports'!V3/SUM('Total exports'!V$3:V$73)</f>
        <v>8.3657623547365462E-3</v>
      </c>
      <c r="W3">
        <f>'Total exports'!W3/SUM('Total exports'!W$3:W$73)</f>
        <v>8.249556467101668E-3</v>
      </c>
      <c r="X3">
        <f>'Total exports'!X3/SUM('Total exports'!X$3:X$73)</f>
        <v>8.1342204393030498E-3</v>
      </c>
      <c r="Y3">
        <f>'Total exports'!Y3/SUM('Total exports'!Y$3:Y$73)</f>
        <v>8.0213245648143722E-3</v>
      </c>
      <c r="Z3">
        <f>'Total exports'!Z3/SUM('Total exports'!Z$3:Z$73)</f>
        <v>7.9137797874210148E-3</v>
      </c>
      <c r="AA3">
        <f>'Total exports'!AA3/SUM('Total exports'!AA$3:AA$73)</f>
        <v>7.8124716520390882E-3</v>
      </c>
      <c r="AB3">
        <f>'Total exports'!AB3/SUM('Total exports'!AB$3:AB$73)</f>
        <v>7.7169080737403417E-3</v>
      </c>
      <c r="AC3">
        <f>'Total exports'!AC3/SUM('Total exports'!AC$3:AC$73)</f>
        <v>7.6266804848836647E-3</v>
      </c>
      <c r="AD3">
        <f>'Total exports'!AD3/SUM('Total exports'!AD$3:AD$73)</f>
        <v>7.5418635538184019E-3</v>
      </c>
      <c r="AE3">
        <f>'Total exports'!AE3/SUM('Total exports'!AE$3:AE$73)</f>
        <v>7.4622286193096188E-3</v>
      </c>
      <c r="AF3">
        <f>'Total exports'!AF3/SUM('Total exports'!AF$3:AF$73)</f>
        <v>7.3904518185706558E-3</v>
      </c>
      <c r="AG3">
        <f>'Total exports'!AG3/SUM('Total exports'!AG$3:AG$73)</f>
        <v>7.3170337922157519E-3</v>
      </c>
      <c r="AH3">
        <f>'Total exports'!AH3/SUM('Total exports'!AH$3:AH$73)</f>
        <v>7.2425964403782959E-3</v>
      </c>
      <c r="AI3">
        <f>'Total exports'!AI3/SUM('Total exports'!AI$3:AI$73)</f>
        <v>7.1646598984805143E-3</v>
      </c>
      <c r="AJ3">
        <f>'Total exports'!AJ3/SUM('Total exports'!AJ$3:AJ$73)</f>
        <v>7.084022103830391E-3</v>
      </c>
      <c r="AK3">
        <f>'Total exports'!AK3/SUM('Total exports'!AK$3:AK$73)</f>
        <v>7.0021481201115046E-3</v>
      </c>
      <c r="AL3">
        <f>'Total exports'!AL3/SUM('Total exports'!AL$3:AL$73)</f>
        <v>6.9183284403731872E-3</v>
      </c>
      <c r="AM3">
        <f>'Total exports'!AM3/SUM('Total exports'!AM$3:AM$73)</f>
        <v>6.8326704916798139E-3</v>
      </c>
      <c r="AN3">
        <f>'Total exports'!AN3/SUM('Total exports'!AN$3:AN$73)</f>
        <v>6.7461708416003191E-3</v>
      </c>
      <c r="AO3">
        <f>'Total exports'!AO3/SUM('Total exports'!AO$3:AO$73)</f>
        <v>6.6601853337139652E-3</v>
      </c>
      <c r="AP3">
        <f>'Total exports'!AP3/SUM('Total exports'!AP$3:AP$73)</f>
        <v>6.5740169766276401E-3</v>
      </c>
    </row>
    <row r="4" spans="1:42" x14ac:dyDescent="0.3">
      <c r="A4" t="s">
        <v>151</v>
      </c>
      <c r="B4">
        <f>'Total exports'!B4/SUM('Total exports'!B$3:B$73)</f>
        <v>4.8088782371406343E-3</v>
      </c>
      <c r="C4">
        <f>'Total exports'!C4/SUM('Total exports'!C$3:C$73)</f>
        <v>4.9631124137071809E-3</v>
      </c>
      <c r="D4">
        <f>'Total exports'!D4/SUM('Total exports'!D$3:D$73)</f>
        <v>5.2528548543102575E-3</v>
      </c>
      <c r="E4">
        <f>'Total exports'!E4/SUM('Total exports'!E$3:E$73)</f>
        <v>5.1823496528245749E-3</v>
      </c>
      <c r="F4">
        <f>'Total exports'!F4/SUM('Total exports'!F$3:F$73)</f>
        <v>5.113007733986423E-3</v>
      </c>
      <c r="G4">
        <f>'Total exports'!G4/SUM('Total exports'!G$3:G$73)</f>
        <v>5.382464818458459E-3</v>
      </c>
      <c r="H4">
        <f>'Total exports'!H4/SUM('Total exports'!H$3:H$73)</f>
        <v>5.0654293887698537E-3</v>
      </c>
      <c r="I4">
        <f>'Total exports'!I4/SUM('Total exports'!I$3:I$73)</f>
        <v>5.2018641659491533E-3</v>
      </c>
      <c r="J4">
        <f>'Total exports'!J4/SUM('Total exports'!J$3:J$73)</f>
        <v>5.2797649701901515E-3</v>
      </c>
      <c r="K4">
        <f>'Total exports'!K4/SUM('Total exports'!K$3:K$73)</f>
        <v>5.4447962297378876E-3</v>
      </c>
      <c r="L4">
        <f>'Total exports'!L4/SUM('Total exports'!L$3:L$73)</f>
        <v>5.3820228510410547E-3</v>
      </c>
      <c r="M4">
        <f>'Total exports'!M4/SUM('Total exports'!M$3:M$73)</f>
        <v>5.8819325935049122E-3</v>
      </c>
      <c r="N4">
        <f>'Total exports'!N4/SUM('Total exports'!N$3:N$73)</f>
        <v>7.3220196534832076E-3</v>
      </c>
      <c r="O4">
        <f>'Total exports'!O4/SUM('Total exports'!O$3:O$73)</f>
        <v>7.6835977041814158E-3</v>
      </c>
      <c r="P4">
        <f>'Total exports'!P4/SUM('Total exports'!P$3:P$73)</f>
        <v>7.6198906392831644E-3</v>
      </c>
      <c r="Q4">
        <f>'Total exports'!Q4/SUM('Total exports'!Q$3:Q$73)</f>
        <v>7.5275472611161902E-3</v>
      </c>
      <c r="R4">
        <f>'Total exports'!R4/SUM('Total exports'!R$3:R$73)</f>
        <v>7.3739404774628564E-3</v>
      </c>
      <c r="S4">
        <f>'Total exports'!S4/SUM('Total exports'!S$3:S$73)</f>
        <v>7.215659129529978E-3</v>
      </c>
      <c r="T4">
        <f>'Total exports'!T4/SUM('Total exports'!T$3:T$73)</f>
        <v>7.007906347860895E-3</v>
      </c>
      <c r="U4">
        <f>'Total exports'!U4/SUM('Total exports'!U$3:U$73)</f>
        <v>6.8392250870967794E-3</v>
      </c>
      <c r="V4">
        <f>'Total exports'!V4/SUM('Total exports'!V$3:V$73)</f>
        <v>6.7732533227810223E-3</v>
      </c>
      <c r="W4">
        <f>'Total exports'!W4/SUM('Total exports'!W$3:W$73)</f>
        <v>6.6763977077255584E-3</v>
      </c>
      <c r="X4">
        <f>'Total exports'!X4/SUM('Total exports'!X$3:X$73)</f>
        <v>6.5857070737036982E-3</v>
      </c>
      <c r="Y4">
        <f>'Total exports'!Y4/SUM('Total exports'!Y$3:Y$73)</f>
        <v>6.4960935602576099E-3</v>
      </c>
      <c r="Z4">
        <f>'Total exports'!Z4/SUM('Total exports'!Z$3:Z$73)</f>
        <v>6.4095578096990619E-3</v>
      </c>
      <c r="AA4">
        <f>'Total exports'!AA4/SUM('Total exports'!AA$3:AA$73)</f>
        <v>6.3267957875066949E-3</v>
      </c>
      <c r="AB4">
        <f>'Total exports'!AB4/SUM('Total exports'!AB$3:AB$73)</f>
        <v>6.2480691918242806E-3</v>
      </c>
      <c r="AC4">
        <f>'Total exports'!AC4/SUM('Total exports'!AC$3:AC$73)</f>
        <v>6.1723536925672486E-3</v>
      </c>
      <c r="AD4">
        <f>'Total exports'!AD4/SUM('Total exports'!AD$3:AD$73)</f>
        <v>6.100807633180166E-3</v>
      </c>
      <c r="AE4">
        <f>'Total exports'!AE4/SUM('Total exports'!AE$3:AE$73)</f>
        <v>6.0335790740253577E-3</v>
      </c>
      <c r="AF4">
        <f>'Total exports'!AF4/SUM('Total exports'!AF$3:AF$73)</f>
        <v>5.9722726004937049E-3</v>
      </c>
      <c r="AG4">
        <f>'Total exports'!AG4/SUM('Total exports'!AG$3:AG$73)</f>
        <v>5.9128180734165595E-3</v>
      </c>
      <c r="AH4">
        <f>'Total exports'!AH4/SUM('Total exports'!AH$3:AH$73)</f>
        <v>5.8541172019135968E-3</v>
      </c>
      <c r="AI4">
        <f>'Total exports'!AI4/SUM('Total exports'!AI$3:AI$73)</f>
        <v>5.7959483343503169E-3</v>
      </c>
      <c r="AJ4">
        <f>'Total exports'!AJ4/SUM('Total exports'!AJ$3:AJ$73)</f>
        <v>5.7388508288169597E-3</v>
      </c>
      <c r="AK4">
        <f>'Total exports'!AK4/SUM('Total exports'!AK$3:AK$73)</f>
        <v>5.6821002174393146E-3</v>
      </c>
      <c r="AL4">
        <f>'Total exports'!AL4/SUM('Total exports'!AL$3:AL$73)</f>
        <v>5.6258232276307583E-3</v>
      </c>
      <c r="AM4">
        <f>'Total exports'!AM4/SUM('Total exports'!AM$3:AM$73)</f>
        <v>5.5702200633681873E-3</v>
      </c>
      <c r="AN4">
        <f>'Total exports'!AN4/SUM('Total exports'!AN$3:AN$73)</f>
        <v>5.5147656766810259E-3</v>
      </c>
      <c r="AO4">
        <f>'Total exports'!AO4/SUM('Total exports'!AO$3:AO$73)</f>
        <v>5.4596198164579149E-3</v>
      </c>
      <c r="AP4">
        <f>'Total exports'!AP4/SUM('Total exports'!AP$3:AP$73)</f>
        <v>5.4045149756686769E-3</v>
      </c>
    </row>
    <row r="5" spans="1:42" x14ac:dyDescent="0.3">
      <c r="A5" t="s">
        <v>152</v>
      </c>
      <c r="B5">
        <f>'Total exports'!B5/SUM('Total exports'!B$3:B$73)</f>
        <v>4.259224230197281E-2</v>
      </c>
      <c r="C5">
        <f>'Total exports'!C5/SUM('Total exports'!C$3:C$73)</f>
        <v>4.4609890785440122E-2</v>
      </c>
      <c r="D5">
        <f>'Total exports'!D5/SUM('Total exports'!D$3:D$73)</f>
        <v>4.767234098758364E-2</v>
      </c>
      <c r="E5">
        <f>'Total exports'!E5/SUM('Total exports'!E$3:E$73)</f>
        <v>4.5657762393569973E-2</v>
      </c>
      <c r="F5">
        <f>'Total exports'!F5/SUM('Total exports'!F$3:F$73)</f>
        <v>4.4593669389844826E-2</v>
      </c>
      <c r="G5">
        <f>'Total exports'!G5/SUM('Total exports'!G$3:G$73)</f>
        <v>4.6895866840740472E-2</v>
      </c>
      <c r="H5">
        <f>'Total exports'!H5/SUM('Total exports'!H$3:H$73)</f>
        <v>4.6647593375778659E-2</v>
      </c>
      <c r="I5">
        <f>'Total exports'!I5/SUM('Total exports'!I$3:I$73)</f>
        <v>4.7255989556075843E-2</v>
      </c>
      <c r="J5">
        <f>'Total exports'!J5/SUM('Total exports'!J$3:J$73)</f>
        <v>4.5987998830399938E-2</v>
      </c>
      <c r="K5">
        <f>'Total exports'!K5/SUM('Total exports'!K$3:K$73)</f>
        <v>4.5939582912916728E-2</v>
      </c>
      <c r="L5">
        <f>'Total exports'!L5/SUM('Total exports'!L$3:L$73)</f>
        <v>4.3413636972587571E-2</v>
      </c>
      <c r="M5">
        <f>'Total exports'!M5/SUM('Total exports'!M$3:M$73)</f>
        <v>4.6743550204059577E-2</v>
      </c>
      <c r="N5">
        <f>'Total exports'!N5/SUM('Total exports'!N$3:N$73)</f>
        <v>5.0745189609129389E-2</v>
      </c>
      <c r="O5">
        <f>'Total exports'!O5/SUM('Total exports'!O$3:O$73)</f>
        <v>4.9330960291071681E-2</v>
      </c>
      <c r="P5">
        <f>'Total exports'!P5/SUM('Total exports'!P$3:P$73)</f>
        <v>4.8704794342317163E-2</v>
      </c>
      <c r="Q5">
        <f>'Total exports'!Q5/SUM('Total exports'!Q$3:Q$73)</f>
        <v>4.859777870332134E-2</v>
      </c>
      <c r="R5">
        <f>'Total exports'!R5/SUM('Total exports'!R$3:R$73)</f>
        <v>4.7720990392783109E-2</v>
      </c>
      <c r="S5">
        <f>'Total exports'!S5/SUM('Total exports'!S$3:S$73)</f>
        <v>4.6881889607333152E-2</v>
      </c>
      <c r="T5">
        <f>'Total exports'!T5/SUM('Total exports'!T$3:T$73)</f>
        <v>4.5656712766663339E-2</v>
      </c>
      <c r="U5">
        <f>'Total exports'!U5/SUM('Total exports'!U$3:U$73)</f>
        <v>4.4594952850861895E-2</v>
      </c>
      <c r="V5">
        <f>'Total exports'!V5/SUM('Total exports'!V$3:V$73)</f>
        <v>4.4101809454857359E-2</v>
      </c>
      <c r="W5">
        <f>'Total exports'!W5/SUM('Total exports'!W$3:W$73)</f>
        <v>4.3311125934932256E-2</v>
      </c>
      <c r="X5">
        <f>'Total exports'!X5/SUM('Total exports'!X$3:X$73)</f>
        <v>4.2558917728020555E-2</v>
      </c>
      <c r="Y5">
        <f>'Total exports'!Y5/SUM('Total exports'!Y$3:Y$73)</f>
        <v>4.1847333416717918E-2</v>
      </c>
      <c r="Z5">
        <f>'Total exports'!Z5/SUM('Total exports'!Z$3:Z$73)</f>
        <v>4.1180992303069486E-2</v>
      </c>
      <c r="AA5">
        <f>'Total exports'!AA5/SUM('Total exports'!AA$3:AA$73)</f>
        <v>4.0569941273901844E-2</v>
      </c>
      <c r="AB5">
        <f>'Total exports'!AB5/SUM('Total exports'!AB$3:AB$73)</f>
        <v>4.0018677027030859E-2</v>
      </c>
      <c r="AC5">
        <f>'Total exports'!AC5/SUM('Total exports'!AC$3:AC$73)</f>
        <v>3.951908853841251E-2</v>
      </c>
      <c r="AD5">
        <f>'Total exports'!AD5/SUM('Total exports'!AD$3:AD$73)</f>
        <v>3.9056814608652499E-2</v>
      </c>
      <c r="AE5">
        <f>'Total exports'!AE5/SUM('Total exports'!AE$3:AE$73)</f>
        <v>3.8620021346112629E-2</v>
      </c>
      <c r="AF5">
        <f>'Total exports'!AF5/SUM('Total exports'!AF$3:AF$73)</f>
        <v>3.8221778726609146E-2</v>
      </c>
      <c r="AG5">
        <f>'Total exports'!AG5/SUM('Total exports'!AG$3:AG$73)</f>
        <v>3.7832655234624223E-2</v>
      </c>
      <c r="AH5">
        <f>'Total exports'!AH5/SUM('Total exports'!AH$3:AH$73)</f>
        <v>3.7446630584221575E-2</v>
      </c>
      <c r="AI5">
        <f>'Total exports'!AI5/SUM('Total exports'!AI$3:AI$73)</f>
        <v>3.7048420853362386E-2</v>
      </c>
      <c r="AJ5">
        <f>'Total exports'!AJ5/SUM('Total exports'!AJ$3:AJ$73)</f>
        <v>3.6640424899544229E-2</v>
      </c>
      <c r="AK5">
        <f>'Total exports'!AK5/SUM('Total exports'!AK$3:AK$73)</f>
        <v>3.62232762942001E-2</v>
      </c>
      <c r="AL5">
        <f>'Total exports'!AL5/SUM('Total exports'!AL$3:AL$73)</f>
        <v>3.5797004199754588E-2</v>
      </c>
      <c r="AM5">
        <f>'Total exports'!AM5/SUM('Total exports'!AM$3:AM$73)</f>
        <v>3.5358925175479602E-2</v>
      </c>
      <c r="AN5">
        <f>'Total exports'!AN5/SUM('Total exports'!AN$3:AN$73)</f>
        <v>3.4911415659601312E-2</v>
      </c>
      <c r="AO5">
        <f>'Total exports'!AO5/SUM('Total exports'!AO$3:AO$73)</f>
        <v>3.4457277254271682E-2</v>
      </c>
      <c r="AP5">
        <f>'Total exports'!AP5/SUM('Total exports'!AP$3:AP$73)</f>
        <v>3.3995793865174144E-2</v>
      </c>
    </row>
    <row r="6" spans="1:42" x14ac:dyDescent="0.3">
      <c r="A6" t="s">
        <v>153</v>
      </c>
      <c r="B6">
        <f>'Total exports'!B6/SUM('Total exports'!B$3:B$73)</f>
        <v>2.2591858418986427E-3</v>
      </c>
      <c r="C6">
        <f>'Total exports'!C6/SUM('Total exports'!C$3:C$73)</f>
        <v>2.1283000980397431E-3</v>
      </c>
      <c r="D6">
        <f>'Total exports'!D6/SUM('Total exports'!D$3:D$73)</f>
        <v>2.3208133691326616E-3</v>
      </c>
      <c r="E6">
        <f>'Total exports'!E6/SUM('Total exports'!E$3:E$73)</f>
        <v>2.1178270917885269E-3</v>
      </c>
      <c r="F6">
        <f>'Total exports'!F6/SUM('Total exports'!F$3:F$73)</f>
        <v>2.0462260475896722E-3</v>
      </c>
      <c r="G6">
        <f>'Total exports'!G6/SUM('Total exports'!G$3:G$73)</f>
        <v>2.0575605994312299E-3</v>
      </c>
      <c r="H6">
        <f>'Total exports'!H6/SUM('Total exports'!H$3:H$73)</f>
        <v>1.8788076415278035E-3</v>
      </c>
      <c r="I6">
        <f>'Total exports'!I6/SUM('Total exports'!I$3:I$73)</f>
        <v>2.1402520470023942E-3</v>
      </c>
      <c r="J6">
        <f>'Total exports'!J6/SUM('Total exports'!J$3:J$73)</f>
        <v>2.3589708406561894E-3</v>
      </c>
      <c r="K6">
        <f>'Total exports'!K6/SUM('Total exports'!K$3:K$73)</f>
        <v>2.4070084130361383E-3</v>
      </c>
      <c r="L6">
        <f>'Total exports'!L6/SUM('Total exports'!L$3:L$73)</f>
        <v>1.810630634828255E-3</v>
      </c>
      <c r="M6">
        <f>'Total exports'!M6/SUM('Total exports'!M$3:M$73)</f>
        <v>2.3689956653842746E-3</v>
      </c>
      <c r="N6">
        <f>'Total exports'!N6/SUM('Total exports'!N$3:N$73)</f>
        <v>3.044055414575946E-3</v>
      </c>
      <c r="O6">
        <f>'Total exports'!O6/SUM('Total exports'!O$3:O$73)</f>
        <v>3.1237723102644408E-3</v>
      </c>
      <c r="P6">
        <f>'Total exports'!P6/SUM('Total exports'!P$3:P$73)</f>
        <v>3.1746379773038417E-3</v>
      </c>
      <c r="Q6">
        <f>'Total exports'!Q6/SUM('Total exports'!Q$3:Q$73)</f>
        <v>3.187409216167684E-3</v>
      </c>
      <c r="R6">
        <f>'Total exports'!R6/SUM('Total exports'!R$3:R$73)</f>
        <v>3.1369982494264775E-3</v>
      </c>
      <c r="S6">
        <f>'Total exports'!S6/SUM('Total exports'!S$3:S$73)</f>
        <v>3.0869770611905495E-3</v>
      </c>
      <c r="T6">
        <f>'Total exports'!T6/SUM('Total exports'!T$3:T$73)</f>
        <v>3.0088181234613721E-3</v>
      </c>
      <c r="U6">
        <f>'Total exports'!U6/SUM('Total exports'!U$3:U$73)</f>
        <v>2.9388674735383196E-3</v>
      </c>
      <c r="V6">
        <f>'Total exports'!V6/SUM('Total exports'!V$3:V$73)</f>
        <v>2.9042667190076776E-3</v>
      </c>
      <c r="W6">
        <f>'Total exports'!W6/SUM('Total exports'!W$3:W$73)</f>
        <v>2.8452614476463158E-3</v>
      </c>
      <c r="X6">
        <f>'Total exports'!X6/SUM('Total exports'!X$3:X$73)</f>
        <v>2.7872594253424776E-3</v>
      </c>
      <c r="Y6">
        <f>'Total exports'!Y6/SUM('Total exports'!Y$3:Y$73)</f>
        <v>2.7323521773121662E-3</v>
      </c>
      <c r="Z6">
        <f>'Total exports'!Z6/SUM('Total exports'!Z$3:Z$73)</f>
        <v>2.680083247859566E-3</v>
      </c>
      <c r="AA6">
        <f>'Total exports'!AA6/SUM('Total exports'!AA$3:AA$73)</f>
        <v>2.631383655316425E-3</v>
      </c>
      <c r="AB6">
        <f>'Total exports'!AB6/SUM('Total exports'!AB$3:AB$73)</f>
        <v>2.5852073990495763E-3</v>
      </c>
      <c r="AC6">
        <f>'Total exports'!AC6/SUM('Total exports'!AC$3:AC$73)</f>
        <v>2.542153410976081E-3</v>
      </c>
      <c r="AD6">
        <f>'Total exports'!AD6/SUM('Total exports'!AD$3:AD$73)</f>
        <v>2.5015223280738497E-3</v>
      </c>
      <c r="AE6">
        <f>'Total exports'!AE6/SUM('Total exports'!AE$3:AE$73)</f>
        <v>2.4630738977769601E-3</v>
      </c>
      <c r="AF6">
        <f>'Total exports'!AF6/SUM('Total exports'!AF$3:AF$73)</f>
        <v>2.4279190377174712E-3</v>
      </c>
      <c r="AG6">
        <f>'Total exports'!AG6/SUM('Total exports'!AG$3:AG$73)</f>
        <v>2.392609073803962E-3</v>
      </c>
      <c r="AH6">
        <f>'Total exports'!AH6/SUM('Total exports'!AH$3:AH$73)</f>
        <v>2.358616327555684E-3</v>
      </c>
      <c r="AI6">
        <f>'Total exports'!AI6/SUM('Total exports'!AI$3:AI$73)</f>
        <v>2.3250610065143895E-3</v>
      </c>
      <c r="AJ6">
        <f>'Total exports'!AJ6/SUM('Total exports'!AJ$3:AJ$73)</f>
        <v>2.2923042977688029E-3</v>
      </c>
      <c r="AK6">
        <f>'Total exports'!AK6/SUM('Total exports'!AK$3:AK$73)</f>
        <v>2.2604144081198874E-3</v>
      </c>
      <c r="AL6">
        <f>'Total exports'!AL6/SUM('Total exports'!AL$3:AL$73)</f>
        <v>2.2288631942662023E-3</v>
      </c>
      <c r="AM6">
        <f>'Total exports'!AM6/SUM('Total exports'!AM$3:AM$73)</f>
        <v>2.1982716438392214E-3</v>
      </c>
      <c r="AN6">
        <f>'Total exports'!AN6/SUM('Total exports'!AN$3:AN$73)</f>
        <v>2.1687110874928986E-3</v>
      </c>
      <c r="AO6">
        <f>'Total exports'!AO6/SUM('Total exports'!AO$3:AO$73)</f>
        <v>2.1388425328106191E-3</v>
      </c>
      <c r="AP6">
        <f>'Total exports'!AP6/SUM('Total exports'!AP$3:AP$73)</f>
        <v>2.1088099249953812E-3</v>
      </c>
    </row>
    <row r="7" spans="1:42" x14ac:dyDescent="0.3">
      <c r="A7" t="s">
        <v>154</v>
      </c>
      <c r="B7">
        <f>'Total exports'!B7/SUM('Total exports'!B$3:B$73)</f>
        <v>1.114034956438982E-2</v>
      </c>
      <c r="C7">
        <f>'Total exports'!C7/SUM('Total exports'!C$3:C$73)</f>
        <v>1.1719439875549407E-2</v>
      </c>
      <c r="D7">
        <f>'Total exports'!D7/SUM('Total exports'!D$3:D$73)</f>
        <v>1.1753135936865822E-2</v>
      </c>
      <c r="E7">
        <f>'Total exports'!E7/SUM('Total exports'!E$3:E$73)</f>
        <v>1.1544982786520504E-2</v>
      </c>
      <c r="F7">
        <f>'Total exports'!F7/SUM('Total exports'!F$3:F$73)</f>
        <v>1.6345563117694452E-2</v>
      </c>
      <c r="G7">
        <f>'Total exports'!G7/SUM('Total exports'!G$3:G$73)</f>
        <v>1.6939571898522032E-2</v>
      </c>
      <c r="H7">
        <f>'Total exports'!H7/SUM('Total exports'!H$3:H$73)</f>
        <v>1.7592324986505866E-2</v>
      </c>
      <c r="I7">
        <f>'Total exports'!I7/SUM('Total exports'!I$3:I$73)</f>
        <v>1.809110499128903E-2</v>
      </c>
      <c r="J7">
        <f>'Total exports'!J7/SUM('Total exports'!J$3:J$73)</f>
        <v>1.7948926048935405E-2</v>
      </c>
      <c r="K7">
        <f>'Total exports'!K7/SUM('Total exports'!K$3:K$73)</f>
        <v>1.7917092440687236E-2</v>
      </c>
      <c r="L7">
        <f>'Total exports'!L7/SUM('Total exports'!L$3:L$73)</f>
        <v>1.4840326999804192E-2</v>
      </c>
      <c r="M7">
        <f>'Total exports'!M7/SUM('Total exports'!M$3:M$73)</f>
        <v>1.67682056253021E-2</v>
      </c>
      <c r="N7">
        <f>'Total exports'!N7/SUM('Total exports'!N$3:N$73)</f>
        <v>2.0775552844160071E-2</v>
      </c>
      <c r="O7">
        <f>'Total exports'!O7/SUM('Total exports'!O$3:O$73)</f>
        <v>2.0694128100579127E-2</v>
      </c>
      <c r="P7">
        <f>'Total exports'!P7/SUM('Total exports'!P$3:P$73)</f>
        <v>2.0639896824161317E-2</v>
      </c>
      <c r="Q7">
        <f>'Total exports'!Q7/SUM('Total exports'!Q$3:Q$73)</f>
        <v>2.069072402835238E-2</v>
      </c>
      <c r="R7">
        <f>'Total exports'!R7/SUM('Total exports'!R$3:R$73)</f>
        <v>2.0407174568375059E-2</v>
      </c>
      <c r="S7">
        <f>'Total exports'!S7/SUM('Total exports'!S$3:S$73)</f>
        <v>2.0123389261407384E-2</v>
      </c>
      <c r="T7">
        <f>'Total exports'!T7/SUM('Total exports'!T$3:T$73)</f>
        <v>1.9644675776459689E-2</v>
      </c>
      <c r="U7">
        <f>'Total exports'!U7/SUM('Total exports'!U$3:U$73)</f>
        <v>1.9231499911881712E-2</v>
      </c>
      <c r="V7">
        <f>'Total exports'!V7/SUM('Total exports'!V$3:V$73)</f>
        <v>1.9053108649749691E-2</v>
      </c>
      <c r="W7">
        <f>'Total exports'!W7/SUM('Total exports'!W$3:W$73)</f>
        <v>1.8732053755165269E-2</v>
      </c>
      <c r="X7">
        <f>'Total exports'!X7/SUM('Total exports'!X$3:X$73)</f>
        <v>1.8402609004234353E-2</v>
      </c>
      <c r="Y7">
        <f>'Total exports'!Y7/SUM('Total exports'!Y$3:Y$73)</f>
        <v>1.8093832494207603E-2</v>
      </c>
      <c r="Z7">
        <f>'Total exports'!Z7/SUM('Total exports'!Z$3:Z$73)</f>
        <v>1.7814612353043914E-2</v>
      </c>
      <c r="AA7">
        <f>'Total exports'!AA7/SUM('Total exports'!AA$3:AA$73)</f>
        <v>1.755282558827503E-2</v>
      </c>
      <c r="AB7">
        <f>'Total exports'!AB7/SUM('Total exports'!AB$3:AB$73)</f>
        <v>1.731425749034405E-2</v>
      </c>
      <c r="AC7">
        <f>'Total exports'!AC7/SUM('Total exports'!AC$3:AC$73)</f>
        <v>1.7106066237296495E-2</v>
      </c>
      <c r="AD7">
        <f>'Total exports'!AD7/SUM('Total exports'!AD$3:AD$73)</f>
        <v>1.6913781052646321E-2</v>
      </c>
      <c r="AE7">
        <f>'Total exports'!AE7/SUM('Total exports'!AE$3:AE$73)</f>
        <v>1.6742250087430442E-2</v>
      </c>
      <c r="AF7">
        <f>'Total exports'!AF7/SUM('Total exports'!AF$3:AF$73)</f>
        <v>1.6583940667831441E-2</v>
      </c>
      <c r="AG7">
        <f>'Total exports'!AG7/SUM('Total exports'!AG$3:AG$73)</f>
        <v>1.6411324081123124E-2</v>
      </c>
      <c r="AH7">
        <f>'Total exports'!AH7/SUM('Total exports'!AH$3:AH$73)</f>
        <v>1.6229937107981231E-2</v>
      </c>
      <c r="AI7">
        <f>'Total exports'!AI7/SUM('Total exports'!AI$3:AI$73)</f>
        <v>1.6041071459352522E-2</v>
      </c>
      <c r="AJ7">
        <f>'Total exports'!AJ7/SUM('Total exports'!AJ$3:AJ$73)</f>
        <v>1.5848107619848124E-2</v>
      </c>
      <c r="AK7">
        <f>'Total exports'!AK7/SUM('Total exports'!AK$3:AK$73)</f>
        <v>1.5653714398850993E-2</v>
      </c>
      <c r="AL7">
        <f>'Total exports'!AL7/SUM('Total exports'!AL$3:AL$73)</f>
        <v>1.5460742644840099E-2</v>
      </c>
      <c r="AM7">
        <f>'Total exports'!AM7/SUM('Total exports'!AM$3:AM$73)</f>
        <v>1.5271942133085727E-2</v>
      </c>
      <c r="AN7">
        <f>'Total exports'!AN7/SUM('Total exports'!AN$3:AN$73)</f>
        <v>1.5089052478306785E-2</v>
      </c>
      <c r="AO7">
        <f>'Total exports'!AO7/SUM('Total exports'!AO$3:AO$73)</f>
        <v>1.4902931237264589E-2</v>
      </c>
      <c r="AP7">
        <f>'Total exports'!AP7/SUM('Total exports'!AP$3:AP$73)</f>
        <v>1.4715882846862536E-2</v>
      </c>
    </row>
    <row r="8" spans="1:42" x14ac:dyDescent="0.3">
      <c r="A8" t="s">
        <v>155</v>
      </c>
      <c r="B8">
        <f>'Total exports'!B8/SUM('Total exports'!B$3:B$73)</f>
        <v>2.091682300058147E-2</v>
      </c>
      <c r="C8">
        <f>'Total exports'!C8/SUM('Total exports'!C$3:C$73)</f>
        <v>2.0871283150583182E-2</v>
      </c>
      <c r="D8">
        <f>'Total exports'!D8/SUM('Total exports'!D$3:D$73)</f>
        <v>2.1967293756794456E-2</v>
      </c>
      <c r="E8">
        <f>'Total exports'!E8/SUM('Total exports'!E$3:E$73)</f>
        <v>2.1854279730763922E-2</v>
      </c>
      <c r="F8">
        <f>'Total exports'!F8/SUM('Total exports'!F$3:F$73)</f>
        <v>2.103935092684962E-2</v>
      </c>
      <c r="G8">
        <f>'Total exports'!G8/SUM('Total exports'!G$3:G$73)</f>
        <v>2.1912445123698315E-2</v>
      </c>
      <c r="H8">
        <f>'Total exports'!H8/SUM('Total exports'!H$3:H$73)</f>
        <v>2.140731074774881E-2</v>
      </c>
      <c r="I8">
        <f>'Total exports'!I8/SUM('Total exports'!I$3:I$73)</f>
        <v>2.1578055928653618E-2</v>
      </c>
      <c r="J8">
        <f>'Total exports'!J8/SUM('Total exports'!J$3:J$73)</f>
        <v>2.1681726814051453E-2</v>
      </c>
      <c r="K8">
        <f>'Total exports'!K8/SUM('Total exports'!K$3:K$73)</f>
        <v>2.1641305421921133E-2</v>
      </c>
      <c r="L8">
        <f>'Total exports'!L8/SUM('Total exports'!L$3:L$73)</f>
        <v>1.8610834949129962E-2</v>
      </c>
      <c r="M8">
        <f>'Total exports'!M8/SUM('Total exports'!M$3:M$73)</f>
        <v>2.0570743326290723E-2</v>
      </c>
      <c r="N8">
        <f>'Total exports'!N8/SUM('Total exports'!N$3:N$73)</f>
        <v>2.3565722833774106E-2</v>
      </c>
      <c r="O8">
        <f>'Total exports'!O8/SUM('Total exports'!O$3:O$73)</f>
        <v>2.3375575022089343E-2</v>
      </c>
      <c r="P8">
        <f>'Total exports'!P8/SUM('Total exports'!P$3:P$73)</f>
        <v>2.3177965892407615E-2</v>
      </c>
      <c r="Q8">
        <f>'Total exports'!Q8/SUM('Total exports'!Q$3:Q$73)</f>
        <v>2.3109900619717422E-2</v>
      </c>
      <c r="R8">
        <f>'Total exports'!R8/SUM('Total exports'!R$3:R$73)</f>
        <v>2.2602126071924671E-2</v>
      </c>
      <c r="S8">
        <f>'Total exports'!S8/SUM('Total exports'!S$3:S$73)</f>
        <v>2.2097570858059266E-2</v>
      </c>
      <c r="T8">
        <f>'Total exports'!T8/SUM('Total exports'!T$3:T$73)</f>
        <v>2.1436238021353807E-2</v>
      </c>
      <c r="U8">
        <f>'Total exports'!U8/SUM('Total exports'!U$3:U$73)</f>
        <v>2.0878375294007032E-2</v>
      </c>
      <c r="V8">
        <f>'Total exports'!V8/SUM('Total exports'!V$3:V$73)</f>
        <v>2.0607664152732581E-2</v>
      </c>
      <c r="W8">
        <f>'Total exports'!W8/SUM('Total exports'!W$3:W$73)</f>
        <v>2.0217712109791331E-2</v>
      </c>
      <c r="X8">
        <f>'Total exports'!X8/SUM('Total exports'!X$3:X$73)</f>
        <v>1.9839754990187908E-2</v>
      </c>
      <c r="Y8">
        <f>'Total exports'!Y8/SUM('Total exports'!Y$3:Y$73)</f>
        <v>1.947731146998944E-2</v>
      </c>
      <c r="Z8">
        <f>'Total exports'!Z8/SUM('Total exports'!Z$3:Z$73)</f>
        <v>1.915293476742325E-2</v>
      </c>
      <c r="AA8">
        <f>'Total exports'!AA8/SUM('Total exports'!AA$3:AA$73)</f>
        <v>1.8821017097399799E-2</v>
      </c>
      <c r="AB8">
        <f>'Total exports'!AB8/SUM('Total exports'!AB$3:AB$73)</f>
        <v>1.8503000527108203E-2</v>
      </c>
      <c r="AC8">
        <f>'Total exports'!AC8/SUM('Total exports'!AC$3:AC$73)</f>
        <v>1.8213498604302953E-2</v>
      </c>
      <c r="AD8">
        <f>'Total exports'!AD8/SUM('Total exports'!AD$3:AD$73)</f>
        <v>1.7955016252543615E-2</v>
      </c>
      <c r="AE8">
        <f>'Total exports'!AE8/SUM('Total exports'!AE$3:AE$73)</f>
        <v>1.7756168922998635E-2</v>
      </c>
      <c r="AF8">
        <f>'Total exports'!AF8/SUM('Total exports'!AF$3:AF$73)</f>
        <v>1.7544468798687051E-2</v>
      </c>
      <c r="AG8">
        <f>'Total exports'!AG8/SUM('Total exports'!AG$3:AG$73)</f>
        <v>1.7337290228592379E-2</v>
      </c>
      <c r="AH8">
        <f>'Total exports'!AH8/SUM('Total exports'!AH$3:AH$73)</f>
        <v>1.7144654765316611E-2</v>
      </c>
      <c r="AI8">
        <f>'Total exports'!AI8/SUM('Total exports'!AI$3:AI$73)</f>
        <v>1.6959651304368408E-2</v>
      </c>
      <c r="AJ8">
        <f>'Total exports'!AJ8/SUM('Total exports'!AJ$3:AJ$73)</f>
        <v>1.6769315647959346E-2</v>
      </c>
      <c r="AK8">
        <f>'Total exports'!AK8/SUM('Total exports'!AK$3:AK$73)</f>
        <v>1.6577875640562241E-2</v>
      </c>
      <c r="AL8">
        <f>'Total exports'!AL8/SUM('Total exports'!AL$3:AL$73)</f>
        <v>1.6381335766377191E-2</v>
      </c>
      <c r="AM8">
        <f>'Total exports'!AM8/SUM('Total exports'!AM$3:AM$73)</f>
        <v>1.6183954959456081E-2</v>
      </c>
      <c r="AN8">
        <f>'Total exports'!AN8/SUM('Total exports'!AN$3:AN$73)</f>
        <v>1.5984680711389261E-2</v>
      </c>
      <c r="AO8">
        <f>'Total exports'!AO8/SUM('Total exports'!AO$3:AO$73)</f>
        <v>1.5784296303778984E-2</v>
      </c>
      <c r="AP8">
        <f>'Total exports'!AP8/SUM('Total exports'!AP$3:AP$73)</f>
        <v>1.5583627274106537E-2</v>
      </c>
    </row>
    <row r="9" spans="1:42" x14ac:dyDescent="0.3">
      <c r="A9" t="s">
        <v>156</v>
      </c>
      <c r="B9">
        <f>'Total exports'!B9/SUM('Total exports'!B$3:B$73)</f>
        <v>6.4145275858520324E-3</v>
      </c>
      <c r="C9">
        <f>'Total exports'!C9/SUM('Total exports'!C$3:C$73)</f>
        <v>6.3042171176064324E-3</v>
      </c>
      <c r="D9">
        <f>'Total exports'!D9/SUM('Total exports'!D$3:D$73)</f>
        <v>6.2772609640823563E-3</v>
      </c>
      <c r="E9">
        <f>'Total exports'!E9/SUM('Total exports'!E$3:E$73)</f>
        <v>6.6002279963111015E-3</v>
      </c>
      <c r="F9">
        <f>'Total exports'!F9/SUM('Total exports'!F$3:F$73)</f>
        <v>7.5250562524450584E-3</v>
      </c>
      <c r="G9">
        <f>'Total exports'!G9/SUM('Total exports'!G$3:G$73)</f>
        <v>1.3250213454628668E-2</v>
      </c>
      <c r="H9">
        <f>'Total exports'!H9/SUM('Total exports'!H$3:H$73)</f>
        <v>1.3543903141979743E-2</v>
      </c>
      <c r="I9">
        <f>'Total exports'!I9/SUM('Total exports'!I$3:I$73)</f>
        <v>1.4595858780713887E-2</v>
      </c>
      <c r="J9">
        <f>'Total exports'!J9/SUM('Total exports'!J$3:J$73)</f>
        <v>1.4819393331698997E-2</v>
      </c>
      <c r="K9">
        <f>'Total exports'!K9/SUM('Total exports'!K$3:K$73)</f>
        <v>1.6373741399574013E-2</v>
      </c>
      <c r="L9">
        <f>'Total exports'!L9/SUM('Total exports'!L$3:L$73)</f>
        <v>1.8722090531618652E-2</v>
      </c>
      <c r="M9">
        <f>'Total exports'!M9/SUM('Total exports'!M$3:M$73)</f>
        <v>2.0297113752123126E-2</v>
      </c>
      <c r="N9">
        <f>'Total exports'!N9/SUM('Total exports'!N$3:N$73)</f>
        <v>2.2822302934352987E-2</v>
      </c>
      <c r="O9">
        <f>'Total exports'!O9/SUM('Total exports'!O$3:O$73)</f>
        <v>2.1986169216978917E-2</v>
      </c>
      <c r="P9">
        <f>'Total exports'!P9/SUM('Total exports'!P$3:P$73)</f>
        <v>2.208838441345122E-2</v>
      </c>
      <c r="Q9">
        <f>'Total exports'!Q9/SUM('Total exports'!Q$3:Q$73)</f>
        <v>2.231644716428546E-2</v>
      </c>
      <c r="R9">
        <f>'Total exports'!R9/SUM('Total exports'!R$3:R$73)</f>
        <v>2.2819323429485793E-2</v>
      </c>
      <c r="S9">
        <f>'Total exports'!S9/SUM('Total exports'!S$3:S$73)</f>
        <v>2.3289393420934276E-2</v>
      </c>
      <c r="T9">
        <f>'Total exports'!T9/SUM('Total exports'!T$3:T$73)</f>
        <v>2.347189157748766E-2</v>
      </c>
      <c r="U9">
        <f>'Total exports'!U9/SUM('Total exports'!U$3:U$73)</f>
        <v>2.3631247922335563E-2</v>
      </c>
      <c r="V9">
        <f>'Total exports'!V9/SUM('Total exports'!V$3:V$73)</f>
        <v>2.3976573956143755E-2</v>
      </c>
      <c r="W9">
        <f>'Total exports'!W9/SUM('Total exports'!W$3:W$73)</f>
        <v>2.4031483774940115E-2</v>
      </c>
      <c r="X9">
        <f>'Total exports'!X9/SUM('Total exports'!X$3:X$73)</f>
        <v>2.3926905571358154E-2</v>
      </c>
      <c r="Y9">
        <f>'Total exports'!Y9/SUM('Total exports'!Y$3:Y$73)</f>
        <v>2.3794906100029899E-2</v>
      </c>
      <c r="Z9">
        <f>'Total exports'!Z9/SUM('Total exports'!Z$3:Z$73)</f>
        <v>2.3654805778605518E-2</v>
      </c>
      <c r="AA9">
        <f>'Total exports'!AA9/SUM('Total exports'!AA$3:AA$73)</f>
        <v>2.3510783199715436E-2</v>
      </c>
      <c r="AB9">
        <f>'Total exports'!AB9/SUM('Total exports'!AB$3:AB$73)</f>
        <v>2.3361718089748018E-2</v>
      </c>
      <c r="AC9">
        <f>'Total exports'!AC9/SUM('Total exports'!AC$3:AC$73)</f>
        <v>2.3207421171025561E-2</v>
      </c>
      <c r="AD9">
        <f>'Total exports'!AD9/SUM('Total exports'!AD$3:AD$73)</f>
        <v>2.3041843340979692E-2</v>
      </c>
      <c r="AE9">
        <f>'Total exports'!AE9/SUM('Total exports'!AE$3:AE$73)</f>
        <v>2.2860623731544179E-2</v>
      </c>
      <c r="AF9">
        <f>'Total exports'!AF9/SUM('Total exports'!AF$3:AF$73)</f>
        <v>2.2664108601846214E-2</v>
      </c>
      <c r="AG9">
        <f>'Total exports'!AG9/SUM('Total exports'!AG$3:AG$73)</f>
        <v>2.2446744354649092E-2</v>
      </c>
      <c r="AH9">
        <f>'Total exports'!AH9/SUM('Total exports'!AH$3:AH$73)</f>
        <v>2.2212908526845675E-2</v>
      </c>
      <c r="AI9">
        <f>'Total exports'!AI9/SUM('Total exports'!AI$3:AI$73)</f>
        <v>2.1961623924991357E-2</v>
      </c>
      <c r="AJ9">
        <f>'Total exports'!AJ9/SUM('Total exports'!AJ$3:AJ$73)</f>
        <v>2.1694334971012155E-2</v>
      </c>
      <c r="AK9">
        <f>'Total exports'!AK9/SUM('Total exports'!AK$3:AK$73)</f>
        <v>2.1418533955678495E-2</v>
      </c>
      <c r="AL9">
        <f>'Total exports'!AL9/SUM('Total exports'!AL$3:AL$73)</f>
        <v>2.1133303434374692E-2</v>
      </c>
      <c r="AM9">
        <f>'Total exports'!AM9/SUM('Total exports'!AM$3:AM$73)</f>
        <v>2.0846284140817725E-2</v>
      </c>
      <c r="AN9">
        <f>'Total exports'!AN9/SUM('Total exports'!AN$3:AN$73)</f>
        <v>2.0565069047808276E-2</v>
      </c>
      <c r="AO9">
        <f>'Total exports'!AO9/SUM('Total exports'!AO$3:AO$73)</f>
        <v>2.0290310677596565E-2</v>
      </c>
      <c r="AP9">
        <f>'Total exports'!AP9/SUM('Total exports'!AP$3:AP$73)</f>
        <v>2.0023342729179903E-2</v>
      </c>
    </row>
    <row r="10" spans="1:42" x14ac:dyDescent="0.3">
      <c r="A10" t="s">
        <v>157</v>
      </c>
      <c r="B10">
        <f>'Total exports'!B10/SUM('Total exports'!B$3:B$73)</f>
        <v>1.6236247969217309E-2</v>
      </c>
      <c r="C10">
        <f>'Total exports'!C10/SUM('Total exports'!C$3:C$73)</f>
        <v>1.6902228730841195E-2</v>
      </c>
      <c r="D10">
        <f>'Total exports'!D10/SUM('Total exports'!D$3:D$73)</f>
        <v>1.7926476424475323E-2</v>
      </c>
      <c r="E10">
        <f>'Total exports'!E10/SUM('Total exports'!E$3:E$73)</f>
        <v>1.7452239176585747E-2</v>
      </c>
      <c r="F10">
        <f>'Total exports'!F10/SUM('Total exports'!F$3:F$73)</f>
        <v>1.6729148778326805E-2</v>
      </c>
      <c r="G10">
        <f>'Total exports'!G10/SUM('Total exports'!G$3:G$73)</f>
        <v>1.6909185548641716E-2</v>
      </c>
      <c r="H10">
        <f>'Total exports'!H10/SUM('Total exports'!H$3:H$73)</f>
        <v>1.675826122260763E-2</v>
      </c>
      <c r="I10">
        <f>'Total exports'!I10/SUM('Total exports'!I$3:I$73)</f>
        <v>1.6908788612101162E-2</v>
      </c>
      <c r="J10">
        <f>'Total exports'!J10/SUM('Total exports'!J$3:J$73)</f>
        <v>1.641405254805383E-2</v>
      </c>
      <c r="K10">
        <f>'Total exports'!K10/SUM('Total exports'!K$3:K$73)</f>
        <v>1.6300745150084568E-2</v>
      </c>
      <c r="L10">
        <f>'Total exports'!L10/SUM('Total exports'!L$3:L$73)</f>
        <v>1.4676535713271363E-2</v>
      </c>
      <c r="M10">
        <f>'Total exports'!M10/SUM('Total exports'!M$3:M$73)</f>
        <v>1.6342587315824761E-2</v>
      </c>
      <c r="N10">
        <f>'Total exports'!N10/SUM('Total exports'!N$3:N$73)</f>
        <v>1.875185611136845E-2</v>
      </c>
      <c r="O10">
        <f>'Total exports'!O10/SUM('Total exports'!O$3:O$73)</f>
        <v>1.8423793251563424E-2</v>
      </c>
      <c r="P10">
        <f>'Total exports'!P10/SUM('Total exports'!P$3:P$73)</f>
        <v>1.8312284937439336E-2</v>
      </c>
      <c r="Q10">
        <f>'Total exports'!Q10/SUM('Total exports'!Q$3:Q$73)</f>
        <v>1.829292203976976E-2</v>
      </c>
      <c r="R10">
        <f>'Total exports'!R10/SUM('Total exports'!R$3:R$73)</f>
        <v>1.7962095210443462E-2</v>
      </c>
      <c r="S10">
        <f>'Total exports'!S10/SUM('Total exports'!S$3:S$73)</f>
        <v>1.7631347081073299E-2</v>
      </c>
      <c r="T10">
        <f>'Total exports'!T10/SUM('Total exports'!T$3:T$73)</f>
        <v>1.7159905531512538E-2</v>
      </c>
      <c r="U10">
        <f>'Total exports'!U10/SUM('Total exports'!U$3:U$73)</f>
        <v>1.6746238266741931E-2</v>
      </c>
      <c r="V10">
        <f>'Total exports'!V10/SUM('Total exports'!V$3:V$73)</f>
        <v>1.6544918208672047E-2</v>
      </c>
      <c r="W10">
        <f>'Total exports'!W10/SUM('Total exports'!W$3:W$73)</f>
        <v>1.6227124503623493E-2</v>
      </c>
      <c r="X10">
        <f>'Total exports'!X10/SUM('Total exports'!X$3:X$73)</f>
        <v>1.5911069096265603E-2</v>
      </c>
      <c r="Y10">
        <f>'Total exports'!Y10/SUM('Total exports'!Y$3:Y$73)</f>
        <v>1.5611127393185658E-2</v>
      </c>
      <c r="Z10">
        <f>'Total exports'!Z10/SUM('Total exports'!Z$3:Z$73)</f>
        <v>1.5327963021821385E-2</v>
      </c>
      <c r="AA10">
        <f>'Total exports'!AA10/SUM('Total exports'!AA$3:AA$73)</f>
        <v>1.5064630724626087E-2</v>
      </c>
      <c r="AB10">
        <f>'Total exports'!AB10/SUM('Total exports'!AB$3:AB$73)</f>
        <v>1.4821670422784606E-2</v>
      </c>
      <c r="AC10">
        <f>'Total exports'!AC10/SUM('Total exports'!AC$3:AC$73)</f>
        <v>1.4597244748824914E-2</v>
      </c>
      <c r="AD10">
        <f>'Total exports'!AD10/SUM('Total exports'!AD$3:AD$73)</f>
        <v>1.4387938850605643E-2</v>
      </c>
      <c r="AE10">
        <f>'Total exports'!AE10/SUM('Total exports'!AE$3:AE$73)</f>
        <v>1.4192855035442419E-2</v>
      </c>
      <c r="AF10">
        <f>'Total exports'!AF10/SUM('Total exports'!AF$3:AF$73)</f>
        <v>1.4018475578874283E-2</v>
      </c>
      <c r="AG10">
        <f>'Total exports'!AG10/SUM('Total exports'!AG$3:AG$73)</f>
        <v>1.3847881967156786E-2</v>
      </c>
      <c r="AH10">
        <f>'Total exports'!AH10/SUM('Total exports'!AH$3:AH$73)</f>
        <v>1.3679955107107081E-2</v>
      </c>
      <c r="AI10">
        <f>'Total exports'!AI10/SUM('Total exports'!AI$3:AI$73)</f>
        <v>1.3513856488458017E-2</v>
      </c>
      <c r="AJ10">
        <f>'Total exports'!AJ10/SUM('Total exports'!AJ$3:AJ$73)</f>
        <v>1.3350026432653888E-2</v>
      </c>
      <c r="AK10">
        <f>'Total exports'!AK10/SUM('Total exports'!AK$3:AK$73)</f>
        <v>1.3188678685277566E-2</v>
      </c>
      <c r="AL10">
        <f>'Total exports'!AL10/SUM('Total exports'!AL$3:AL$73)</f>
        <v>1.3030840951074018E-2</v>
      </c>
      <c r="AM10">
        <f>'Total exports'!AM10/SUM('Total exports'!AM$3:AM$73)</f>
        <v>1.2876884203218787E-2</v>
      </c>
      <c r="AN10">
        <f>'Total exports'!AN10/SUM('Total exports'!AN$3:AN$73)</f>
        <v>1.2727615796375474E-2</v>
      </c>
      <c r="AO10">
        <f>'Total exports'!AO10/SUM('Total exports'!AO$3:AO$73)</f>
        <v>1.257828283618102E-2</v>
      </c>
      <c r="AP10">
        <f>'Total exports'!AP10/SUM('Total exports'!AP$3:AP$73)</f>
        <v>1.2429307669728509E-2</v>
      </c>
    </row>
    <row r="11" spans="1:42" x14ac:dyDescent="0.3">
      <c r="A11" t="s">
        <v>158</v>
      </c>
      <c r="B11">
        <f>'Total exports'!B11/SUM('Total exports'!B$3:B$73)</f>
        <v>1.6298561921308044E-3</v>
      </c>
      <c r="C11">
        <f>'Total exports'!C11/SUM('Total exports'!C$3:C$73)</f>
        <v>1.5841521967015475E-3</v>
      </c>
      <c r="D11">
        <f>'Total exports'!D11/SUM('Total exports'!D$3:D$73)</f>
        <v>1.6847782223356575E-3</v>
      </c>
      <c r="E11">
        <f>'Total exports'!E11/SUM('Total exports'!E$3:E$73)</f>
        <v>1.8189327431596006E-3</v>
      </c>
      <c r="F11">
        <f>'Total exports'!F11/SUM('Total exports'!F$3:F$73)</f>
        <v>1.8328728849563189E-3</v>
      </c>
      <c r="G11">
        <f>'Total exports'!G11/SUM('Total exports'!G$3:G$73)</f>
        <v>2.0754330016677525E-3</v>
      </c>
      <c r="H11">
        <f>'Total exports'!H11/SUM('Total exports'!H$3:H$73)</f>
        <v>2.0602090267511394E-3</v>
      </c>
      <c r="I11">
        <f>'Total exports'!I11/SUM('Total exports'!I$3:I$73)</f>
        <v>2.0026348998803045E-3</v>
      </c>
      <c r="J11">
        <f>'Total exports'!J11/SUM('Total exports'!J$3:J$73)</f>
        <v>1.9362635540185298E-3</v>
      </c>
      <c r="K11">
        <f>'Total exports'!K11/SUM('Total exports'!K$3:K$73)</f>
        <v>2.0413362015089102E-3</v>
      </c>
      <c r="L11">
        <f>'Total exports'!L11/SUM('Total exports'!L$3:L$73)</f>
        <v>2.1706826853709459E-3</v>
      </c>
      <c r="M11">
        <f>'Total exports'!M11/SUM('Total exports'!M$3:M$73)</f>
        <v>2.3806276860760564E-3</v>
      </c>
      <c r="N11">
        <f>'Total exports'!N11/SUM('Total exports'!N$3:N$73)</f>
        <v>2.3769801349878892E-3</v>
      </c>
      <c r="O11">
        <f>'Total exports'!O11/SUM('Total exports'!O$3:O$73)</f>
        <v>2.2973396128857294E-3</v>
      </c>
      <c r="P11">
        <f>'Total exports'!P11/SUM('Total exports'!P$3:P$73)</f>
        <v>2.2884696354469915E-3</v>
      </c>
      <c r="Q11">
        <f>'Total exports'!Q11/SUM('Total exports'!Q$3:Q$73)</f>
        <v>2.3134709076346191E-3</v>
      </c>
      <c r="R11">
        <f>'Total exports'!R11/SUM('Total exports'!R$3:R$73)</f>
        <v>2.3297414209062189E-3</v>
      </c>
      <c r="S11">
        <f>'Total exports'!S11/SUM('Total exports'!S$3:S$73)</f>
        <v>2.3486269855829598E-3</v>
      </c>
      <c r="T11">
        <f>'Total exports'!T11/SUM('Total exports'!T$3:T$73)</f>
        <v>2.3372931949655058E-3</v>
      </c>
      <c r="U11">
        <f>'Total exports'!U11/SUM('Total exports'!U$3:U$73)</f>
        <v>2.3275489997187956E-3</v>
      </c>
      <c r="V11">
        <f>'Total exports'!V11/SUM('Total exports'!V$3:V$73)</f>
        <v>2.3431577684704628E-3</v>
      </c>
      <c r="W11">
        <f>'Total exports'!W11/SUM('Total exports'!W$3:W$73)</f>
        <v>2.3398388803535725E-3</v>
      </c>
      <c r="X11">
        <f>'Total exports'!X11/SUM('Total exports'!X$3:X$73)</f>
        <v>2.3340195558600443E-3</v>
      </c>
      <c r="Y11">
        <f>'Total exports'!Y11/SUM('Total exports'!Y$3:Y$73)</f>
        <v>2.3274694450560176E-3</v>
      </c>
      <c r="Z11">
        <f>'Total exports'!Z11/SUM('Total exports'!Z$3:Z$73)</f>
        <v>2.3204463661772061E-3</v>
      </c>
      <c r="AA11">
        <f>'Total exports'!AA11/SUM('Total exports'!AA$3:AA$73)</f>
        <v>2.314595952747813E-3</v>
      </c>
      <c r="AB11">
        <f>'Total exports'!AB11/SUM('Total exports'!AB$3:AB$73)</f>
        <v>2.3094912736354614E-3</v>
      </c>
      <c r="AC11">
        <f>'Total exports'!AC11/SUM('Total exports'!AC$3:AC$73)</f>
        <v>2.3045862565388895E-3</v>
      </c>
      <c r="AD11">
        <f>'Total exports'!AD11/SUM('Total exports'!AD$3:AD$73)</f>
        <v>2.3007127167814527E-3</v>
      </c>
      <c r="AE11">
        <f>'Total exports'!AE11/SUM('Total exports'!AE$3:AE$73)</f>
        <v>2.2983323576866296E-3</v>
      </c>
      <c r="AF11">
        <f>'Total exports'!AF11/SUM('Total exports'!AF$3:AF$73)</f>
        <v>2.2971894172998299E-3</v>
      </c>
      <c r="AG11">
        <f>'Total exports'!AG11/SUM('Total exports'!AG$3:AG$73)</f>
        <v>2.2940954768761674E-3</v>
      </c>
      <c r="AH11">
        <f>'Total exports'!AH11/SUM('Total exports'!AH$3:AH$73)</f>
        <v>2.2887044614798395E-3</v>
      </c>
      <c r="AI11">
        <f>'Total exports'!AI11/SUM('Total exports'!AI$3:AI$73)</f>
        <v>2.2807031525176281E-3</v>
      </c>
      <c r="AJ11">
        <f>'Total exports'!AJ11/SUM('Total exports'!AJ$3:AJ$73)</f>
        <v>2.2703035873291705E-3</v>
      </c>
      <c r="AK11">
        <f>'Total exports'!AK11/SUM('Total exports'!AK$3:AK$73)</f>
        <v>2.2573971089498391E-3</v>
      </c>
      <c r="AL11">
        <f>'Total exports'!AL11/SUM('Total exports'!AL$3:AL$73)</f>
        <v>2.2422300380404653E-3</v>
      </c>
      <c r="AM11">
        <f>'Total exports'!AM11/SUM('Total exports'!AM$3:AM$73)</f>
        <v>2.2249345441368532E-3</v>
      </c>
      <c r="AN11">
        <f>'Total exports'!AN11/SUM('Total exports'!AN$3:AN$73)</f>
        <v>2.2047255532131149E-3</v>
      </c>
      <c r="AO11">
        <f>'Total exports'!AO11/SUM('Total exports'!AO$3:AO$73)</f>
        <v>2.1822216248825752E-3</v>
      </c>
      <c r="AP11">
        <f>'Total exports'!AP11/SUM('Total exports'!AP$3:AP$73)</f>
        <v>2.1575474067766194E-3</v>
      </c>
    </row>
    <row r="12" spans="1:42" x14ac:dyDescent="0.3">
      <c r="A12" t="s">
        <v>159</v>
      </c>
      <c r="B12">
        <f>'Total exports'!B12/SUM('Total exports'!B$3:B$73)</f>
        <v>1.1991434343097077E-2</v>
      </c>
      <c r="C12">
        <f>'Total exports'!C12/SUM('Total exports'!C$3:C$73)</f>
        <v>1.2004954559592659E-2</v>
      </c>
      <c r="D12">
        <f>'Total exports'!D12/SUM('Total exports'!D$3:D$73)</f>
        <v>1.294268053017692E-2</v>
      </c>
      <c r="E12">
        <f>'Total exports'!E12/SUM('Total exports'!E$3:E$73)</f>
        <v>1.2706780355393289E-2</v>
      </c>
      <c r="F12">
        <f>'Total exports'!F12/SUM('Total exports'!F$3:F$73)</f>
        <v>1.2583603325654221E-2</v>
      </c>
      <c r="G12">
        <f>'Total exports'!G12/SUM('Total exports'!G$3:G$73)</f>
        <v>1.3731785468077554E-2</v>
      </c>
      <c r="H12">
        <f>'Total exports'!H12/SUM('Total exports'!H$3:H$73)</f>
        <v>1.3188012805041664E-2</v>
      </c>
      <c r="I12">
        <f>'Total exports'!I12/SUM('Total exports'!I$3:I$73)</f>
        <v>1.387569650644813E-2</v>
      </c>
      <c r="J12">
        <f>'Total exports'!J12/SUM('Total exports'!J$3:J$73)</f>
        <v>1.4418168119501156E-2</v>
      </c>
      <c r="K12">
        <f>'Total exports'!K12/SUM('Total exports'!K$3:K$73)</f>
        <v>1.4340345146122828E-2</v>
      </c>
      <c r="L12">
        <f>'Total exports'!L12/SUM('Total exports'!L$3:L$73)</f>
        <v>1.3928456297752887E-2</v>
      </c>
      <c r="M12">
        <f>'Total exports'!M12/SUM('Total exports'!M$3:M$73)</f>
        <v>1.5240529797691462E-2</v>
      </c>
      <c r="N12">
        <f>'Total exports'!N12/SUM('Total exports'!N$3:N$73)</f>
        <v>1.7591920702705134E-2</v>
      </c>
      <c r="O12">
        <f>'Total exports'!O12/SUM('Total exports'!O$3:O$73)</f>
        <v>1.7275019446810345E-2</v>
      </c>
      <c r="P12">
        <f>'Total exports'!P12/SUM('Total exports'!P$3:P$73)</f>
        <v>1.6963938814764403E-2</v>
      </c>
      <c r="Q12">
        <f>'Total exports'!Q12/SUM('Total exports'!Q$3:Q$73)</f>
        <v>1.6755728703390853E-2</v>
      </c>
      <c r="R12">
        <f>'Total exports'!R12/SUM('Total exports'!R$3:R$73)</f>
        <v>1.6477955317129655E-2</v>
      </c>
      <c r="S12">
        <f>'Total exports'!S12/SUM('Total exports'!S$3:S$73)</f>
        <v>1.619295393297672E-2</v>
      </c>
      <c r="T12">
        <f>'Total exports'!T12/SUM('Total exports'!T$3:T$73)</f>
        <v>1.5773298599496121E-2</v>
      </c>
      <c r="U12">
        <f>'Total exports'!U12/SUM('Total exports'!U$3:U$73)</f>
        <v>1.5416739656483013E-2</v>
      </c>
      <c r="V12">
        <f>'Total exports'!V12/SUM('Total exports'!V$3:V$73)</f>
        <v>1.5258464102263797E-2</v>
      </c>
      <c r="W12">
        <f>'Total exports'!W12/SUM('Total exports'!W$3:W$73)</f>
        <v>1.4994650483808075E-2</v>
      </c>
      <c r="X12">
        <f>'Total exports'!X12/SUM('Total exports'!X$3:X$73)</f>
        <v>1.4738778949005509E-2</v>
      </c>
      <c r="Y12">
        <f>'Total exports'!Y12/SUM('Total exports'!Y$3:Y$73)</f>
        <v>1.4492726722040607E-2</v>
      </c>
      <c r="Z12">
        <f>'Total exports'!Z12/SUM('Total exports'!Z$3:Z$73)</f>
        <v>1.4259152557626019E-2</v>
      </c>
      <c r="AA12">
        <f>'Total exports'!AA12/SUM('Total exports'!AA$3:AA$73)</f>
        <v>1.4039599594103171E-2</v>
      </c>
      <c r="AB12">
        <f>'Total exports'!AB12/SUM('Total exports'!AB$3:AB$73)</f>
        <v>1.3834036574960004E-2</v>
      </c>
      <c r="AC12">
        <f>'Total exports'!AC12/SUM('Total exports'!AC$3:AC$73)</f>
        <v>1.3643422306026529E-2</v>
      </c>
      <c r="AD12">
        <f>'Total exports'!AD12/SUM('Total exports'!AD$3:AD$73)</f>
        <v>1.3468217377035798E-2</v>
      </c>
      <c r="AE12">
        <f>'Total exports'!AE12/SUM('Total exports'!AE$3:AE$73)</f>
        <v>1.3313731834088747E-2</v>
      </c>
      <c r="AF12">
        <f>'Total exports'!AF12/SUM('Total exports'!AF$3:AF$73)</f>
        <v>1.318083553367161E-2</v>
      </c>
      <c r="AG12">
        <f>'Total exports'!AG12/SUM('Total exports'!AG$3:AG$73)</f>
        <v>1.3055232528433528E-2</v>
      </c>
      <c r="AH12">
        <f>'Total exports'!AH12/SUM('Total exports'!AH$3:AH$73)</f>
        <v>1.2935936754731554E-2</v>
      </c>
      <c r="AI12">
        <f>'Total exports'!AI12/SUM('Total exports'!AI$3:AI$73)</f>
        <v>1.2818232755742899E-2</v>
      </c>
      <c r="AJ12">
        <f>'Total exports'!AJ12/SUM('Total exports'!AJ$3:AJ$73)</f>
        <v>1.2701031186262521E-2</v>
      </c>
      <c r="AK12">
        <f>'Total exports'!AK12/SUM('Total exports'!AK$3:AK$73)</f>
        <v>1.2584125758689672E-2</v>
      </c>
      <c r="AL12">
        <f>'Total exports'!AL12/SUM('Total exports'!AL$3:AL$73)</f>
        <v>1.2467146469683492E-2</v>
      </c>
      <c r="AM12">
        <f>'Total exports'!AM12/SUM('Total exports'!AM$3:AM$73)</f>
        <v>1.2348228550941989E-2</v>
      </c>
      <c r="AN12">
        <f>'Total exports'!AN12/SUM('Total exports'!AN$3:AN$73)</f>
        <v>1.2226405236066433E-2</v>
      </c>
      <c r="AO12">
        <f>'Total exports'!AO12/SUM('Total exports'!AO$3:AO$73)</f>
        <v>1.2102866450989708E-2</v>
      </c>
      <c r="AP12">
        <f>'Total exports'!AP12/SUM('Total exports'!AP$3:AP$73)</f>
        <v>1.197775223934628E-2</v>
      </c>
    </row>
    <row r="13" spans="1:42" x14ac:dyDescent="0.3">
      <c r="A13" t="s">
        <v>160</v>
      </c>
      <c r="B13">
        <f>'Total exports'!B13/SUM('Total exports'!B$3:B$73)</f>
        <v>3.4685705804247866E-3</v>
      </c>
      <c r="C13">
        <f>'Total exports'!C13/SUM('Total exports'!C$3:C$73)</f>
        <v>3.6474315766468111E-3</v>
      </c>
      <c r="D13">
        <f>'Total exports'!D13/SUM('Total exports'!D$3:D$73)</f>
        <v>3.4980295431299995E-3</v>
      </c>
      <c r="E13">
        <f>'Total exports'!E13/SUM('Total exports'!E$3:E$73)</f>
        <v>3.4393600697276128E-3</v>
      </c>
      <c r="F13">
        <f>'Total exports'!F13/SUM('Total exports'!F$3:F$73)</f>
        <v>3.347956495893339E-3</v>
      </c>
      <c r="G13">
        <f>'Total exports'!G13/SUM('Total exports'!G$3:G$73)</f>
        <v>3.6599021893638371E-3</v>
      </c>
      <c r="H13">
        <f>'Total exports'!H13/SUM('Total exports'!H$3:H$73)</f>
        <v>3.6742156246487617E-3</v>
      </c>
      <c r="I13">
        <f>'Total exports'!I13/SUM('Total exports'!I$3:I$73)</f>
        <v>3.4323707270192141E-3</v>
      </c>
      <c r="J13">
        <f>'Total exports'!J13/SUM('Total exports'!J$3:J$73)</f>
        <v>3.4384491258302331E-3</v>
      </c>
      <c r="K13">
        <f>'Total exports'!K13/SUM('Total exports'!K$3:K$73)</f>
        <v>3.4616671882357745E-3</v>
      </c>
      <c r="L13">
        <f>'Total exports'!L13/SUM('Total exports'!L$3:L$73)</f>
        <v>3.2112126435010512E-3</v>
      </c>
      <c r="M13">
        <f>'Total exports'!M13/SUM('Total exports'!M$3:M$73)</f>
        <v>3.4523181823173737E-3</v>
      </c>
      <c r="N13">
        <f>'Total exports'!N13/SUM('Total exports'!N$3:N$73)</f>
        <v>3.9758305049348609E-3</v>
      </c>
      <c r="O13">
        <f>'Total exports'!O13/SUM('Total exports'!O$3:O$73)</f>
        <v>3.9115059292710169E-3</v>
      </c>
      <c r="P13">
        <f>'Total exports'!P13/SUM('Total exports'!P$3:P$73)</f>
        <v>3.8946095245822108E-3</v>
      </c>
      <c r="Q13">
        <f>'Total exports'!Q13/SUM('Total exports'!Q$3:Q$73)</f>
        <v>3.8969982846971812E-3</v>
      </c>
      <c r="R13">
        <f>'Total exports'!R13/SUM('Total exports'!R$3:R$73)</f>
        <v>3.8401024803687263E-3</v>
      </c>
      <c r="S13">
        <f>'Total exports'!S13/SUM('Total exports'!S$3:S$73)</f>
        <v>3.786787804478939E-3</v>
      </c>
      <c r="T13">
        <f>'Total exports'!T13/SUM('Total exports'!T$3:T$73)</f>
        <v>3.705905037112872E-3</v>
      </c>
      <c r="U13">
        <f>'Total exports'!U13/SUM('Total exports'!U$3:U$73)</f>
        <v>3.6392412910947339E-3</v>
      </c>
      <c r="V13">
        <f>'Total exports'!V13/SUM('Total exports'!V$3:V$73)</f>
        <v>3.6188840247983294E-3</v>
      </c>
      <c r="W13">
        <f>'Total exports'!W13/SUM('Total exports'!W$3:W$73)</f>
        <v>3.572968491001016E-3</v>
      </c>
      <c r="X13">
        <f>'Total exports'!X13/SUM('Total exports'!X$3:X$73)</f>
        <v>3.5290893739182614E-3</v>
      </c>
      <c r="Y13">
        <f>'Total exports'!Y13/SUM('Total exports'!Y$3:Y$73)</f>
        <v>3.4854466580903527E-3</v>
      </c>
      <c r="Z13">
        <f>'Total exports'!Z13/SUM('Total exports'!Z$3:Z$73)</f>
        <v>3.4428452562519055E-3</v>
      </c>
      <c r="AA13">
        <f>'Total exports'!AA13/SUM('Total exports'!AA$3:AA$73)</f>
        <v>3.4016193376221657E-3</v>
      </c>
      <c r="AB13">
        <f>'Total exports'!AB13/SUM('Total exports'!AB$3:AB$73)</f>
        <v>3.3622478936430294E-3</v>
      </c>
      <c r="AC13">
        <f>'Total exports'!AC13/SUM('Total exports'!AC$3:AC$73)</f>
        <v>3.3243252030041026E-3</v>
      </c>
      <c r="AD13">
        <f>'Total exports'!AD13/SUM('Total exports'!AD$3:AD$73)</f>
        <v>3.2884265675013707E-3</v>
      </c>
      <c r="AE13">
        <f>'Total exports'!AE13/SUM('Total exports'!AE$3:AE$73)</f>
        <v>3.2540497512227149E-3</v>
      </c>
      <c r="AF13">
        <f>'Total exports'!AF13/SUM('Total exports'!AF$3:AF$73)</f>
        <v>3.2221400310635476E-3</v>
      </c>
      <c r="AG13">
        <f>'Total exports'!AG13/SUM('Total exports'!AG$3:AG$73)</f>
        <v>3.1902122923323758E-3</v>
      </c>
      <c r="AH13">
        <f>'Total exports'!AH13/SUM('Total exports'!AH$3:AH$73)</f>
        <v>3.1575841947457791E-3</v>
      </c>
      <c r="AI13">
        <f>'Total exports'!AI13/SUM('Total exports'!AI$3:AI$73)</f>
        <v>3.123692612179521E-3</v>
      </c>
      <c r="AJ13">
        <f>'Total exports'!AJ13/SUM('Total exports'!AJ$3:AJ$73)</f>
        <v>3.0885657904624877E-3</v>
      </c>
      <c r="AK13">
        <f>'Total exports'!AK13/SUM('Total exports'!AK$3:AK$73)</f>
        <v>3.0526036916552102E-3</v>
      </c>
      <c r="AL13">
        <f>'Total exports'!AL13/SUM('Total exports'!AL$3:AL$73)</f>
        <v>3.0157917690061768E-3</v>
      </c>
      <c r="AM13">
        <f>'Total exports'!AM13/SUM('Total exports'!AM$3:AM$73)</f>
        <v>2.9779493186895996E-3</v>
      </c>
      <c r="AN13">
        <f>'Total exports'!AN13/SUM('Total exports'!AN$3:AN$73)</f>
        <v>2.9391938099762255E-3</v>
      </c>
      <c r="AO13">
        <f>'Total exports'!AO13/SUM('Total exports'!AO$3:AO$73)</f>
        <v>2.9003103220138719E-3</v>
      </c>
      <c r="AP13">
        <f>'Total exports'!AP13/SUM('Total exports'!AP$3:AP$73)</f>
        <v>2.8609988425634422E-3</v>
      </c>
    </row>
    <row r="14" spans="1:42" x14ac:dyDescent="0.3">
      <c r="A14" t="s">
        <v>161</v>
      </c>
      <c r="B14">
        <f>'Total exports'!B14/SUM('Total exports'!B$3:B$73)</f>
        <v>1.2933502061971925E-3</v>
      </c>
      <c r="C14">
        <f>'Total exports'!C14/SUM('Total exports'!C$3:C$73)</f>
        <v>1.3838474479166809E-3</v>
      </c>
      <c r="D14">
        <f>'Total exports'!D14/SUM('Total exports'!D$3:D$73)</f>
        <v>1.5908681936746766E-3</v>
      </c>
      <c r="E14">
        <f>'Total exports'!E14/SUM('Total exports'!E$3:E$73)</f>
        <v>1.6483482779361886E-3</v>
      </c>
      <c r="F14">
        <f>'Total exports'!F14/SUM('Total exports'!F$3:F$73)</f>
        <v>1.6220469698288399E-3</v>
      </c>
      <c r="G14">
        <f>'Total exports'!G14/SUM('Total exports'!G$3:G$73)</f>
        <v>1.5836150715609562E-3</v>
      </c>
      <c r="H14">
        <f>'Total exports'!H14/SUM('Total exports'!H$3:H$73)</f>
        <v>1.5050024205020694E-3</v>
      </c>
      <c r="I14">
        <f>'Total exports'!I14/SUM('Total exports'!I$3:I$73)</f>
        <v>1.6060241704090672E-3</v>
      </c>
      <c r="J14">
        <f>'Total exports'!J14/SUM('Total exports'!J$3:J$73)</f>
        <v>1.5492238705147499E-3</v>
      </c>
      <c r="K14">
        <f>'Total exports'!K14/SUM('Total exports'!K$3:K$73)</f>
        <v>1.5746339125496975E-3</v>
      </c>
      <c r="L14">
        <f>'Total exports'!L14/SUM('Total exports'!L$3:L$73)</f>
        <v>1.3112398131263291E-3</v>
      </c>
      <c r="M14">
        <f>'Total exports'!M14/SUM('Total exports'!M$3:M$73)</f>
        <v>1.4709218321391929E-3</v>
      </c>
      <c r="N14">
        <f>'Total exports'!N14/SUM('Total exports'!N$3:N$73)</f>
        <v>1.8589260800750752E-3</v>
      </c>
      <c r="O14">
        <f>'Total exports'!O14/SUM('Total exports'!O$3:O$73)</f>
        <v>1.9150518045818886E-3</v>
      </c>
      <c r="P14">
        <f>'Total exports'!P14/SUM('Total exports'!P$3:P$73)</f>
        <v>1.8946670925527572E-3</v>
      </c>
      <c r="Q14">
        <f>'Total exports'!Q14/SUM('Total exports'!Q$3:Q$73)</f>
        <v>1.8744729276441875E-3</v>
      </c>
      <c r="R14">
        <f>'Total exports'!R14/SUM('Total exports'!R$3:R$73)</f>
        <v>1.852751839295526E-3</v>
      </c>
      <c r="S14">
        <f>'Total exports'!S14/SUM('Total exports'!S$3:S$73)</f>
        <v>1.8264668637232645E-3</v>
      </c>
      <c r="T14">
        <f>'Total exports'!T14/SUM('Total exports'!T$3:T$73)</f>
        <v>1.7833513891742289E-3</v>
      </c>
      <c r="U14">
        <f>'Total exports'!U14/SUM('Total exports'!U$3:U$73)</f>
        <v>1.7436020704677407E-3</v>
      </c>
      <c r="V14">
        <f>'Total exports'!V14/SUM('Total exports'!V$3:V$73)</f>
        <v>1.7255921115032422E-3</v>
      </c>
      <c r="W14">
        <f>'Total exports'!W14/SUM('Total exports'!W$3:W$73)</f>
        <v>1.6935599359375257E-3</v>
      </c>
      <c r="X14">
        <f>'Total exports'!X14/SUM('Total exports'!X$3:X$73)</f>
        <v>1.6599912920872888E-3</v>
      </c>
      <c r="Y14">
        <f>'Total exports'!Y14/SUM('Total exports'!Y$3:Y$73)</f>
        <v>1.6278068576503905E-3</v>
      </c>
      <c r="Z14">
        <f>'Total exports'!Z14/SUM('Total exports'!Z$3:Z$73)</f>
        <v>1.597446722790124E-3</v>
      </c>
      <c r="AA14">
        <f>'Total exports'!AA14/SUM('Total exports'!AA$3:AA$73)</f>
        <v>1.5688918029980424E-3</v>
      </c>
      <c r="AB14">
        <f>'Total exports'!AB14/SUM('Total exports'!AB$3:AB$73)</f>
        <v>1.5424096575628117E-3</v>
      </c>
      <c r="AC14">
        <f>'Total exports'!AC14/SUM('Total exports'!AC$3:AC$73)</f>
        <v>1.5177287951863064E-3</v>
      </c>
      <c r="AD14">
        <f>'Total exports'!AD14/SUM('Total exports'!AD$3:AD$73)</f>
        <v>1.4942987347844954E-3</v>
      </c>
      <c r="AE14">
        <f>'Total exports'!AE14/SUM('Total exports'!AE$3:AE$73)</f>
        <v>1.4722968476417089E-3</v>
      </c>
      <c r="AF14">
        <f>'Total exports'!AF14/SUM('Total exports'!AF$3:AF$73)</f>
        <v>1.4524108595917995E-3</v>
      </c>
      <c r="AG14">
        <f>'Total exports'!AG14/SUM('Total exports'!AG$3:AG$73)</f>
        <v>1.4332478034193405E-3</v>
      </c>
      <c r="AH14">
        <f>'Total exports'!AH14/SUM('Total exports'!AH$3:AH$73)</f>
        <v>1.4146904410760103E-3</v>
      </c>
      <c r="AI14">
        <f>'Total exports'!AI14/SUM('Total exports'!AI$3:AI$73)</f>
        <v>1.3964740792492781E-3</v>
      </c>
      <c r="AJ14">
        <f>'Total exports'!AJ14/SUM('Total exports'!AJ$3:AJ$73)</f>
        <v>1.3786250776402183E-3</v>
      </c>
      <c r="AK14">
        <f>'Total exports'!AK14/SUM('Total exports'!AK$3:AK$73)</f>
        <v>1.3615215911118414E-3</v>
      </c>
      <c r="AL14">
        <f>'Total exports'!AL14/SUM('Total exports'!AL$3:AL$73)</f>
        <v>1.3451433025467978E-3</v>
      </c>
      <c r="AM14">
        <f>'Total exports'!AM14/SUM('Total exports'!AM$3:AM$73)</f>
        <v>1.3294866215623165E-3</v>
      </c>
      <c r="AN14">
        <f>'Total exports'!AN14/SUM('Total exports'!AN$3:AN$73)</f>
        <v>1.3145523447866442E-3</v>
      </c>
      <c r="AO14">
        <f>'Total exports'!AO14/SUM('Total exports'!AO$3:AO$73)</f>
        <v>1.3001021716147138E-3</v>
      </c>
      <c r="AP14">
        <f>'Total exports'!AP14/SUM('Total exports'!AP$3:AP$73)</f>
        <v>1.2858810370540417E-3</v>
      </c>
    </row>
    <row r="15" spans="1:42" x14ac:dyDescent="0.3">
      <c r="A15" t="s">
        <v>162</v>
      </c>
      <c r="B15">
        <f>'Total exports'!B15/SUM('Total exports'!B$3:B$73)</f>
        <v>3.4596073797050313E-3</v>
      </c>
      <c r="C15">
        <f>'Total exports'!C15/SUM('Total exports'!C$3:C$73)</f>
        <v>3.1951644901193265E-3</v>
      </c>
      <c r="D15">
        <f>'Total exports'!D15/SUM('Total exports'!D$3:D$73)</f>
        <v>3.1390644573128937E-3</v>
      </c>
      <c r="E15">
        <f>'Total exports'!E15/SUM('Total exports'!E$3:E$73)</f>
        <v>2.9182754409494915E-3</v>
      </c>
      <c r="F15">
        <f>'Total exports'!F15/SUM('Total exports'!F$3:F$73)</f>
        <v>2.7229275538434928E-3</v>
      </c>
      <c r="G15">
        <f>'Total exports'!G15/SUM('Total exports'!G$3:G$73)</f>
        <v>2.5788058572412914E-3</v>
      </c>
      <c r="H15">
        <f>'Total exports'!H15/SUM('Total exports'!H$3:H$73)</f>
        <v>2.5368428746449681E-3</v>
      </c>
      <c r="I15">
        <f>'Total exports'!I15/SUM('Total exports'!I$3:I$73)</f>
        <v>2.6538688263927778E-3</v>
      </c>
      <c r="J15">
        <f>'Total exports'!J15/SUM('Total exports'!J$3:J$73)</f>
        <v>2.9724190963470016E-3</v>
      </c>
      <c r="K15">
        <f>'Total exports'!K15/SUM('Total exports'!K$3:K$73)</f>
        <v>3.0754703030952991E-3</v>
      </c>
      <c r="L15">
        <f>'Total exports'!L15/SUM('Total exports'!L$3:L$73)</f>
        <v>2.8636277667913831E-3</v>
      </c>
      <c r="M15">
        <f>'Total exports'!M15/SUM('Total exports'!M$3:M$73)</f>
        <v>3.0989507419875721E-3</v>
      </c>
      <c r="N15">
        <f>'Total exports'!N15/SUM('Total exports'!N$3:N$73)</f>
        <v>3.5842150982611869E-3</v>
      </c>
      <c r="O15">
        <f>'Total exports'!O15/SUM('Total exports'!O$3:O$73)</f>
        <v>3.5061968180616875E-3</v>
      </c>
      <c r="P15">
        <f>'Total exports'!P15/SUM('Total exports'!P$3:P$73)</f>
        <v>3.4814387738146373E-3</v>
      </c>
      <c r="Q15">
        <f>'Total exports'!Q15/SUM('Total exports'!Q$3:Q$73)</f>
        <v>3.4913131669110742E-3</v>
      </c>
      <c r="R15">
        <f>'Total exports'!R15/SUM('Total exports'!R$3:R$73)</f>
        <v>3.4301172704549903E-3</v>
      </c>
      <c r="S15">
        <f>'Total exports'!S15/SUM('Total exports'!S$3:S$73)</f>
        <v>3.3731589346132637E-3</v>
      </c>
      <c r="T15">
        <f>'Total exports'!T15/SUM('Total exports'!T$3:T$73)</f>
        <v>3.2900574197182622E-3</v>
      </c>
      <c r="U15">
        <f>'Total exports'!U15/SUM('Total exports'!U$3:U$73)</f>
        <v>3.221058948475619E-3</v>
      </c>
      <c r="V15">
        <f>'Total exports'!V15/SUM('Total exports'!V$3:V$73)</f>
        <v>3.1961956488919491E-3</v>
      </c>
      <c r="W15">
        <f>'Total exports'!W15/SUM('Total exports'!W$3:W$73)</f>
        <v>3.1523882012799709E-3</v>
      </c>
      <c r="X15">
        <f>'Total exports'!X15/SUM('Total exports'!X$3:X$73)</f>
        <v>3.1108007020372278E-3</v>
      </c>
      <c r="Y15">
        <f>'Total exports'!Y15/SUM('Total exports'!Y$3:Y$73)</f>
        <v>3.0696431495795804E-3</v>
      </c>
      <c r="Z15">
        <f>'Total exports'!Z15/SUM('Total exports'!Z$3:Z$73)</f>
        <v>3.0307025676503761E-3</v>
      </c>
      <c r="AA15">
        <f>'Total exports'!AA15/SUM('Total exports'!AA$3:AA$73)</f>
        <v>2.992949460169249E-3</v>
      </c>
      <c r="AB15">
        <f>'Total exports'!AB15/SUM('Total exports'!AB$3:AB$73)</f>
        <v>2.9569678474017222E-3</v>
      </c>
      <c r="AC15">
        <f>'Total exports'!AC15/SUM('Total exports'!AC$3:AC$73)</f>
        <v>2.9230923884825109E-3</v>
      </c>
      <c r="AD15">
        <f>'Total exports'!AD15/SUM('Total exports'!AD$3:AD$73)</f>
        <v>2.8906191041302262E-3</v>
      </c>
      <c r="AE15">
        <f>'Total exports'!AE15/SUM('Total exports'!AE$3:AE$73)</f>
        <v>2.8607942240220178E-3</v>
      </c>
      <c r="AF15">
        <f>'Total exports'!AF15/SUM('Total exports'!AF$3:AF$73)</f>
        <v>2.8311228424734137E-3</v>
      </c>
      <c r="AG15">
        <f>'Total exports'!AG15/SUM('Total exports'!AG$3:AG$73)</f>
        <v>2.8000375415144141E-3</v>
      </c>
      <c r="AH15">
        <f>'Total exports'!AH15/SUM('Total exports'!AH$3:AH$73)</f>
        <v>2.7682363418998E-3</v>
      </c>
      <c r="AI15">
        <f>'Total exports'!AI15/SUM('Total exports'!AI$3:AI$73)</f>
        <v>2.7356499653544528E-3</v>
      </c>
      <c r="AJ15">
        <f>'Total exports'!AJ15/SUM('Total exports'!AJ$3:AJ$73)</f>
        <v>2.7023165151987718E-3</v>
      </c>
      <c r="AK15">
        <f>'Total exports'!AK15/SUM('Total exports'!AK$3:AK$73)</f>
        <v>2.668253447532232E-3</v>
      </c>
      <c r="AL15">
        <f>'Total exports'!AL15/SUM('Total exports'!AL$3:AL$73)</f>
        <v>2.6336266629205388E-3</v>
      </c>
      <c r="AM15">
        <f>'Total exports'!AM15/SUM('Total exports'!AM$3:AM$73)</f>
        <v>2.5981902263048427E-3</v>
      </c>
      <c r="AN15">
        <f>'Total exports'!AN15/SUM('Total exports'!AN$3:AN$73)</f>
        <v>2.561891139432042E-3</v>
      </c>
      <c r="AO15">
        <f>'Total exports'!AO15/SUM('Total exports'!AO$3:AO$73)</f>
        <v>2.5250201626448436E-3</v>
      </c>
      <c r="AP15">
        <f>'Total exports'!AP15/SUM('Total exports'!AP$3:AP$73)</f>
        <v>2.4877275011342811E-3</v>
      </c>
    </row>
    <row r="16" spans="1:42" x14ac:dyDescent="0.3">
      <c r="A16" t="s">
        <v>163</v>
      </c>
      <c r="B16">
        <f>'Total exports'!B16/SUM('Total exports'!B$3:B$73)</f>
        <v>6.7944680578829169E-3</v>
      </c>
      <c r="C16">
        <f>'Total exports'!C16/SUM('Total exports'!C$3:C$73)</f>
        <v>7.098366380502194E-3</v>
      </c>
      <c r="D16">
        <f>'Total exports'!D16/SUM('Total exports'!D$3:D$73)</f>
        <v>7.1012440424535325E-3</v>
      </c>
      <c r="E16">
        <f>'Total exports'!E16/SUM('Total exports'!E$3:E$73)</f>
        <v>6.3424356880313407E-3</v>
      </c>
      <c r="F16">
        <f>'Total exports'!F16/SUM('Total exports'!F$3:F$73)</f>
        <v>6.0191099718219033E-3</v>
      </c>
      <c r="G16">
        <f>'Total exports'!G16/SUM('Total exports'!G$3:G$73)</f>
        <v>6.3197676882570985E-3</v>
      </c>
      <c r="H16">
        <f>'Total exports'!H16/SUM('Total exports'!H$3:H$73)</f>
        <v>6.2481753326797378E-3</v>
      </c>
      <c r="I16">
        <f>'Total exports'!I16/SUM('Total exports'!I$3:I$73)</f>
        <v>6.2110288347573782E-3</v>
      </c>
      <c r="J16">
        <f>'Total exports'!J16/SUM('Total exports'!J$3:J$73)</f>
        <v>5.9610429500017393E-3</v>
      </c>
      <c r="K16">
        <f>'Total exports'!K16/SUM('Total exports'!K$3:K$73)</f>
        <v>6.1399991647619525E-3</v>
      </c>
      <c r="L16">
        <f>'Total exports'!L16/SUM('Total exports'!L$3:L$73)</f>
        <v>5.9331817989723796E-3</v>
      </c>
      <c r="M16">
        <f>'Total exports'!M16/SUM('Total exports'!M$3:M$73)</f>
        <v>6.5954144045512249E-3</v>
      </c>
      <c r="N16">
        <f>'Total exports'!N16/SUM('Total exports'!N$3:N$73)</f>
        <v>7.3273611245878592E-3</v>
      </c>
      <c r="O16">
        <f>'Total exports'!O16/SUM('Total exports'!O$3:O$73)</f>
        <v>7.250238976928486E-3</v>
      </c>
      <c r="P16">
        <f>'Total exports'!P16/SUM('Total exports'!P$3:P$73)</f>
        <v>7.0376010392760851E-3</v>
      </c>
      <c r="Q16">
        <f>'Total exports'!Q16/SUM('Total exports'!Q$3:Q$73)</f>
        <v>7.0241300200036133E-3</v>
      </c>
      <c r="R16">
        <f>'Total exports'!R16/SUM('Total exports'!R$3:R$73)</f>
        <v>6.9330134190434198E-3</v>
      </c>
      <c r="S16">
        <f>'Total exports'!S16/SUM('Total exports'!S$3:S$73)</f>
        <v>6.8424367772300211E-3</v>
      </c>
      <c r="T16">
        <f>'Total exports'!T16/SUM('Total exports'!T$3:T$73)</f>
        <v>6.7022597929958993E-3</v>
      </c>
      <c r="U16">
        <f>'Total exports'!U16/SUM('Total exports'!U$3:U$73)</f>
        <v>6.5927875897448564E-3</v>
      </c>
      <c r="V16">
        <f>'Total exports'!V16/SUM('Total exports'!V$3:V$73)</f>
        <v>6.5722259775537525E-3</v>
      </c>
      <c r="W16">
        <f>'Total exports'!W16/SUM('Total exports'!W$3:W$73)</f>
        <v>6.5099551270796814E-3</v>
      </c>
      <c r="X16">
        <f>'Total exports'!X16/SUM('Total exports'!X$3:X$73)</f>
        <v>6.4509194813884381E-3</v>
      </c>
      <c r="Y16">
        <f>'Total exports'!Y16/SUM('Total exports'!Y$3:Y$73)</f>
        <v>6.3928459772219738E-3</v>
      </c>
      <c r="Z16">
        <f>'Total exports'!Z16/SUM('Total exports'!Z$3:Z$73)</f>
        <v>6.3386878832182502E-3</v>
      </c>
      <c r="AA16">
        <f>'Total exports'!AA16/SUM('Total exports'!AA$3:AA$73)</f>
        <v>6.2888102603635646E-3</v>
      </c>
      <c r="AB16">
        <f>'Total exports'!AB16/SUM('Total exports'!AB$3:AB$73)</f>
        <v>6.243620016652904E-3</v>
      </c>
      <c r="AC16">
        <f>'Total exports'!AC16/SUM('Total exports'!AC$3:AC$73)</f>
        <v>6.2024939466241184E-3</v>
      </c>
      <c r="AD16">
        <f>'Total exports'!AD16/SUM('Total exports'!AD$3:AD$73)</f>
        <v>6.1628053265805963E-3</v>
      </c>
      <c r="AE16">
        <f>'Total exports'!AE16/SUM('Total exports'!AE$3:AE$73)</f>
        <v>6.1280703000223154E-3</v>
      </c>
      <c r="AF16">
        <f>'Total exports'!AF16/SUM('Total exports'!AF$3:AF$73)</f>
        <v>6.0917960550551497E-3</v>
      </c>
      <c r="AG16">
        <f>'Total exports'!AG16/SUM('Total exports'!AG$3:AG$73)</f>
        <v>6.0538565389121508E-3</v>
      </c>
      <c r="AH16">
        <f>'Total exports'!AH16/SUM('Total exports'!AH$3:AH$73)</f>
        <v>6.0158184653056447E-3</v>
      </c>
      <c r="AI16">
        <f>'Total exports'!AI16/SUM('Total exports'!AI$3:AI$73)</f>
        <v>5.9758272900842244E-3</v>
      </c>
      <c r="AJ16">
        <f>'Total exports'!AJ16/SUM('Total exports'!AJ$3:AJ$73)</f>
        <v>5.9343272284036802E-3</v>
      </c>
      <c r="AK16">
        <f>'Total exports'!AK16/SUM('Total exports'!AK$3:AK$73)</f>
        <v>5.8902725913070348E-3</v>
      </c>
      <c r="AL16">
        <f>'Total exports'!AL16/SUM('Total exports'!AL$3:AL$73)</f>
        <v>5.843787994453932E-3</v>
      </c>
      <c r="AM16">
        <f>'Total exports'!AM16/SUM('Total exports'!AM$3:AM$73)</f>
        <v>5.7946051214403287E-3</v>
      </c>
      <c r="AN16">
        <f>'Total exports'!AN16/SUM('Total exports'!AN$3:AN$73)</f>
        <v>5.7427122308920482E-3</v>
      </c>
      <c r="AO16">
        <f>'Total exports'!AO16/SUM('Total exports'!AO$3:AO$73)</f>
        <v>5.6901620920394242E-3</v>
      </c>
      <c r="AP16">
        <f>'Total exports'!AP16/SUM('Total exports'!AP$3:AP$73)</f>
        <v>5.6364142175902151E-3</v>
      </c>
    </row>
    <row r="17" spans="1:42" x14ac:dyDescent="0.3">
      <c r="A17" t="s">
        <v>164</v>
      </c>
      <c r="B17">
        <f>'Total exports'!B17/SUM('Total exports'!B$3:B$73)</f>
        <v>2.6153582214580407E-2</v>
      </c>
      <c r="C17">
        <f>'Total exports'!C17/SUM('Total exports'!C$3:C$73)</f>
        <v>2.6860430631599277E-2</v>
      </c>
      <c r="D17">
        <f>'Total exports'!D17/SUM('Total exports'!D$3:D$73)</f>
        <v>2.906900532622033E-2</v>
      </c>
      <c r="E17">
        <f>'Total exports'!E17/SUM('Total exports'!E$3:E$73)</f>
        <v>2.8013532788421076E-2</v>
      </c>
      <c r="F17">
        <f>'Total exports'!F17/SUM('Total exports'!F$3:F$73)</f>
        <v>2.756985872304183E-2</v>
      </c>
      <c r="G17">
        <f>'Total exports'!G17/SUM('Total exports'!G$3:G$73)</f>
        <v>3.0311891511332435E-2</v>
      </c>
      <c r="H17">
        <f>'Total exports'!H17/SUM('Total exports'!H$3:H$73)</f>
        <v>2.8319004812702071E-2</v>
      </c>
      <c r="I17">
        <f>'Total exports'!I17/SUM('Total exports'!I$3:I$73)</f>
        <v>2.772732320829286E-2</v>
      </c>
      <c r="J17">
        <f>'Total exports'!J17/SUM('Total exports'!J$3:J$73)</f>
        <v>2.758897660085748E-2</v>
      </c>
      <c r="K17">
        <f>'Total exports'!K17/SUM('Total exports'!K$3:K$73)</f>
        <v>2.719315738086699E-2</v>
      </c>
      <c r="L17">
        <f>'Total exports'!L17/SUM('Total exports'!L$3:L$73)</f>
        <v>2.5688129988387893E-2</v>
      </c>
      <c r="M17">
        <f>'Total exports'!M17/SUM('Total exports'!M$3:M$73)</f>
        <v>2.382417188239231E-2</v>
      </c>
      <c r="N17">
        <f>'Total exports'!N17/SUM('Total exports'!N$3:N$73)</f>
        <v>2.2455863158575871E-2</v>
      </c>
      <c r="O17">
        <f>'Total exports'!O17/SUM('Total exports'!O$3:O$73)</f>
        <v>2.2608881883760108E-2</v>
      </c>
      <c r="P17">
        <f>'Total exports'!P17/SUM('Total exports'!P$3:P$73)</f>
        <v>2.2320240100493795E-2</v>
      </c>
      <c r="Q17">
        <f>'Total exports'!Q17/SUM('Total exports'!Q$3:Q$73)</f>
        <v>2.1971949040759393E-2</v>
      </c>
      <c r="R17">
        <f>'Total exports'!R17/SUM('Total exports'!R$3:R$73)</f>
        <v>2.1689817074823422E-2</v>
      </c>
      <c r="S17">
        <f>'Total exports'!S17/SUM('Total exports'!S$3:S$73)</f>
        <v>2.1427786866427989E-2</v>
      </c>
      <c r="T17">
        <f>'Total exports'!T17/SUM('Total exports'!T$3:T$73)</f>
        <v>2.1004261520838761E-2</v>
      </c>
      <c r="U17">
        <f>'Total exports'!U17/SUM('Total exports'!U$3:U$73)</f>
        <v>2.066716954878707E-2</v>
      </c>
      <c r="V17">
        <f>'Total exports'!V17/SUM('Total exports'!V$3:V$73)</f>
        <v>2.0604590448038716E-2</v>
      </c>
      <c r="W17">
        <f>'Total exports'!W17/SUM('Total exports'!W$3:W$73)</f>
        <v>2.0450526044196681E-2</v>
      </c>
      <c r="X17">
        <f>'Total exports'!X17/SUM('Total exports'!X$3:X$73)</f>
        <v>2.0301638710045922E-2</v>
      </c>
      <c r="Y17">
        <f>'Total exports'!Y17/SUM('Total exports'!Y$3:Y$73)</f>
        <v>2.0152217548141657E-2</v>
      </c>
      <c r="Z17">
        <f>'Total exports'!Z17/SUM('Total exports'!Z$3:Z$73)</f>
        <v>2.0001014227217773E-2</v>
      </c>
      <c r="AA17">
        <f>'Total exports'!AA17/SUM('Total exports'!AA$3:AA$73)</f>
        <v>1.9848653191209861E-2</v>
      </c>
      <c r="AB17">
        <f>'Total exports'!AB17/SUM('Total exports'!AB$3:AB$73)</f>
        <v>1.9695540785144235E-2</v>
      </c>
      <c r="AC17">
        <f>'Total exports'!AC17/SUM('Total exports'!AC$3:AC$73)</f>
        <v>1.9539575741830389E-2</v>
      </c>
      <c r="AD17">
        <f>'Total exports'!AD17/SUM('Total exports'!AD$3:AD$73)</f>
        <v>1.9384039777516567E-2</v>
      </c>
      <c r="AE17">
        <f>'Total exports'!AE17/SUM('Total exports'!AE$3:AE$73)</f>
        <v>1.922622220217712E-2</v>
      </c>
      <c r="AF17">
        <f>'Total exports'!AF17/SUM('Total exports'!AF$3:AF$73)</f>
        <v>1.9071500398866299E-2</v>
      </c>
      <c r="AG17">
        <f>'Total exports'!AG17/SUM('Total exports'!AG$3:AG$73)</f>
        <v>1.8917270181499215E-2</v>
      </c>
      <c r="AH17">
        <f>'Total exports'!AH17/SUM('Total exports'!AH$3:AH$73)</f>
        <v>1.8765598537728991E-2</v>
      </c>
      <c r="AI17">
        <f>'Total exports'!AI17/SUM('Total exports'!AI$3:AI$73)</f>
        <v>1.8615275043598407E-2</v>
      </c>
      <c r="AJ17">
        <f>'Total exports'!AJ17/SUM('Total exports'!AJ$3:AJ$73)</f>
        <v>1.8466654936937065E-2</v>
      </c>
      <c r="AK17">
        <f>'Total exports'!AK17/SUM('Total exports'!AK$3:AK$73)</f>
        <v>1.832083433575285E-2</v>
      </c>
      <c r="AL17">
        <f>'Total exports'!AL17/SUM('Total exports'!AL$3:AL$73)</f>
        <v>1.8177628213094852E-2</v>
      </c>
      <c r="AM17">
        <f>'Total exports'!AM17/SUM('Total exports'!AM$3:AM$73)</f>
        <v>1.8034721708608956E-2</v>
      </c>
      <c r="AN17">
        <f>'Total exports'!AN17/SUM('Total exports'!AN$3:AN$73)</f>
        <v>1.789352923868523E-2</v>
      </c>
      <c r="AO17">
        <f>'Total exports'!AO17/SUM('Total exports'!AO$3:AO$73)</f>
        <v>1.7754992976073043E-2</v>
      </c>
      <c r="AP17">
        <f>'Total exports'!AP17/SUM('Total exports'!AP$3:AP$73)</f>
        <v>1.7617693943029065E-2</v>
      </c>
    </row>
    <row r="18" spans="1:42" x14ac:dyDescent="0.3">
      <c r="A18" t="s">
        <v>165</v>
      </c>
      <c r="B18">
        <f>'Total exports'!B18/SUM('Total exports'!B$3:B$73)</f>
        <v>1.6501540889526311E-3</v>
      </c>
      <c r="C18">
        <f>'Total exports'!C18/SUM('Total exports'!C$3:C$73)</f>
        <v>1.7751086421898569E-3</v>
      </c>
      <c r="D18">
        <f>'Total exports'!D18/SUM('Total exports'!D$3:D$73)</f>
        <v>2.1060182686834386E-3</v>
      </c>
      <c r="E18">
        <f>'Total exports'!E18/SUM('Total exports'!E$3:E$73)</f>
        <v>1.95014020985341E-3</v>
      </c>
      <c r="F18">
        <f>'Total exports'!F18/SUM('Total exports'!F$3:F$73)</f>
        <v>1.8766890729931156E-3</v>
      </c>
      <c r="G18">
        <f>'Total exports'!G18/SUM('Total exports'!G$3:G$73)</f>
        <v>1.9574566978349112E-3</v>
      </c>
      <c r="H18">
        <f>'Total exports'!H18/SUM('Total exports'!H$3:H$73)</f>
        <v>2.000946143975476E-3</v>
      </c>
      <c r="I18">
        <f>'Total exports'!I18/SUM('Total exports'!I$3:I$73)</f>
        <v>2.0847025974349517E-3</v>
      </c>
      <c r="J18">
        <f>'Total exports'!J18/SUM('Total exports'!J$3:J$73)</f>
        <v>2.0971796772243129E-3</v>
      </c>
      <c r="K18">
        <f>'Total exports'!K18/SUM('Total exports'!K$3:K$73)</f>
        <v>2.0919022019709574E-3</v>
      </c>
      <c r="L18">
        <f>'Total exports'!L18/SUM('Total exports'!L$3:L$73)</f>
        <v>1.9807813294165384E-3</v>
      </c>
      <c r="M18">
        <f>'Total exports'!M18/SUM('Total exports'!M$3:M$73)</f>
        <v>2.1181831452142066E-3</v>
      </c>
      <c r="N18">
        <f>'Total exports'!N18/SUM('Total exports'!N$3:N$73)</f>
        <v>2.4278900924198121E-3</v>
      </c>
      <c r="O18">
        <f>'Total exports'!O18/SUM('Total exports'!O$3:O$73)</f>
        <v>2.4319501505847109E-3</v>
      </c>
      <c r="P18">
        <f>'Total exports'!P18/SUM('Total exports'!P$3:P$73)</f>
        <v>2.407201004695019E-3</v>
      </c>
      <c r="Q18">
        <f>'Total exports'!Q18/SUM('Total exports'!Q$3:Q$73)</f>
        <v>2.4293687267704007E-3</v>
      </c>
      <c r="R18">
        <f>'Total exports'!R18/SUM('Total exports'!R$3:R$73)</f>
        <v>2.3903404793516039E-3</v>
      </c>
      <c r="S18">
        <f>'Total exports'!S18/SUM('Total exports'!S$3:S$73)</f>
        <v>2.3518122024273713E-3</v>
      </c>
      <c r="T18">
        <f>'Total exports'!T18/SUM('Total exports'!T$3:T$73)</f>
        <v>2.2968932150688598E-3</v>
      </c>
      <c r="U18">
        <f>'Total exports'!U18/SUM('Total exports'!U$3:U$73)</f>
        <v>2.2531857225166047E-3</v>
      </c>
      <c r="V18">
        <f>'Total exports'!V18/SUM('Total exports'!V$3:V$73)</f>
        <v>2.2418454835991895E-3</v>
      </c>
      <c r="W18">
        <f>'Total exports'!W18/SUM('Total exports'!W$3:W$73)</f>
        <v>2.217006648679173E-3</v>
      </c>
      <c r="X18">
        <f>'Total exports'!X18/SUM('Total exports'!X$3:X$73)</f>
        <v>2.1923719717493011E-3</v>
      </c>
      <c r="Y18">
        <f>'Total exports'!Y18/SUM('Total exports'!Y$3:Y$73)</f>
        <v>2.1674439142372452E-3</v>
      </c>
      <c r="Z18">
        <f>'Total exports'!Z18/SUM('Total exports'!Z$3:Z$73)</f>
        <v>2.143270169689012E-3</v>
      </c>
      <c r="AA18">
        <f>'Total exports'!AA18/SUM('Total exports'!AA$3:AA$73)</f>
        <v>2.1194589211775625E-3</v>
      </c>
      <c r="AB18">
        <f>'Total exports'!AB18/SUM('Total exports'!AB$3:AB$73)</f>
        <v>2.0963209416943332E-3</v>
      </c>
      <c r="AC18">
        <f>'Total exports'!AC18/SUM('Total exports'!AC$3:AC$73)</f>
        <v>2.0740936260551313E-3</v>
      </c>
      <c r="AD18">
        <f>'Total exports'!AD18/SUM('Total exports'!AD$3:AD$73)</f>
        <v>2.0520310391661852E-3</v>
      </c>
      <c r="AE18">
        <f>'Total exports'!AE18/SUM('Total exports'!AE$3:AE$73)</f>
        <v>2.0308556297308064E-3</v>
      </c>
      <c r="AF18">
        <f>'Total exports'!AF18/SUM('Total exports'!AF$3:AF$73)</f>
        <v>2.0105126157431213E-3</v>
      </c>
      <c r="AG18">
        <f>'Total exports'!AG18/SUM('Total exports'!AG$3:AG$73)</f>
        <v>1.9902463624535808E-3</v>
      </c>
      <c r="AH18">
        <f>'Total exports'!AH18/SUM('Total exports'!AH$3:AH$73)</f>
        <v>1.9705520916672536E-3</v>
      </c>
      <c r="AI18">
        <f>'Total exports'!AI18/SUM('Total exports'!AI$3:AI$73)</f>
        <v>1.951361449472423E-3</v>
      </c>
      <c r="AJ18">
        <f>'Total exports'!AJ18/SUM('Total exports'!AJ$3:AJ$73)</f>
        <v>1.9327506952958469E-3</v>
      </c>
      <c r="AK18">
        <f>'Total exports'!AK18/SUM('Total exports'!AK$3:AK$73)</f>
        <v>1.9147235346447689E-3</v>
      </c>
      <c r="AL18">
        <f>'Total exports'!AL18/SUM('Total exports'!AL$3:AL$73)</f>
        <v>1.8970522631910876E-3</v>
      </c>
      <c r="AM18">
        <f>'Total exports'!AM18/SUM('Total exports'!AM$3:AM$73)</f>
        <v>1.8790844465397711E-3</v>
      </c>
      <c r="AN18">
        <f>'Total exports'!AN18/SUM('Total exports'!AN$3:AN$73)</f>
        <v>1.8610138103441448E-3</v>
      </c>
      <c r="AO18">
        <f>'Total exports'!AO18/SUM('Total exports'!AO$3:AO$73)</f>
        <v>1.842873186084318E-3</v>
      </c>
      <c r="AP18">
        <f>'Total exports'!AP18/SUM('Total exports'!AP$3:AP$73)</f>
        <v>1.8243132677420875E-3</v>
      </c>
    </row>
    <row r="19" spans="1:42" x14ac:dyDescent="0.3">
      <c r="A19" t="s">
        <v>166</v>
      </c>
      <c r="B19">
        <f>'Total exports'!B19/SUM('Total exports'!B$3:B$73)</f>
        <v>3.0994124335473512E-4</v>
      </c>
      <c r="C19">
        <f>'Total exports'!C19/SUM('Total exports'!C$3:C$73)</f>
        <v>3.7560153636310344E-4</v>
      </c>
      <c r="D19">
        <f>'Total exports'!D19/SUM('Total exports'!D$3:D$73)</f>
        <v>4.2477183716492311E-4</v>
      </c>
      <c r="E19">
        <f>'Total exports'!E19/SUM('Total exports'!E$3:E$73)</f>
        <v>3.6001118126512398E-4</v>
      </c>
      <c r="F19">
        <f>'Total exports'!F19/SUM('Total exports'!F$3:F$73)</f>
        <v>3.3329130164557824E-4</v>
      </c>
      <c r="G19">
        <f>'Total exports'!G19/SUM('Total exports'!G$3:G$73)</f>
        <v>2.8787222463737391E-4</v>
      </c>
      <c r="H19">
        <f>'Total exports'!H19/SUM('Total exports'!H$3:H$73)</f>
        <v>3.1052809936676158E-4</v>
      </c>
      <c r="I19">
        <f>'Total exports'!I19/SUM('Total exports'!I$3:I$73)</f>
        <v>3.282868217523695E-4</v>
      </c>
      <c r="J19">
        <f>'Total exports'!J19/SUM('Total exports'!J$3:J$73)</f>
        <v>3.2290344468571759E-4</v>
      </c>
      <c r="K19">
        <f>'Total exports'!K19/SUM('Total exports'!K$3:K$73)</f>
        <v>3.3370920464110692E-4</v>
      </c>
      <c r="L19">
        <f>'Total exports'!L19/SUM('Total exports'!L$3:L$73)</f>
        <v>3.2304245466013777E-4</v>
      </c>
      <c r="M19">
        <f>'Total exports'!M19/SUM('Total exports'!M$3:M$73)</f>
        <v>3.9660890510831225E-4</v>
      </c>
      <c r="N19">
        <f>'Total exports'!N19/SUM('Total exports'!N$3:N$73)</f>
        <v>4.6055006855077031E-4</v>
      </c>
      <c r="O19">
        <f>'Total exports'!O19/SUM('Total exports'!O$3:O$73)</f>
        <v>4.3446931779442374E-4</v>
      </c>
      <c r="P19">
        <f>'Total exports'!P19/SUM('Total exports'!P$3:P$73)</f>
        <v>4.3226278065244957E-4</v>
      </c>
      <c r="Q19">
        <f>'Total exports'!Q19/SUM('Total exports'!Q$3:Q$73)</f>
        <v>4.358984493311149E-4</v>
      </c>
      <c r="R19">
        <f>'Total exports'!R19/SUM('Total exports'!R$3:R$73)</f>
        <v>4.2880205078060297E-4</v>
      </c>
      <c r="S19">
        <f>'Total exports'!S19/SUM('Total exports'!S$3:S$73)</f>
        <v>4.2195076410419966E-4</v>
      </c>
      <c r="T19">
        <f>'Total exports'!T19/SUM('Total exports'!T$3:T$73)</f>
        <v>4.12164352383751E-4</v>
      </c>
      <c r="U19">
        <f>'Total exports'!U19/SUM('Total exports'!U$3:U$73)</f>
        <v>4.0454465683387582E-4</v>
      </c>
      <c r="V19">
        <f>'Total exports'!V19/SUM('Total exports'!V$3:V$73)</f>
        <v>4.0295110148882979E-4</v>
      </c>
      <c r="W19">
        <f>'Total exports'!W19/SUM('Total exports'!W$3:W$73)</f>
        <v>3.9879099385937408E-4</v>
      </c>
      <c r="X19">
        <f>'Total exports'!X19/SUM('Total exports'!X$3:X$73)</f>
        <v>3.9506859879502544E-4</v>
      </c>
      <c r="Y19">
        <f>'Total exports'!Y19/SUM('Total exports'!Y$3:Y$73)</f>
        <v>3.9140456555820084E-4</v>
      </c>
      <c r="Z19">
        <f>'Total exports'!Z19/SUM('Total exports'!Z$3:Z$73)</f>
        <v>3.8803580791138895E-4</v>
      </c>
      <c r="AA19">
        <f>'Total exports'!AA19/SUM('Total exports'!AA$3:AA$73)</f>
        <v>3.8480476324036277E-4</v>
      </c>
      <c r="AB19">
        <f>'Total exports'!AB19/SUM('Total exports'!AB$3:AB$73)</f>
        <v>3.8190139696574405E-4</v>
      </c>
      <c r="AC19">
        <f>'Total exports'!AC19/SUM('Total exports'!AC$3:AC$73)</f>
        <v>3.7933914321279825E-4</v>
      </c>
      <c r="AD19">
        <f>'Total exports'!AD19/SUM('Total exports'!AD$3:AD$73)</f>
        <v>3.7701362649921361E-4</v>
      </c>
      <c r="AE19">
        <f>'Total exports'!AE19/SUM('Total exports'!AE$3:AE$73)</f>
        <v>3.7498659120784316E-4</v>
      </c>
      <c r="AF19">
        <f>'Total exports'!AF19/SUM('Total exports'!AF$3:AF$73)</f>
        <v>3.7266791199425786E-4</v>
      </c>
      <c r="AG19">
        <f>'Total exports'!AG19/SUM('Total exports'!AG$3:AG$73)</f>
        <v>3.7015406790832537E-4</v>
      </c>
      <c r="AH19">
        <f>'Total exports'!AH19/SUM('Total exports'!AH$3:AH$73)</f>
        <v>3.6764354176326008E-4</v>
      </c>
      <c r="AI19">
        <f>'Total exports'!AI19/SUM('Total exports'!AI$3:AI$73)</f>
        <v>3.6505375861208445E-4</v>
      </c>
      <c r="AJ19">
        <f>'Total exports'!AJ19/SUM('Total exports'!AJ$3:AJ$73)</f>
        <v>3.6240620551760766E-4</v>
      </c>
      <c r="AK19">
        <f>'Total exports'!AK19/SUM('Total exports'!AK$3:AK$73)</f>
        <v>3.5966378105661151E-4</v>
      </c>
      <c r="AL19">
        <f>'Total exports'!AL19/SUM('Total exports'!AL$3:AL$73)</f>
        <v>3.5687966101450534E-4</v>
      </c>
      <c r="AM19">
        <f>'Total exports'!AM19/SUM('Total exports'!AM$3:AM$73)</f>
        <v>3.5396272445178414E-4</v>
      </c>
      <c r="AN19">
        <f>'Total exports'!AN19/SUM('Total exports'!AN$3:AN$73)</f>
        <v>3.5093615550649824E-4</v>
      </c>
      <c r="AO19">
        <f>'Total exports'!AO19/SUM('Total exports'!AO$3:AO$73)</f>
        <v>3.4768952410377442E-4</v>
      </c>
      <c r="AP19">
        <f>'Total exports'!AP19/SUM('Total exports'!AP$3:AP$73)</f>
        <v>3.4425332571541182E-4</v>
      </c>
    </row>
    <row r="20" spans="1:42" x14ac:dyDescent="0.3">
      <c r="A20" t="s">
        <v>167</v>
      </c>
      <c r="B20">
        <f>'Total exports'!B20/SUM('Total exports'!B$3:B$73)</f>
        <v>4.6487849248509682E-4</v>
      </c>
      <c r="C20">
        <f>'Total exports'!C20/SUM('Total exports'!C$3:C$73)</f>
        <v>4.6423900934233184E-4</v>
      </c>
      <c r="D20">
        <f>'Total exports'!D20/SUM('Total exports'!D$3:D$73)</f>
        <v>4.8303899212458613E-4</v>
      </c>
      <c r="E20">
        <f>'Total exports'!E20/SUM('Total exports'!E$3:E$73)</f>
        <v>4.6325892393141448E-4</v>
      </c>
      <c r="F20">
        <f>'Total exports'!F20/SUM('Total exports'!F$3:F$73)</f>
        <v>4.5132023002953601E-4</v>
      </c>
      <c r="G20">
        <f>'Total exports'!G20/SUM('Total exports'!G$3:G$73)</f>
        <v>4.7880967916136979E-4</v>
      </c>
      <c r="H20">
        <f>'Total exports'!H20/SUM('Total exports'!H$3:H$73)</f>
        <v>5.0425081054722876E-4</v>
      </c>
      <c r="I20">
        <f>'Total exports'!I20/SUM('Total exports'!I$3:I$73)</f>
        <v>5.4706286196423628E-4</v>
      </c>
      <c r="J20">
        <f>'Total exports'!J20/SUM('Total exports'!J$3:J$73)</f>
        <v>5.6308297850425008E-4</v>
      </c>
      <c r="K20">
        <f>'Total exports'!K20/SUM('Total exports'!K$3:K$73)</f>
        <v>5.9678035745111308E-4</v>
      </c>
      <c r="L20">
        <f>'Total exports'!L20/SUM('Total exports'!L$3:L$73)</f>
        <v>6.2719262772386989E-4</v>
      </c>
      <c r="M20">
        <f>'Total exports'!M20/SUM('Total exports'!M$3:M$73)</f>
        <v>7.307871647625313E-4</v>
      </c>
      <c r="N20">
        <f>'Total exports'!N20/SUM('Total exports'!N$3:N$73)</f>
        <v>8.1406836644563017E-4</v>
      </c>
      <c r="O20">
        <f>'Total exports'!O20/SUM('Total exports'!O$3:O$73)</f>
        <v>7.8878799121824376E-4</v>
      </c>
      <c r="P20">
        <f>'Total exports'!P20/SUM('Total exports'!P$3:P$73)</f>
        <v>7.8584117181625221E-4</v>
      </c>
      <c r="Q20">
        <f>'Total exports'!Q20/SUM('Total exports'!Q$3:Q$73)</f>
        <v>7.8765502174320875E-4</v>
      </c>
      <c r="R20">
        <f>'Total exports'!R20/SUM('Total exports'!R$3:R$73)</f>
        <v>7.7993654730678979E-4</v>
      </c>
      <c r="S20">
        <f>'Total exports'!S20/SUM('Total exports'!S$3:S$73)</f>
        <v>7.7201376769400569E-4</v>
      </c>
      <c r="T20">
        <f>'Total exports'!T20/SUM('Total exports'!T$3:T$73)</f>
        <v>7.5713224924907774E-4</v>
      </c>
      <c r="U20">
        <f>'Total exports'!U20/SUM('Total exports'!U$3:U$73)</f>
        <v>7.4501345611403683E-4</v>
      </c>
      <c r="V20">
        <f>'Total exports'!V20/SUM('Total exports'!V$3:V$73)</f>
        <v>7.42523925798785E-4</v>
      </c>
      <c r="W20">
        <f>'Total exports'!W20/SUM('Total exports'!W$3:W$73)</f>
        <v>7.3465547670429037E-4</v>
      </c>
      <c r="X20">
        <f>'Total exports'!X20/SUM('Total exports'!X$3:X$73)</f>
        <v>7.2709825907010188E-4</v>
      </c>
      <c r="Y20">
        <f>'Total exports'!Y20/SUM('Total exports'!Y$3:Y$73)</f>
        <v>7.1938575882539337E-4</v>
      </c>
      <c r="Z20">
        <f>'Total exports'!Z20/SUM('Total exports'!Z$3:Z$73)</f>
        <v>7.1195250349839409E-4</v>
      </c>
      <c r="AA20">
        <f>'Total exports'!AA20/SUM('Total exports'!AA$3:AA$73)</f>
        <v>7.0486856872187958E-4</v>
      </c>
      <c r="AB20">
        <f>'Total exports'!AB20/SUM('Total exports'!AB$3:AB$73)</f>
        <v>6.9808390538170575E-4</v>
      </c>
      <c r="AC20">
        <f>'Total exports'!AC20/SUM('Total exports'!AC$3:AC$73)</f>
        <v>6.9185704885455109E-4</v>
      </c>
      <c r="AD20">
        <f>'Total exports'!AD20/SUM('Total exports'!AD$3:AD$73)</f>
        <v>6.859475299297971E-4</v>
      </c>
      <c r="AE20">
        <f>'Total exports'!AE20/SUM('Total exports'!AE$3:AE$73)</f>
        <v>6.8061515006482577E-4</v>
      </c>
      <c r="AF20">
        <f>'Total exports'!AF20/SUM('Total exports'!AF$3:AF$73)</f>
        <v>6.756060147830933E-4</v>
      </c>
      <c r="AG20">
        <f>'Total exports'!AG20/SUM('Total exports'!AG$3:AG$73)</f>
        <v>6.7040997603226029E-4</v>
      </c>
      <c r="AH20">
        <f>'Total exports'!AH20/SUM('Total exports'!AH$3:AH$73)</f>
        <v>6.6513875852529662E-4</v>
      </c>
      <c r="AI20">
        <f>'Total exports'!AI20/SUM('Total exports'!AI$3:AI$73)</f>
        <v>6.5979442198413818E-4</v>
      </c>
      <c r="AJ20">
        <f>'Total exports'!AJ20/SUM('Total exports'!AJ$3:AJ$73)</f>
        <v>6.544046650908996E-4</v>
      </c>
      <c r="AK20">
        <f>'Total exports'!AK20/SUM('Total exports'!AK$3:AK$73)</f>
        <v>6.4884663007083851E-4</v>
      </c>
      <c r="AL20">
        <f>'Total exports'!AL20/SUM('Total exports'!AL$3:AL$73)</f>
        <v>6.4316557201548187E-4</v>
      </c>
      <c r="AM20">
        <f>'Total exports'!AM20/SUM('Total exports'!AM$3:AM$73)</f>
        <v>6.3735949641900063E-4</v>
      </c>
      <c r="AN20">
        <f>'Total exports'!AN20/SUM('Total exports'!AN$3:AN$73)</f>
        <v>6.3137527931357096E-4</v>
      </c>
      <c r="AO20">
        <f>'Total exports'!AO20/SUM('Total exports'!AO$3:AO$73)</f>
        <v>6.2506005794372283E-4</v>
      </c>
      <c r="AP20">
        <f>'Total exports'!AP20/SUM('Total exports'!AP$3:AP$73)</f>
        <v>6.18420437833204E-4</v>
      </c>
    </row>
    <row r="21" spans="1:42" x14ac:dyDescent="0.3">
      <c r="A21" t="s">
        <v>168</v>
      </c>
      <c r="B21">
        <f>'Total exports'!B21/SUM('Total exports'!B$3:B$73)</f>
        <v>3.1499799739755899E-4</v>
      </c>
      <c r="C21">
        <f>'Total exports'!C21/SUM('Total exports'!C$3:C$73)</f>
        <v>3.5618155418434399E-4</v>
      </c>
      <c r="D21">
        <f>'Total exports'!D21/SUM('Total exports'!D$3:D$73)</f>
        <v>4.1526055411460536E-4</v>
      </c>
      <c r="E21">
        <f>'Total exports'!E21/SUM('Total exports'!E$3:E$73)</f>
        <v>3.9207106781146675E-4</v>
      </c>
      <c r="F21">
        <f>'Total exports'!F21/SUM('Total exports'!F$3:F$73)</f>
        <v>3.568303463315479E-4</v>
      </c>
      <c r="G21">
        <f>'Total exports'!G21/SUM('Total exports'!G$3:G$73)</f>
        <v>3.6318466447816608E-4</v>
      </c>
      <c r="H21">
        <f>'Total exports'!H21/SUM('Total exports'!H$3:H$73)</f>
        <v>3.4384945260176479E-4</v>
      </c>
      <c r="I21">
        <f>'Total exports'!I21/SUM('Total exports'!I$3:I$73)</f>
        <v>3.7212824445321716E-4</v>
      </c>
      <c r="J21">
        <f>'Total exports'!J21/SUM('Total exports'!J$3:J$73)</f>
        <v>3.5514788782479105E-4</v>
      </c>
      <c r="K21">
        <f>'Total exports'!K21/SUM('Total exports'!K$3:K$73)</f>
        <v>3.5333128822939621E-4</v>
      </c>
      <c r="L21">
        <f>'Total exports'!L21/SUM('Total exports'!L$3:L$73)</f>
        <v>3.6825061655574107E-4</v>
      </c>
      <c r="M21">
        <f>'Total exports'!M21/SUM('Total exports'!M$3:M$73)</f>
        <v>4.0399391688564651E-4</v>
      </c>
      <c r="N21">
        <f>'Total exports'!N21/SUM('Total exports'!N$3:N$73)</f>
        <v>4.9355394902433198E-4</v>
      </c>
      <c r="O21">
        <f>'Total exports'!O21/SUM('Total exports'!O$3:O$73)</f>
        <v>4.6780082777855093E-4</v>
      </c>
      <c r="P21">
        <f>'Total exports'!P21/SUM('Total exports'!P$3:P$73)</f>
        <v>4.6192691147859338E-4</v>
      </c>
      <c r="Q21">
        <f>'Total exports'!Q21/SUM('Total exports'!Q$3:Q$73)</f>
        <v>4.6112089633189112E-4</v>
      </c>
      <c r="R21">
        <f>'Total exports'!R21/SUM('Total exports'!R$3:R$73)</f>
        <v>4.5527901546262402E-4</v>
      </c>
      <c r="S21">
        <f>'Total exports'!S21/SUM('Total exports'!S$3:S$73)</f>
        <v>4.4942694803556813E-4</v>
      </c>
      <c r="T21">
        <f>'Total exports'!T21/SUM('Total exports'!T$3:T$73)</f>
        <v>4.4035623654067467E-4</v>
      </c>
      <c r="U21">
        <f>'Total exports'!U21/SUM('Total exports'!U$3:U$73)</f>
        <v>4.3329978557666714E-4</v>
      </c>
      <c r="V21">
        <f>'Total exports'!V21/SUM('Total exports'!V$3:V$73)</f>
        <v>4.318621368158555E-4</v>
      </c>
      <c r="W21">
        <f>'Total exports'!W21/SUM('Total exports'!W$3:W$73)</f>
        <v>4.2769481877993047E-4</v>
      </c>
      <c r="X21">
        <f>'Total exports'!X21/SUM('Total exports'!X$3:X$73)</f>
        <v>4.2388397521327538E-4</v>
      </c>
      <c r="Y21">
        <f>'Total exports'!Y21/SUM('Total exports'!Y$3:Y$73)</f>
        <v>4.1992503330166874E-4</v>
      </c>
      <c r="Z21">
        <f>'Total exports'!Z21/SUM('Total exports'!Z$3:Z$73)</f>
        <v>4.15865816759995E-4</v>
      </c>
      <c r="AA21">
        <f>'Total exports'!AA21/SUM('Total exports'!AA$3:AA$73)</f>
        <v>4.1175353291549E-4</v>
      </c>
      <c r="AB21">
        <f>'Total exports'!AB21/SUM('Total exports'!AB$3:AB$73)</f>
        <v>4.0761265606645058E-4</v>
      </c>
      <c r="AC21">
        <f>'Total exports'!AC21/SUM('Total exports'!AC$3:AC$73)</f>
        <v>4.0343620549798919E-4</v>
      </c>
      <c r="AD21">
        <f>'Total exports'!AD21/SUM('Total exports'!AD$3:AD$73)</f>
        <v>3.9898822166461599E-4</v>
      </c>
      <c r="AE21">
        <f>'Total exports'!AE21/SUM('Total exports'!AE$3:AE$73)</f>
        <v>3.9408275670904842E-4</v>
      </c>
      <c r="AF21">
        <f>'Total exports'!AF21/SUM('Total exports'!AF$3:AF$73)</f>
        <v>3.8886648017193777E-4</v>
      </c>
      <c r="AG21">
        <f>'Total exports'!AG21/SUM('Total exports'!AG$3:AG$73)</f>
        <v>3.8329818378087438E-4</v>
      </c>
      <c r="AH21">
        <f>'Total exports'!AH21/SUM('Total exports'!AH$3:AH$73)</f>
        <v>3.774646545469739E-4</v>
      </c>
      <c r="AI21">
        <f>'Total exports'!AI21/SUM('Total exports'!AI$3:AI$73)</f>
        <v>3.7154416280473629E-4</v>
      </c>
      <c r="AJ21">
        <f>'Total exports'!AJ21/SUM('Total exports'!AJ$3:AJ$73)</f>
        <v>3.6547014723990458E-4</v>
      </c>
      <c r="AK21">
        <f>'Total exports'!AK21/SUM('Total exports'!AK$3:AK$73)</f>
        <v>3.5921807841401678E-4</v>
      </c>
      <c r="AL21">
        <f>'Total exports'!AL21/SUM('Total exports'!AL$3:AL$73)</f>
        <v>3.527601583619192E-4</v>
      </c>
      <c r="AM21">
        <f>'Total exports'!AM21/SUM('Total exports'!AM$3:AM$73)</f>
        <v>3.4609384743387303E-4</v>
      </c>
      <c r="AN21">
        <f>'Total exports'!AN21/SUM('Total exports'!AN$3:AN$73)</f>
        <v>3.3927668694050059E-4</v>
      </c>
      <c r="AO21">
        <f>'Total exports'!AO21/SUM('Total exports'!AO$3:AO$73)</f>
        <v>3.3228205593234929E-4</v>
      </c>
      <c r="AP21">
        <f>'Total exports'!AP21/SUM('Total exports'!AP$3:AP$73)</f>
        <v>3.2521940886861802E-4</v>
      </c>
    </row>
    <row r="22" spans="1:42" x14ac:dyDescent="0.3">
      <c r="A22" t="s">
        <v>169</v>
      </c>
      <c r="B22">
        <f>'Total exports'!B22/SUM('Total exports'!B$3:B$73)</f>
        <v>6.2509595511046369E-4</v>
      </c>
      <c r="C22">
        <f>'Total exports'!C22/SUM('Total exports'!C$3:C$73)</f>
        <v>7.540121462083361E-4</v>
      </c>
      <c r="D22">
        <f>'Total exports'!D22/SUM('Total exports'!D$3:D$73)</f>
        <v>8.4128065268050342E-4</v>
      </c>
      <c r="E22">
        <f>'Total exports'!E22/SUM('Total exports'!E$3:E$73)</f>
        <v>9.0877489233923505E-4</v>
      </c>
      <c r="F22">
        <f>'Total exports'!F22/SUM('Total exports'!F$3:F$73)</f>
        <v>7.8344142151553619E-4</v>
      </c>
      <c r="G22">
        <f>'Total exports'!G22/SUM('Total exports'!G$3:G$73)</f>
        <v>6.2895876659383734E-4</v>
      </c>
      <c r="H22">
        <f>'Total exports'!H22/SUM('Total exports'!H$3:H$73)</f>
        <v>6.5366536767498854E-4</v>
      </c>
      <c r="I22">
        <f>'Total exports'!I22/SUM('Total exports'!I$3:I$73)</f>
        <v>7.6134759756636987E-4</v>
      </c>
      <c r="J22">
        <f>'Total exports'!J22/SUM('Total exports'!J$3:J$73)</f>
        <v>7.6958616820551381E-4</v>
      </c>
      <c r="K22">
        <f>'Total exports'!K22/SUM('Total exports'!K$3:K$73)</f>
        <v>8.2596331259570375E-4</v>
      </c>
      <c r="L22">
        <f>'Total exports'!L22/SUM('Total exports'!L$3:L$73)</f>
        <v>8.3248612366177929E-4</v>
      </c>
      <c r="M22">
        <f>'Total exports'!M22/SUM('Total exports'!M$3:M$73)</f>
        <v>9.6198307858383868E-4</v>
      </c>
      <c r="N22">
        <f>'Total exports'!N22/SUM('Total exports'!N$3:N$73)</f>
        <v>1.1711205385553541E-3</v>
      </c>
      <c r="O22">
        <f>'Total exports'!O22/SUM('Total exports'!O$3:O$73)</f>
        <v>1.0942952132446855E-3</v>
      </c>
      <c r="P22">
        <f>'Total exports'!P22/SUM('Total exports'!P$3:P$73)</f>
        <v>1.0968491640658549E-3</v>
      </c>
      <c r="Q22">
        <f>'Total exports'!Q22/SUM('Total exports'!Q$3:Q$73)</f>
        <v>1.1367977941902517E-3</v>
      </c>
      <c r="R22">
        <f>'Total exports'!R22/SUM('Total exports'!R$3:R$73)</f>
        <v>1.1280164723134623E-3</v>
      </c>
      <c r="S22">
        <f>'Total exports'!S22/SUM('Total exports'!S$3:S$73)</f>
        <v>1.1180782425158819E-3</v>
      </c>
      <c r="T22">
        <f>'Total exports'!T22/SUM('Total exports'!T$3:T$73)</f>
        <v>1.0969215629269139E-3</v>
      </c>
      <c r="U22">
        <f>'Total exports'!U22/SUM('Total exports'!U$3:U$73)</f>
        <v>1.0790127940325288E-3</v>
      </c>
      <c r="V22">
        <f>'Total exports'!V22/SUM('Total exports'!V$3:V$73)</f>
        <v>1.0745127736010685E-3</v>
      </c>
      <c r="W22">
        <f>'Total exports'!W22/SUM('Total exports'!W$3:W$73)</f>
        <v>1.0626924101303564E-3</v>
      </c>
      <c r="X22">
        <f>'Total exports'!X22/SUM('Total exports'!X$3:X$73)</f>
        <v>1.0515587745006695E-3</v>
      </c>
      <c r="Y22">
        <f>'Total exports'!Y22/SUM('Total exports'!Y$3:Y$73)</f>
        <v>1.0400571914093537E-3</v>
      </c>
      <c r="Z22">
        <f>'Total exports'!Z22/SUM('Total exports'!Z$3:Z$73)</f>
        <v>1.0284213970221353E-3</v>
      </c>
      <c r="AA22">
        <f>'Total exports'!AA22/SUM('Total exports'!AA$3:AA$73)</f>
        <v>1.0166302581939475E-3</v>
      </c>
      <c r="AB22">
        <f>'Total exports'!AB22/SUM('Total exports'!AB$3:AB$73)</f>
        <v>1.0047646497145159E-3</v>
      </c>
      <c r="AC22">
        <f>'Total exports'!AC22/SUM('Total exports'!AC$3:AC$73)</f>
        <v>9.9306709791270077E-4</v>
      </c>
      <c r="AD22">
        <f>'Total exports'!AD22/SUM('Total exports'!AD$3:AD$73)</f>
        <v>9.8072781674406802E-4</v>
      </c>
      <c r="AE22">
        <f>'Total exports'!AE22/SUM('Total exports'!AE$3:AE$73)</f>
        <v>9.6773157694642986E-4</v>
      </c>
      <c r="AF22">
        <f>'Total exports'!AF22/SUM('Total exports'!AF$3:AF$73)</f>
        <v>9.5359453836578424E-4</v>
      </c>
      <c r="AG22">
        <f>'Total exports'!AG22/SUM('Total exports'!AG$3:AG$73)</f>
        <v>9.390278036802358E-4</v>
      </c>
      <c r="AH22">
        <f>'Total exports'!AH22/SUM('Total exports'!AH$3:AH$73)</f>
        <v>9.2424234614555333E-4</v>
      </c>
      <c r="AI22">
        <f>'Total exports'!AI22/SUM('Total exports'!AI$3:AI$73)</f>
        <v>9.0949873303528906E-4</v>
      </c>
      <c r="AJ22">
        <f>'Total exports'!AJ22/SUM('Total exports'!AJ$3:AJ$73)</f>
        <v>8.9475293309944067E-4</v>
      </c>
      <c r="AK22">
        <f>'Total exports'!AK22/SUM('Total exports'!AK$3:AK$73)</f>
        <v>8.8006383950531525E-4</v>
      </c>
      <c r="AL22">
        <f>'Total exports'!AL22/SUM('Total exports'!AL$3:AL$73)</f>
        <v>8.6542622676526952E-4</v>
      </c>
      <c r="AM22">
        <f>'Total exports'!AM22/SUM('Total exports'!AM$3:AM$73)</f>
        <v>8.5069849579641238E-4</v>
      </c>
      <c r="AN22">
        <f>'Total exports'!AN22/SUM('Total exports'!AN$3:AN$73)</f>
        <v>8.3583305763963787E-4</v>
      </c>
      <c r="AO22">
        <f>'Total exports'!AO22/SUM('Total exports'!AO$3:AO$73)</f>
        <v>8.2044239561916059E-4</v>
      </c>
      <c r="AP22">
        <f>'Total exports'!AP22/SUM('Total exports'!AP$3:AP$73)</f>
        <v>8.0457078558648096E-4</v>
      </c>
    </row>
    <row r="23" spans="1:42" x14ac:dyDescent="0.3">
      <c r="A23" t="s">
        <v>170</v>
      </c>
      <c r="B23">
        <f>'Total exports'!B23/SUM('Total exports'!B$3:B$73)</f>
        <v>1.8259773203335536E-3</v>
      </c>
      <c r="C23">
        <f>'Total exports'!C23/SUM('Total exports'!C$3:C$73)</f>
        <v>1.7818212019216676E-3</v>
      </c>
      <c r="D23">
        <f>'Total exports'!D23/SUM('Total exports'!D$3:D$73)</f>
        <v>1.7455621958805195E-3</v>
      </c>
      <c r="E23">
        <f>'Total exports'!E23/SUM('Total exports'!E$3:E$73)</f>
        <v>1.6732672692135642E-3</v>
      </c>
      <c r="F23">
        <f>'Total exports'!F23/SUM('Total exports'!F$3:F$73)</f>
        <v>1.4786153948510173E-3</v>
      </c>
      <c r="G23">
        <f>'Total exports'!G23/SUM('Total exports'!G$3:G$73)</f>
        <v>1.7724802028040395E-3</v>
      </c>
      <c r="H23">
        <f>'Total exports'!H23/SUM('Total exports'!H$3:H$73)</f>
        <v>1.5918517173566502E-3</v>
      </c>
      <c r="I23">
        <f>'Total exports'!I23/SUM('Total exports'!I$3:I$73)</f>
        <v>1.5860315675044294E-3</v>
      </c>
      <c r="J23">
        <f>'Total exports'!J23/SUM('Total exports'!J$3:J$73)</f>
        <v>1.5164492662063237E-3</v>
      </c>
      <c r="K23">
        <f>'Total exports'!K23/SUM('Total exports'!K$3:K$73)</f>
        <v>1.5446300775270093E-3</v>
      </c>
      <c r="L23">
        <f>'Total exports'!L23/SUM('Total exports'!L$3:L$73)</f>
        <v>1.4666199806286286E-3</v>
      </c>
      <c r="M23">
        <f>'Total exports'!M23/SUM('Total exports'!M$3:M$73)</f>
        <v>1.5499659536043603E-3</v>
      </c>
      <c r="N23">
        <f>'Total exports'!N23/SUM('Total exports'!N$3:N$73)</f>
        <v>1.8239508171318259E-3</v>
      </c>
      <c r="O23">
        <f>'Total exports'!O23/SUM('Total exports'!O$3:O$73)</f>
        <v>1.7942830484893992E-3</v>
      </c>
      <c r="P23">
        <f>'Total exports'!P23/SUM('Total exports'!P$3:P$73)</f>
        <v>1.7997917392046309E-3</v>
      </c>
      <c r="Q23">
        <f>'Total exports'!Q23/SUM('Total exports'!Q$3:Q$73)</f>
        <v>1.8282098190971219E-3</v>
      </c>
      <c r="R23">
        <f>'Total exports'!R23/SUM('Total exports'!R$3:R$73)</f>
        <v>1.8190208196001512E-3</v>
      </c>
      <c r="S23">
        <f>'Total exports'!S23/SUM('Total exports'!S$3:S$73)</f>
        <v>1.8104704549472507E-3</v>
      </c>
      <c r="T23">
        <f>'Total exports'!T23/SUM('Total exports'!T$3:T$73)</f>
        <v>1.7877859101822692E-3</v>
      </c>
      <c r="U23">
        <f>'Total exports'!U23/SUM('Total exports'!U$3:U$73)</f>
        <v>1.7704502236712504E-3</v>
      </c>
      <c r="V23">
        <f>'Total exports'!V23/SUM('Total exports'!V$3:V$73)</f>
        <v>1.7749003934594968E-3</v>
      </c>
      <c r="W23">
        <f>'Total exports'!W23/SUM('Total exports'!W$3:W$73)</f>
        <v>1.7659806161907504E-3</v>
      </c>
      <c r="X23">
        <f>'Total exports'!X23/SUM('Total exports'!X$3:X$73)</f>
        <v>1.7562181804445789E-3</v>
      </c>
      <c r="Y23">
        <f>'Total exports'!Y23/SUM('Total exports'!Y$3:Y$73)</f>
        <v>1.7448502937797193E-3</v>
      </c>
      <c r="Z23">
        <f>'Total exports'!Z23/SUM('Total exports'!Z$3:Z$73)</f>
        <v>1.7330842653179015E-3</v>
      </c>
      <c r="AA23">
        <f>'Total exports'!AA23/SUM('Total exports'!AA$3:AA$73)</f>
        <v>1.7202650055397175E-3</v>
      </c>
      <c r="AB23">
        <f>'Total exports'!AB23/SUM('Total exports'!AB$3:AB$73)</f>
        <v>1.7071343568490173E-3</v>
      </c>
      <c r="AC23">
        <f>'Total exports'!AC23/SUM('Total exports'!AC$3:AC$73)</f>
        <v>1.6936088571870391E-3</v>
      </c>
      <c r="AD23">
        <f>'Total exports'!AD23/SUM('Total exports'!AD$3:AD$73)</f>
        <v>1.6791573088251262E-3</v>
      </c>
      <c r="AE23">
        <f>'Total exports'!AE23/SUM('Total exports'!AE$3:AE$73)</f>
        <v>1.6640694240906985E-3</v>
      </c>
      <c r="AF23">
        <f>'Total exports'!AF23/SUM('Total exports'!AF$3:AF$73)</f>
        <v>1.647564359717442E-3</v>
      </c>
      <c r="AG23">
        <f>'Total exports'!AG23/SUM('Total exports'!AG$3:AG$73)</f>
        <v>1.6308204834273728E-3</v>
      </c>
      <c r="AH23">
        <f>'Total exports'!AH23/SUM('Total exports'!AH$3:AH$73)</f>
        <v>1.6146696639708969E-3</v>
      </c>
      <c r="AI23">
        <f>'Total exports'!AI23/SUM('Total exports'!AI$3:AI$73)</f>
        <v>1.5993349159842052E-3</v>
      </c>
      <c r="AJ23">
        <f>'Total exports'!AJ23/SUM('Total exports'!AJ$3:AJ$73)</f>
        <v>1.5846620185232887E-3</v>
      </c>
      <c r="AK23">
        <f>'Total exports'!AK23/SUM('Total exports'!AK$3:AK$73)</f>
        <v>1.5708741118241215E-3</v>
      </c>
      <c r="AL23">
        <f>'Total exports'!AL23/SUM('Total exports'!AL$3:AL$73)</f>
        <v>1.5575154943260102E-3</v>
      </c>
      <c r="AM23">
        <f>'Total exports'!AM23/SUM('Total exports'!AM$3:AM$73)</f>
        <v>1.5444171396620807E-3</v>
      </c>
      <c r="AN23">
        <f>'Total exports'!AN23/SUM('Total exports'!AN$3:AN$73)</f>
        <v>1.5315004854208785E-3</v>
      </c>
      <c r="AO23">
        <f>'Total exports'!AO23/SUM('Total exports'!AO$3:AO$73)</f>
        <v>1.5179260466715561E-3</v>
      </c>
      <c r="AP23">
        <f>'Total exports'!AP23/SUM('Total exports'!AP$3:AP$73)</f>
        <v>1.5038532382240439E-3</v>
      </c>
    </row>
    <row r="24" spans="1:42" x14ac:dyDescent="0.3">
      <c r="A24" t="s">
        <v>171</v>
      </c>
      <c r="B24">
        <f>'Total exports'!B24/SUM('Total exports'!B$3:B$73)</f>
        <v>6.6857445468103828E-4</v>
      </c>
      <c r="C24">
        <f>'Total exports'!C24/SUM('Total exports'!C$3:C$73)</f>
        <v>6.1902436620452246E-4</v>
      </c>
      <c r="D24">
        <f>'Total exports'!D24/SUM('Total exports'!D$3:D$73)</f>
        <v>6.5570606289993584E-4</v>
      </c>
      <c r="E24">
        <f>'Total exports'!E24/SUM('Total exports'!E$3:E$73)</f>
        <v>6.3309121563531875E-4</v>
      </c>
      <c r="F24">
        <f>'Total exports'!F24/SUM('Total exports'!F$3:F$73)</f>
        <v>5.9792660587650796E-4</v>
      </c>
      <c r="G24">
        <f>'Total exports'!G24/SUM('Total exports'!G$3:G$73)</f>
        <v>6.3879525565769851E-4</v>
      </c>
      <c r="H24">
        <f>'Total exports'!H24/SUM('Total exports'!H$3:H$73)</f>
        <v>7.118763672104572E-4</v>
      </c>
      <c r="I24">
        <f>'Total exports'!I24/SUM('Total exports'!I$3:I$73)</f>
        <v>7.2393937902310711E-4</v>
      </c>
      <c r="J24">
        <f>'Total exports'!J24/SUM('Total exports'!J$3:J$73)</f>
        <v>7.5564563284005487E-4</v>
      </c>
      <c r="K24">
        <f>'Total exports'!K24/SUM('Total exports'!K$3:K$73)</f>
        <v>8.2013139054376875E-4</v>
      </c>
      <c r="L24">
        <f>'Total exports'!L24/SUM('Total exports'!L$3:L$73)</f>
        <v>8.4961367942252566E-4</v>
      </c>
      <c r="M24">
        <f>'Total exports'!M24/SUM('Total exports'!M$3:M$73)</f>
        <v>8.6818978484869873E-4</v>
      </c>
      <c r="N24">
        <f>'Total exports'!N24/SUM('Total exports'!N$3:N$73)</f>
        <v>9.1267126195663519E-4</v>
      </c>
      <c r="O24">
        <f>'Total exports'!O24/SUM('Total exports'!O$3:O$73)</f>
        <v>9.2026200354633481E-4</v>
      </c>
      <c r="P24">
        <f>'Total exports'!P24/SUM('Total exports'!P$3:P$73)</f>
        <v>9.2979098970713537E-4</v>
      </c>
      <c r="Q24">
        <f>'Total exports'!Q24/SUM('Total exports'!Q$3:Q$73)</f>
        <v>9.4486107896643546E-4</v>
      </c>
      <c r="R24">
        <f>'Total exports'!R24/SUM('Total exports'!R$3:R$73)</f>
        <v>9.5992562470112897E-4</v>
      </c>
      <c r="S24">
        <f>'Total exports'!S24/SUM('Total exports'!S$3:S$73)</f>
        <v>9.7500349527198022E-4</v>
      </c>
      <c r="T24">
        <f>'Total exports'!T24/SUM('Total exports'!T$3:T$73)</f>
        <v>9.8188035524343739E-4</v>
      </c>
      <c r="U24">
        <f>'Total exports'!U24/SUM('Total exports'!U$3:U$73)</f>
        <v>9.9104623033154419E-4</v>
      </c>
      <c r="V24">
        <f>'Total exports'!V24/SUM('Total exports'!V$3:V$73)</f>
        <v>1.011893844887731E-3</v>
      </c>
      <c r="W24">
        <f>'Total exports'!W24/SUM('Total exports'!W$3:W$73)</f>
        <v>1.0236145884801272E-3</v>
      </c>
      <c r="X24">
        <f>'Total exports'!X24/SUM('Total exports'!X$3:X$73)</f>
        <v>1.0341482830847027E-3</v>
      </c>
      <c r="Y24">
        <f>'Total exports'!Y24/SUM('Total exports'!Y$3:Y$73)</f>
        <v>1.0416215356041615E-3</v>
      </c>
      <c r="Z24">
        <f>'Total exports'!Z24/SUM('Total exports'!Z$3:Z$73)</f>
        <v>1.0476804950018312E-3</v>
      </c>
      <c r="AA24">
        <f>'Total exports'!AA24/SUM('Total exports'!AA$3:AA$73)</f>
        <v>1.0519372303351379E-3</v>
      </c>
      <c r="AB24">
        <f>'Total exports'!AB24/SUM('Total exports'!AB$3:AB$73)</f>
        <v>1.0547037107844985E-3</v>
      </c>
      <c r="AC24">
        <f>'Total exports'!AC24/SUM('Total exports'!AC$3:AC$73)</f>
        <v>1.0560009413206938E-3</v>
      </c>
      <c r="AD24">
        <f>'Total exports'!AD24/SUM('Total exports'!AD$3:AD$73)</f>
        <v>1.0556649217744296E-3</v>
      </c>
      <c r="AE24">
        <f>'Total exports'!AE24/SUM('Total exports'!AE$3:AE$73)</f>
        <v>1.0537088365690965E-3</v>
      </c>
      <c r="AF24">
        <f>'Total exports'!AF24/SUM('Total exports'!AF$3:AF$73)</f>
        <v>1.0497621386088131E-3</v>
      </c>
      <c r="AG24">
        <f>'Total exports'!AG24/SUM('Total exports'!AG$3:AG$73)</f>
        <v>1.0440929654492797E-3</v>
      </c>
      <c r="AH24">
        <f>'Total exports'!AH24/SUM('Total exports'!AH$3:AH$73)</f>
        <v>1.0371486167379974E-3</v>
      </c>
      <c r="AI24">
        <f>'Total exports'!AI24/SUM('Total exports'!AI$3:AI$73)</f>
        <v>1.0291447199224112E-3</v>
      </c>
      <c r="AJ24">
        <f>'Total exports'!AJ24/SUM('Total exports'!AJ$3:AJ$73)</f>
        <v>1.0200245891650527E-3</v>
      </c>
      <c r="AK24">
        <f>'Total exports'!AK24/SUM('Total exports'!AK$3:AK$73)</f>
        <v>1.0100430340526196E-3</v>
      </c>
      <c r="AL24">
        <f>'Total exports'!AL24/SUM('Total exports'!AL$3:AL$73)</f>
        <v>9.9893804357728045E-4</v>
      </c>
      <c r="AM24">
        <f>'Total exports'!AM24/SUM('Total exports'!AM$3:AM$73)</f>
        <v>9.8693569406844181E-4</v>
      </c>
      <c r="AN24">
        <f>'Total exports'!AN24/SUM('Total exports'!AN$3:AN$73)</f>
        <v>9.7409440350539587E-4</v>
      </c>
      <c r="AO24">
        <f>'Total exports'!AO24/SUM('Total exports'!AO$3:AO$73)</f>
        <v>9.6051699920071578E-4</v>
      </c>
      <c r="AP24">
        <f>'Total exports'!AP24/SUM('Total exports'!AP$3:AP$73)</f>
        <v>9.462361549419585E-4</v>
      </c>
    </row>
    <row r="25" spans="1:42" x14ac:dyDescent="0.3">
      <c r="A25" t="s">
        <v>172</v>
      </c>
      <c r="B25">
        <f>'Total exports'!B25/SUM('Total exports'!B$3:B$73)</f>
        <v>2.8118184271915016E-3</v>
      </c>
      <c r="C25">
        <f>'Total exports'!C25/SUM('Total exports'!C$3:C$73)</f>
        <v>3.0728899834704271E-3</v>
      </c>
      <c r="D25">
        <f>'Total exports'!D25/SUM('Total exports'!D$3:D$73)</f>
        <v>3.4183630601994524E-3</v>
      </c>
      <c r="E25">
        <f>'Total exports'!E25/SUM('Total exports'!E$3:E$73)</f>
        <v>3.5620668176943758E-3</v>
      </c>
      <c r="F25">
        <f>'Total exports'!F25/SUM('Total exports'!F$3:F$73)</f>
        <v>3.2998423702065094E-3</v>
      </c>
      <c r="G25">
        <f>'Total exports'!G25/SUM('Total exports'!G$3:G$73)</f>
        <v>3.2198222880197337E-3</v>
      </c>
      <c r="H25">
        <f>'Total exports'!H25/SUM('Total exports'!H$3:H$73)</f>
        <v>3.3774166463985018E-3</v>
      </c>
      <c r="I25">
        <f>'Total exports'!I25/SUM('Total exports'!I$3:I$73)</f>
        <v>3.6921773371543201E-3</v>
      </c>
      <c r="J25">
        <f>'Total exports'!J25/SUM('Total exports'!J$3:J$73)</f>
        <v>3.7395275108404688E-3</v>
      </c>
      <c r="K25">
        <f>'Total exports'!K25/SUM('Total exports'!K$3:K$73)</f>
        <v>3.9094239590335336E-3</v>
      </c>
      <c r="L25">
        <f>'Total exports'!L25/SUM('Total exports'!L$3:L$73)</f>
        <v>4.0231668715331858E-3</v>
      </c>
      <c r="M25">
        <f>'Total exports'!M25/SUM('Total exports'!M$3:M$73)</f>
        <v>4.4706985261782723E-3</v>
      </c>
      <c r="N25">
        <f>'Total exports'!N25/SUM('Total exports'!N$3:N$73)</f>
        <v>5.1877942398078558E-3</v>
      </c>
      <c r="O25">
        <f>'Total exports'!O25/SUM('Total exports'!O$3:O$73)</f>
        <v>4.9934635504966058E-3</v>
      </c>
      <c r="P25">
        <f>'Total exports'!P25/SUM('Total exports'!P$3:P$73)</f>
        <v>4.967199265798721E-3</v>
      </c>
      <c r="Q25">
        <f>'Total exports'!Q25/SUM('Total exports'!Q$3:Q$73)</f>
        <v>5.0482854208475465E-3</v>
      </c>
      <c r="R25">
        <f>'Total exports'!R25/SUM('Total exports'!R$3:R$73)</f>
        <v>5.016773677652164E-3</v>
      </c>
      <c r="S25">
        <f>'Total exports'!S25/SUM('Total exports'!S$3:S$73)</f>
        <v>4.982825001816087E-3</v>
      </c>
      <c r="T25">
        <f>'Total exports'!T25/SUM('Total exports'!T$3:T$73)</f>
        <v>4.9110482606185548E-3</v>
      </c>
      <c r="U25">
        <f>'Total exports'!U25/SUM('Total exports'!U$3:U$73)</f>
        <v>4.8624216612411873E-3</v>
      </c>
      <c r="V25">
        <f>'Total exports'!V25/SUM('Total exports'!V$3:V$73)</f>
        <v>4.8813550528742601E-3</v>
      </c>
      <c r="W25">
        <f>'Total exports'!W25/SUM('Total exports'!W$3:W$73)</f>
        <v>4.873072664843014E-3</v>
      </c>
      <c r="X25">
        <f>'Total exports'!X25/SUM('Total exports'!X$3:X$73)</f>
        <v>4.864184751090077E-3</v>
      </c>
      <c r="Y25">
        <f>'Total exports'!Y25/SUM('Total exports'!Y$3:Y$73)</f>
        <v>4.848897393679997E-3</v>
      </c>
      <c r="Z25">
        <f>'Total exports'!Z25/SUM('Total exports'!Z$3:Z$73)</f>
        <v>4.8307875299598161E-3</v>
      </c>
      <c r="AA25">
        <f>'Total exports'!AA25/SUM('Total exports'!AA$3:AA$73)</f>
        <v>4.8070126745306824E-3</v>
      </c>
      <c r="AB25">
        <f>'Total exports'!AB25/SUM('Total exports'!AB$3:AB$73)</f>
        <v>4.779453987034301E-3</v>
      </c>
      <c r="AC25">
        <f>'Total exports'!AC25/SUM('Total exports'!AC$3:AC$73)</f>
        <v>4.748216510691643E-3</v>
      </c>
      <c r="AD25">
        <f>'Total exports'!AD25/SUM('Total exports'!AD$3:AD$73)</f>
        <v>4.7106285791124192E-3</v>
      </c>
      <c r="AE25">
        <f>'Total exports'!AE25/SUM('Total exports'!AE$3:AE$73)</f>
        <v>4.6669288627871749E-3</v>
      </c>
      <c r="AF25">
        <f>'Total exports'!AF25/SUM('Total exports'!AF$3:AF$73)</f>
        <v>4.6128532749854494E-3</v>
      </c>
      <c r="AG25">
        <f>'Total exports'!AG25/SUM('Total exports'!AG$3:AG$73)</f>
        <v>4.5547031819016467E-3</v>
      </c>
      <c r="AH25">
        <f>'Total exports'!AH25/SUM('Total exports'!AH$3:AH$73)</f>
        <v>4.4924433957719938E-3</v>
      </c>
      <c r="AI25">
        <f>'Total exports'!AI25/SUM('Total exports'!AI$3:AI$73)</f>
        <v>4.4279933661652499E-3</v>
      </c>
      <c r="AJ25">
        <f>'Total exports'!AJ25/SUM('Total exports'!AJ$3:AJ$73)</f>
        <v>4.3621453259225463E-3</v>
      </c>
      <c r="AK25">
        <f>'Total exports'!AK25/SUM('Total exports'!AK$3:AK$73)</f>
        <v>4.2952226100667406E-3</v>
      </c>
      <c r="AL25">
        <f>'Total exports'!AL25/SUM('Total exports'!AL$3:AL$73)</f>
        <v>4.227518182320574E-3</v>
      </c>
      <c r="AM25">
        <f>'Total exports'!AM25/SUM('Total exports'!AM$3:AM$73)</f>
        <v>4.159949360948368E-3</v>
      </c>
      <c r="AN25">
        <f>'Total exports'!AN25/SUM('Total exports'!AN$3:AN$73)</f>
        <v>4.0930124356591043E-3</v>
      </c>
      <c r="AO25">
        <f>'Total exports'!AO25/SUM('Total exports'!AO$3:AO$73)</f>
        <v>4.0257546123109219E-3</v>
      </c>
      <c r="AP25">
        <f>'Total exports'!AP25/SUM('Total exports'!AP$3:AP$73)</f>
        <v>3.9582953205182384E-3</v>
      </c>
    </row>
    <row r="26" spans="1:42" x14ac:dyDescent="0.3">
      <c r="A26" t="s">
        <v>173</v>
      </c>
      <c r="B26">
        <f>'Total exports'!B26/SUM('Total exports'!B$3:B$73)</f>
        <v>6.5679360173221389E-4</v>
      </c>
      <c r="C26">
        <f>'Total exports'!C26/SUM('Total exports'!C$3:C$73)</f>
        <v>6.4252276730276763E-4</v>
      </c>
      <c r="D26">
        <f>'Total exports'!D26/SUM('Total exports'!D$3:D$73)</f>
        <v>6.5921147502381893E-4</v>
      </c>
      <c r="E26">
        <f>'Total exports'!E26/SUM('Total exports'!E$3:E$73)</f>
        <v>5.8565074951075539E-4</v>
      </c>
      <c r="F26">
        <f>'Total exports'!F26/SUM('Total exports'!F$3:F$73)</f>
        <v>5.0479519351662107E-4</v>
      </c>
      <c r="G26">
        <f>'Total exports'!G26/SUM('Total exports'!G$3:G$73)</f>
        <v>5.1204448620870027E-4</v>
      </c>
      <c r="H26">
        <f>'Total exports'!H26/SUM('Total exports'!H$3:H$73)</f>
        <v>5.3611090861752184E-4</v>
      </c>
      <c r="I26">
        <f>'Total exports'!I26/SUM('Total exports'!I$3:I$73)</f>
        <v>5.6472124082908965E-4</v>
      </c>
      <c r="J26">
        <f>'Total exports'!J26/SUM('Total exports'!J$3:J$73)</f>
        <v>5.6113179907263887E-4</v>
      </c>
      <c r="K26">
        <f>'Total exports'!K26/SUM('Total exports'!K$3:K$73)</f>
        <v>5.69229200542487E-4</v>
      </c>
      <c r="L26">
        <f>'Total exports'!L26/SUM('Total exports'!L$3:L$73)</f>
        <v>5.3597395485731564E-4</v>
      </c>
      <c r="M26">
        <f>'Total exports'!M26/SUM('Total exports'!M$3:M$73)</f>
        <v>5.9627145316103246E-4</v>
      </c>
      <c r="N26">
        <f>'Total exports'!N26/SUM('Total exports'!N$3:N$73)</f>
        <v>6.89321221869034E-4</v>
      </c>
      <c r="O26">
        <f>'Total exports'!O26/SUM('Total exports'!O$3:O$73)</f>
        <v>6.6748039507863195E-4</v>
      </c>
      <c r="P26">
        <f>'Total exports'!P26/SUM('Total exports'!P$3:P$73)</f>
        <v>6.6392202137925585E-4</v>
      </c>
      <c r="Q26">
        <f>'Total exports'!Q26/SUM('Total exports'!Q$3:Q$73)</f>
        <v>6.6808214960512665E-4</v>
      </c>
      <c r="R26">
        <f>'Total exports'!R26/SUM('Total exports'!R$3:R$73)</f>
        <v>6.6618096912572742E-4</v>
      </c>
      <c r="S26">
        <f>'Total exports'!S26/SUM('Total exports'!S$3:S$73)</f>
        <v>6.6431996388600348E-4</v>
      </c>
      <c r="T26">
        <f>'Total exports'!T26/SUM('Total exports'!T$3:T$73)</f>
        <v>6.5627411073590177E-4</v>
      </c>
      <c r="U26">
        <f>'Total exports'!U26/SUM('Total exports'!U$3:U$73)</f>
        <v>6.5013054895102229E-4</v>
      </c>
      <c r="V26">
        <f>'Total exports'!V26/SUM('Total exports'!V$3:V$73)</f>
        <v>6.5215710110119393E-4</v>
      </c>
      <c r="W26">
        <f>'Total exports'!W26/SUM('Total exports'!W$3:W$73)</f>
        <v>6.4957596981471194E-4</v>
      </c>
      <c r="X26">
        <f>'Total exports'!X26/SUM('Total exports'!X$3:X$73)</f>
        <v>6.4708711678803819E-4</v>
      </c>
      <c r="Y26">
        <f>'Total exports'!Y26/SUM('Total exports'!Y$3:Y$73)</f>
        <v>6.4388856220870441E-4</v>
      </c>
      <c r="Z26">
        <f>'Total exports'!Z26/SUM('Total exports'!Z$3:Z$73)</f>
        <v>6.4057067808285714E-4</v>
      </c>
      <c r="AA26">
        <f>'Total exports'!AA26/SUM('Total exports'!AA$3:AA$73)</f>
        <v>6.3785471261594703E-4</v>
      </c>
      <c r="AB26">
        <f>'Total exports'!AB26/SUM('Total exports'!AB$3:AB$73)</f>
        <v>6.3366998426089567E-4</v>
      </c>
      <c r="AC26">
        <f>'Total exports'!AC26/SUM('Total exports'!AC$3:AC$73)</f>
        <v>6.2912162343519763E-4</v>
      </c>
      <c r="AD26">
        <f>'Total exports'!AD26/SUM('Total exports'!AD$3:AD$73)</f>
        <v>6.2392362017251802E-4</v>
      </c>
      <c r="AE26">
        <f>'Total exports'!AE26/SUM('Total exports'!AE$3:AE$73)</f>
        <v>6.1822510037115911E-4</v>
      </c>
      <c r="AF26">
        <f>'Total exports'!AF26/SUM('Total exports'!AF$3:AF$73)</f>
        <v>6.1148422638241154E-4</v>
      </c>
      <c r="AG26">
        <f>'Total exports'!AG26/SUM('Total exports'!AG$3:AG$73)</f>
        <v>6.0427579652016562E-4</v>
      </c>
      <c r="AH26">
        <f>'Total exports'!AH26/SUM('Total exports'!AH$3:AH$73)</f>
        <v>5.9651402404970767E-4</v>
      </c>
      <c r="AI26">
        <f>'Total exports'!AI26/SUM('Total exports'!AI$3:AI$73)</f>
        <v>5.8834519189399157E-4</v>
      </c>
      <c r="AJ26">
        <f>'Total exports'!AJ26/SUM('Total exports'!AJ$3:AJ$73)</f>
        <v>5.7978233555842809E-4</v>
      </c>
      <c r="AK26">
        <f>'Total exports'!AK26/SUM('Total exports'!AK$3:AK$73)</f>
        <v>5.7089743989073723E-4</v>
      </c>
      <c r="AL26">
        <f>'Total exports'!AL26/SUM('Total exports'!AL$3:AL$73)</f>
        <v>5.6205516125007351E-4</v>
      </c>
      <c r="AM26">
        <f>'Total exports'!AM26/SUM('Total exports'!AM$3:AM$73)</f>
        <v>5.5315861698227169E-4</v>
      </c>
      <c r="AN26">
        <f>'Total exports'!AN26/SUM('Total exports'!AN$3:AN$73)</f>
        <v>5.4428921045551173E-4</v>
      </c>
      <c r="AO26">
        <f>'Total exports'!AO26/SUM('Total exports'!AO$3:AO$73)</f>
        <v>5.3559781382102247E-4</v>
      </c>
      <c r="AP26">
        <f>'Total exports'!AP26/SUM('Total exports'!AP$3:AP$73)</f>
        <v>5.2701952514599395E-4</v>
      </c>
    </row>
    <row r="27" spans="1:42" x14ac:dyDescent="0.3">
      <c r="A27" t="s">
        <v>174</v>
      </c>
      <c r="B27">
        <f>'Total exports'!B27/SUM('Total exports'!B$3:B$73)</f>
        <v>7.3948555033361311E-4</v>
      </c>
      <c r="C27">
        <f>'Total exports'!C27/SUM('Total exports'!C$3:C$73)</f>
        <v>8.2458165344927159E-4</v>
      </c>
      <c r="D27">
        <f>'Total exports'!D27/SUM('Total exports'!D$3:D$73)</f>
        <v>9.1322006743087768E-4</v>
      </c>
      <c r="E27">
        <f>'Total exports'!E27/SUM('Total exports'!E$3:E$73)</f>
        <v>9.2318302951400891E-4</v>
      </c>
      <c r="F27">
        <f>'Total exports'!F27/SUM('Total exports'!F$3:F$73)</f>
        <v>8.8463175446750007E-4</v>
      </c>
      <c r="G27">
        <f>'Total exports'!G27/SUM('Total exports'!G$3:G$73)</f>
        <v>9.1605510677953631E-4</v>
      </c>
      <c r="H27">
        <f>'Total exports'!H27/SUM('Total exports'!H$3:H$73)</f>
        <v>8.9752317073334164E-4</v>
      </c>
      <c r="I27">
        <f>'Total exports'!I27/SUM('Total exports'!I$3:I$73)</f>
        <v>9.0127667109803045E-4</v>
      </c>
      <c r="J27">
        <f>'Total exports'!J27/SUM('Total exports'!J$3:J$73)</f>
        <v>8.8670819474550536E-4</v>
      </c>
      <c r="K27">
        <f>'Total exports'!K27/SUM('Total exports'!K$3:K$73)</f>
        <v>8.6794021365972326E-4</v>
      </c>
      <c r="L27">
        <f>'Total exports'!L27/SUM('Total exports'!L$3:L$73)</f>
        <v>8.3104543374439108E-4</v>
      </c>
      <c r="M27">
        <f>'Total exports'!M27/SUM('Total exports'!M$3:M$73)</f>
        <v>8.9895359706479699E-4</v>
      </c>
      <c r="N27">
        <f>'Total exports'!N27/SUM('Total exports'!N$3:N$73)</f>
        <v>9.9810630127707589E-4</v>
      </c>
      <c r="O27">
        <f>'Total exports'!O27/SUM('Total exports'!O$3:O$73)</f>
        <v>9.3979219355927164E-4</v>
      </c>
      <c r="P27">
        <f>'Total exports'!P27/SUM('Total exports'!P$3:P$73)</f>
        <v>9.4660436118660447E-4</v>
      </c>
      <c r="Q27">
        <f>'Total exports'!Q27/SUM('Total exports'!Q$3:Q$73)</f>
        <v>9.4078026137290715E-4</v>
      </c>
      <c r="R27">
        <f>'Total exports'!R27/SUM('Total exports'!R$3:R$73)</f>
        <v>9.2334959377183277E-4</v>
      </c>
      <c r="S27">
        <f>'Total exports'!S27/SUM('Total exports'!S$3:S$73)</f>
        <v>9.0663495788497383E-4</v>
      </c>
      <c r="T27">
        <f>'Total exports'!T27/SUM('Total exports'!T$3:T$73)</f>
        <v>8.8424621486870518E-4</v>
      </c>
      <c r="U27">
        <f>'Total exports'!U27/SUM('Total exports'!U$3:U$73)</f>
        <v>8.6611389065524699E-4</v>
      </c>
      <c r="V27">
        <f>'Total exports'!V27/SUM('Total exports'!V$3:V$73)</f>
        <v>8.6059704051964607E-4</v>
      </c>
      <c r="W27">
        <f>'Total exports'!W27/SUM('Total exports'!W$3:W$73)</f>
        <v>8.50233229739009E-4</v>
      </c>
      <c r="X27">
        <f>'Total exports'!X27/SUM('Total exports'!X$3:X$73)</f>
        <v>8.4006807359689791E-4</v>
      </c>
      <c r="Y27">
        <f>'Total exports'!Y27/SUM('Total exports'!Y$3:Y$73)</f>
        <v>8.2944322409655438E-4</v>
      </c>
      <c r="Z27">
        <f>'Total exports'!Z27/SUM('Total exports'!Z$3:Z$73)</f>
        <v>8.1909673347812866E-4</v>
      </c>
      <c r="AA27">
        <f>'Total exports'!AA27/SUM('Total exports'!AA$3:AA$73)</f>
        <v>8.087158656725136E-4</v>
      </c>
      <c r="AB27">
        <f>'Total exports'!AB27/SUM('Total exports'!AB$3:AB$73)</f>
        <v>7.9881893289877209E-4</v>
      </c>
      <c r="AC27">
        <f>'Total exports'!AC27/SUM('Total exports'!AC$3:AC$73)</f>
        <v>7.8889942137055989E-4</v>
      </c>
      <c r="AD27">
        <f>'Total exports'!AD27/SUM('Total exports'!AD$3:AD$73)</f>
        <v>7.7866639406855851E-4</v>
      </c>
      <c r="AE27">
        <f>'Total exports'!AE27/SUM('Total exports'!AE$3:AE$73)</f>
        <v>7.6848765123005457E-4</v>
      </c>
      <c r="AF27">
        <f>'Total exports'!AF27/SUM('Total exports'!AF$3:AF$73)</f>
        <v>7.5776517990097723E-4</v>
      </c>
      <c r="AG27">
        <f>'Total exports'!AG27/SUM('Total exports'!AG$3:AG$73)</f>
        <v>7.4749537751974098E-4</v>
      </c>
      <c r="AH27">
        <f>'Total exports'!AH27/SUM('Total exports'!AH$3:AH$73)</f>
        <v>7.3712435591336803E-4</v>
      </c>
      <c r="AI27">
        <f>'Total exports'!AI27/SUM('Total exports'!AI$3:AI$73)</f>
        <v>7.2684425861267948E-4</v>
      </c>
      <c r="AJ27">
        <f>'Total exports'!AJ27/SUM('Total exports'!AJ$3:AJ$73)</f>
        <v>7.1685999757862098E-4</v>
      </c>
      <c r="AK27">
        <f>'Total exports'!AK27/SUM('Total exports'!AK$3:AK$73)</f>
        <v>7.0692882251005302E-4</v>
      </c>
      <c r="AL27">
        <f>'Total exports'!AL27/SUM('Total exports'!AL$3:AL$73)</f>
        <v>6.9723072274316844E-4</v>
      </c>
      <c r="AM27">
        <f>'Total exports'!AM27/SUM('Total exports'!AM$3:AM$73)</f>
        <v>6.8736618371432632E-4</v>
      </c>
      <c r="AN27">
        <f>'Total exports'!AN27/SUM('Total exports'!AN$3:AN$73)</f>
        <v>6.7770573137641496E-4</v>
      </c>
      <c r="AO27">
        <f>'Total exports'!AO27/SUM('Total exports'!AO$3:AO$73)</f>
        <v>6.6792643823723231E-4</v>
      </c>
      <c r="AP27">
        <f>'Total exports'!AP27/SUM('Total exports'!AP$3:AP$73)</f>
        <v>6.5821131276623166E-4</v>
      </c>
    </row>
    <row r="28" spans="1:42" x14ac:dyDescent="0.3">
      <c r="A28" t="s">
        <v>175</v>
      </c>
      <c r="B28">
        <f>'Total exports'!B28/SUM('Total exports'!B$3:B$73)</f>
        <v>7.0264787164238103E-4</v>
      </c>
      <c r="C28">
        <f>'Total exports'!C28/SUM('Total exports'!C$3:C$73)</f>
        <v>8.0051268111161868E-4</v>
      </c>
      <c r="D28">
        <f>'Total exports'!D28/SUM('Total exports'!D$3:D$73)</f>
        <v>8.7706900861981413E-4</v>
      </c>
      <c r="E28">
        <f>'Total exports'!E28/SUM('Total exports'!E$3:E$73)</f>
        <v>8.9908183197088881E-4</v>
      </c>
      <c r="F28">
        <f>'Total exports'!F28/SUM('Total exports'!F$3:F$73)</f>
        <v>8.3378288421359355E-4</v>
      </c>
      <c r="G28">
        <f>'Total exports'!G28/SUM('Total exports'!G$3:G$73)</f>
        <v>8.1742973109017489E-4</v>
      </c>
      <c r="H28">
        <f>'Total exports'!H28/SUM('Total exports'!H$3:H$73)</f>
        <v>8.4778593123395029E-4</v>
      </c>
      <c r="I28">
        <f>'Total exports'!I28/SUM('Total exports'!I$3:I$73)</f>
        <v>9.3893559750960018E-4</v>
      </c>
      <c r="J28">
        <f>'Total exports'!J28/SUM('Total exports'!J$3:J$73)</f>
        <v>8.5706318154125949E-4</v>
      </c>
      <c r="K28">
        <f>'Total exports'!K28/SUM('Total exports'!K$3:K$73)</f>
        <v>8.8707885556347751E-4</v>
      </c>
      <c r="L28">
        <f>'Total exports'!L28/SUM('Total exports'!L$3:L$73)</f>
        <v>8.1515292919237721E-4</v>
      </c>
      <c r="M28">
        <f>'Total exports'!M28/SUM('Total exports'!M$3:M$73)</f>
        <v>9.5816282810144671E-4</v>
      </c>
      <c r="N28">
        <f>'Total exports'!N28/SUM('Total exports'!N$3:N$73)</f>
        <v>1.2261639820661827E-3</v>
      </c>
      <c r="O28">
        <f>'Total exports'!O28/SUM('Total exports'!O$3:O$73)</f>
        <v>1.1903815288489441E-3</v>
      </c>
      <c r="P28">
        <f>'Total exports'!P28/SUM('Total exports'!P$3:P$73)</f>
        <v>1.2002091262494504E-3</v>
      </c>
      <c r="Q28">
        <f>'Total exports'!Q28/SUM('Total exports'!Q$3:Q$73)</f>
        <v>1.193393983519631E-3</v>
      </c>
      <c r="R28">
        <f>'Total exports'!R28/SUM('Total exports'!R$3:R$73)</f>
        <v>1.1814058356148709E-3</v>
      </c>
      <c r="S28">
        <f>'Total exports'!S28/SUM('Total exports'!S$3:S$73)</f>
        <v>1.1716109226454371E-3</v>
      </c>
      <c r="T28">
        <f>'Total exports'!T28/SUM('Total exports'!T$3:T$73)</f>
        <v>1.1509143600073094E-3</v>
      </c>
      <c r="U28">
        <f>'Total exports'!U28/SUM('Total exports'!U$3:U$73)</f>
        <v>1.1340678624571501E-3</v>
      </c>
      <c r="V28">
        <f>'Total exports'!V28/SUM('Total exports'!V$3:V$73)</f>
        <v>1.1315548010201837E-3</v>
      </c>
      <c r="W28">
        <f>'Total exports'!W28/SUM('Total exports'!W$3:W$73)</f>
        <v>1.121177461919854E-3</v>
      </c>
      <c r="X28">
        <f>'Total exports'!X28/SUM('Total exports'!X$3:X$73)</f>
        <v>1.1109090040076792E-3</v>
      </c>
      <c r="Y28">
        <f>'Total exports'!Y28/SUM('Total exports'!Y$3:Y$73)</f>
        <v>1.1001219541740596E-3</v>
      </c>
      <c r="Z28">
        <f>'Total exports'!Z28/SUM('Total exports'!Z$3:Z$73)</f>
        <v>1.0891814675854565E-3</v>
      </c>
      <c r="AA28">
        <f>'Total exports'!AA28/SUM('Total exports'!AA$3:AA$73)</f>
        <v>1.0782900824701815E-3</v>
      </c>
      <c r="AB28">
        <f>'Total exports'!AB28/SUM('Total exports'!AB$3:AB$73)</f>
        <v>1.0673897829819657E-3</v>
      </c>
      <c r="AC28">
        <f>'Total exports'!AC28/SUM('Total exports'!AC$3:AC$73)</f>
        <v>1.0565420380119989E-3</v>
      </c>
      <c r="AD28">
        <f>'Total exports'!AD28/SUM('Total exports'!AD$3:AD$73)</f>
        <v>1.0449532753449464E-3</v>
      </c>
      <c r="AE28">
        <f>'Total exports'!AE28/SUM('Total exports'!AE$3:AE$73)</f>
        <v>1.032584739210651E-3</v>
      </c>
      <c r="AF28">
        <f>'Total exports'!AF28/SUM('Total exports'!AF$3:AF$73)</f>
        <v>1.0197371574580663E-3</v>
      </c>
      <c r="AG28">
        <f>'Total exports'!AG28/SUM('Total exports'!AG$3:AG$73)</f>
        <v>1.0065591100821051E-3</v>
      </c>
      <c r="AH28">
        <f>'Total exports'!AH28/SUM('Total exports'!AH$3:AH$73)</f>
        <v>9.9312641661096815E-4</v>
      </c>
      <c r="AI28">
        <f>'Total exports'!AI28/SUM('Total exports'!AI$3:AI$73)</f>
        <v>9.797420495611098E-4</v>
      </c>
      <c r="AJ28">
        <f>'Total exports'!AJ28/SUM('Total exports'!AJ$3:AJ$73)</f>
        <v>9.664887025492635E-4</v>
      </c>
      <c r="AK28">
        <f>'Total exports'!AK28/SUM('Total exports'!AK$3:AK$73)</f>
        <v>9.533787758172137E-4</v>
      </c>
      <c r="AL28">
        <f>'Total exports'!AL28/SUM('Total exports'!AL$3:AL$73)</f>
        <v>9.4021286796232913E-4</v>
      </c>
      <c r="AM28">
        <f>'Total exports'!AM28/SUM('Total exports'!AM$3:AM$73)</f>
        <v>9.2709090311986816E-4</v>
      </c>
      <c r="AN28">
        <f>'Total exports'!AN28/SUM('Total exports'!AN$3:AN$73)</f>
        <v>9.1386726269427265E-4</v>
      </c>
      <c r="AO28">
        <f>'Total exports'!AO28/SUM('Total exports'!AO$3:AO$73)</f>
        <v>9.0040221693285147E-4</v>
      </c>
      <c r="AP28">
        <f>'Total exports'!AP28/SUM('Total exports'!AP$3:AP$73)</f>
        <v>8.8660186222963902E-4</v>
      </c>
    </row>
    <row r="29" spans="1:42" x14ac:dyDescent="0.3">
      <c r="A29" t="s">
        <v>176</v>
      </c>
      <c r="B29">
        <f>'Total exports'!B29/SUM('Total exports'!B$3:B$73)</f>
        <v>1.0454254429596022E-3</v>
      </c>
      <c r="C29">
        <f>'Total exports'!C29/SUM('Total exports'!C$3:C$73)</f>
        <v>1.2483028407061923E-3</v>
      </c>
      <c r="D29">
        <f>'Total exports'!D29/SUM('Total exports'!D$3:D$73)</f>
        <v>1.228853506239196E-3</v>
      </c>
      <c r="E29">
        <f>'Total exports'!E29/SUM('Total exports'!E$3:E$73)</f>
        <v>1.3612458240384816E-3</v>
      </c>
      <c r="F29">
        <f>'Total exports'!F29/SUM('Total exports'!F$3:F$73)</f>
        <v>1.3565960369317301E-3</v>
      </c>
      <c r="G29">
        <f>'Total exports'!G29/SUM('Total exports'!G$3:G$73)</f>
        <v>1.2957972311711616E-3</v>
      </c>
      <c r="H29">
        <f>'Total exports'!H29/SUM('Total exports'!H$3:H$73)</f>
        <v>1.3200551252664015E-3</v>
      </c>
      <c r="I29">
        <f>'Total exports'!I29/SUM('Total exports'!I$3:I$73)</f>
        <v>1.3355733615238873E-3</v>
      </c>
      <c r="J29">
        <f>'Total exports'!J29/SUM('Total exports'!J$3:J$73)</f>
        <v>1.3143713142716395E-3</v>
      </c>
      <c r="K29">
        <f>'Total exports'!K29/SUM('Total exports'!K$3:K$73)</f>
        <v>1.3441445332518732E-3</v>
      </c>
      <c r="L29">
        <f>'Total exports'!L29/SUM('Total exports'!L$3:L$73)</f>
        <v>1.2679436022610617E-3</v>
      </c>
      <c r="M29">
        <f>'Total exports'!M29/SUM('Total exports'!M$3:M$73)</f>
        <v>1.4247819168879618E-3</v>
      </c>
      <c r="N29">
        <f>'Total exports'!N29/SUM('Total exports'!N$3:N$73)</f>
        <v>1.6785641491864573E-3</v>
      </c>
      <c r="O29">
        <f>'Total exports'!O29/SUM('Total exports'!O$3:O$73)</f>
        <v>1.6617656694672739E-3</v>
      </c>
      <c r="P29">
        <f>'Total exports'!P29/SUM('Total exports'!P$3:P$73)</f>
        <v>1.6530136726541677E-3</v>
      </c>
      <c r="Q29">
        <f>'Total exports'!Q29/SUM('Total exports'!Q$3:Q$73)</f>
        <v>1.6584845386941834E-3</v>
      </c>
      <c r="R29">
        <f>'Total exports'!R29/SUM('Total exports'!R$3:R$73)</f>
        <v>1.6525322018146782E-3</v>
      </c>
      <c r="S29">
        <f>'Total exports'!S29/SUM('Total exports'!S$3:S$73)</f>
        <v>1.6456112828357897E-3</v>
      </c>
      <c r="T29">
        <f>'Total exports'!T29/SUM('Total exports'!T$3:T$73)</f>
        <v>1.6256297158747145E-3</v>
      </c>
      <c r="U29">
        <f>'Total exports'!U29/SUM('Total exports'!U$3:U$73)</f>
        <v>1.6117753583917518E-3</v>
      </c>
      <c r="V29">
        <f>'Total exports'!V29/SUM('Total exports'!V$3:V$73)</f>
        <v>1.6189263163078234E-3</v>
      </c>
      <c r="W29">
        <f>'Total exports'!W29/SUM('Total exports'!W$3:W$73)</f>
        <v>1.6151090614195298E-3</v>
      </c>
      <c r="X29">
        <f>'Total exports'!X29/SUM('Total exports'!X$3:X$73)</f>
        <v>1.6113983248912283E-3</v>
      </c>
      <c r="Y29">
        <f>'Total exports'!Y29/SUM('Total exports'!Y$3:Y$73)</f>
        <v>1.6053410765773958E-3</v>
      </c>
      <c r="Z29">
        <f>'Total exports'!Z29/SUM('Total exports'!Z$3:Z$73)</f>
        <v>1.5975411700681434E-3</v>
      </c>
      <c r="AA29">
        <f>'Total exports'!AA29/SUM('Total exports'!AA$3:AA$73)</f>
        <v>1.5880433451629494E-3</v>
      </c>
      <c r="AB29">
        <f>'Total exports'!AB29/SUM('Total exports'!AB$3:AB$73)</f>
        <v>1.5770495119915605E-3</v>
      </c>
      <c r="AC29">
        <f>'Total exports'!AC29/SUM('Total exports'!AC$3:AC$73)</f>
        <v>1.5641854289995078E-3</v>
      </c>
      <c r="AD29">
        <f>'Total exports'!AD29/SUM('Total exports'!AD$3:AD$73)</f>
        <v>1.5489089120129232E-3</v>
      </c>
      <c r="AE29">
        <f>'Total exports'!AE29/SUM('Total exports'!AE$3:AE$73)</f>
        <v>1.5319913995357802E-3</v>
      </c>
      <c r="AF29">
        <f>'Total exports'!AF29/SUM('Total exports'!AF$3:AF$73)</f>
        <v>1.5124443623044086E-3</v>
      </c>
      <c r="AG29">
        <f>'Total exports'!AG29/SUM('Total exports'!AG$3:AG$73)</f>
        <v>1.4926566840634231E-3</v>
      </c>
      <c r="AH29">
        <f>'Total exports'!AH29/SUM('Total exports'!AH$3:AH$73)</f>
        <v>1.4731358384791904E-3</v>
      </c>
      <c r="AI29">
        <f>'Total exports'!AI29/SUM('Total exports'!AI$3:AI$73)</f>
        <v>1.4544998177494369E-3</v>
      </c>
      <c r="AJ29">
        <f>'Total exports'!AJ29/SUM('Total exports'!AJ$3:AJ$73)</f>
        <v>1.4363381507140885E-3</v>
      </c>
      <c r="AK29">
        <f>'Total exports'!AK29/SUM('Total exports'!AK$3:AK$73)</f>
        <v>1.4184233647847771E-3</v>
      </c>
      <c r="AL29">
        <f>'Total exports'!AL29/SUM('Total exports'!AL$3:AL$73)</f>
        <v>1.4007915893107846E-3</v>
      </c>
      <c r="AM29">
        <f>'Total exports'!AM29/SUM('Total exports'!AM$3:AM$73)</f>
        <v>1.3834240622444766E-3</v>
      </c>
      <c r="AN29">
        <f>'Total exports'!AN29/SUM('Total exports'!AN$3:AN$73)</f>
        <v>1.366340060531411E-3</v>
      </c>
      <c r="AO29">
        <f>'Total exports'!AO29/SUM('Total exports'!AO$3:AO$73)</f>
        <v>1.3489792343223087E-3</v>
      </c>
      <c r="AP29">
        <f>'Total exports'!AP29/SUM('Total exports'!AP$3:AP$73)</f>
        <v>1.3316306473072537E-3</v>
      </c>
    </row>
    <row r="30" spans="1:42" x14ac:dyDescent="0.3">
      <c r="A30" t="s">
        <v>177</v>
      </c>
      <c r="B30">
        <f>'Total exports'!B30/SUM('Total exports'!B$3:B$73)</f>
        <v>2.223679654415256E-3</v>
      </c>
      <c r="C30">
        <f>'Total exports'!C30/SUM('Total exports'!C$3:C$73)</f>
        <v>2.0411373296125275E-3</v>
      </c>
      <c r="D30">
        <f>'Total exports'!D30/SUM('Total exports'!D$3:D$73)</f>
        <v>1.9992352213523391E-3</v>
      </c>
      <c r="E30">
        <f>'Total exports'!E30/SUM('Total exports'!E$3:E$73)</f>
        <v>1.8518289057441381E-3</v>
      </c>
      <c r="F30">
        <f>'Total exports'!F30/SUM('Total exports'!F$3:F$73)</f>
        <v>1.2918153240916704E-3</v>
      </c>
      <c r="G30">
        <f>'Total exports'!G30/SUM('Total exports'!G$3:G$73)</f>
        <v>1.1621352178128957E-3</v>
      </c>
      <c r="H30">
        <f>'Total exports'!H30/SUM('Total exports'!H$3:H$73)</f>
        <v>9.6810039542131738E-4</v>
      </c>
      <c r="I30">
        <f>'Total exports'!I30/SUM('Total exports'!I$3:I$73)</f>
        <v>1.088471955305647E-3</v>
      </c>
      <c r="J30">
        <f>'Total exports'!J30/SUM('Total exports'!J$3:J$73)</f>
        <v>1.0483474659500258E-3</v>
      </c>
      <c r="K30">
        <f>'Total exports'!K30/SUM('Total exports'!K$3:K$73)</f>
        <v>1.0259866047865559E-3</v>
      </c>
      <c r="L30">
        <f>'Total exports'!L30/SUM('Total exports'!L$3:L$73)</f>
        <v>1.0650235943587352E-3</v>
      </c>
      <c r="M30">
        <f>'Total exports'!M30/SUM('Total exports'!M$3:M$73)</f>
        <v>1.0306931493743786E-3</v>
      </c>
      <c r="N30">
        <f>'Total exports'!N30/SUM('Total exports'!N$3:N$73)</f>
        <v>1.0047220101950011E-3</v>
      </c>
      <c r="O30">
        <f>'Total exports'!O30/SUM('Total exports'!O$3:O$73)</f>
        <v>1.0067767727067246E-3</v>
      </c>
      <c r="P30">
        <f>'Total exports'!P30/SUM('Total exports'!P$3:P$73)</f>
        <v>9.9467094835769924E-4</v>
      </c>
      <c r="Q30">
        <f>'Total exports'!Q30/SUM('Total exports'!Q$3:Q$73)</f>
        <v>9.7495541346610684E-4</v>
      </c>
      <c r="R30">
        <f>'Total exports'!R30/SUM('Total exports'!R$3:R$73)</f>
        <v>9.5685195723201814E-4</v>
      </c>
      <c r="S30">
        <f>'Total exports'!S30/SUM('Total exports'!S$3:S$73)</f>
        <v>9.4504222939541141E-4</v>
      </c>
      <c r="T30">
        <f>'Total exports'!T30/SUM('Total exports'!T$3:T$73)</f>
        <v>9.3298521469259432E-4</v>
      </c>
      <c r="U30">
        <f>'Total exports'!U30/SUM('Total exports'!U$3:U$73)</f>
        <v>9.2209134199770825E-4</v>
      </c>
      <c r="V30">
        <f>'Total exports'!V30/SUM('Total exports'!V$3:V$73)</f>
        <v>9.1746042345591545E-4</v>
      </c>
      <c r="W30">
        <f>'Total exports'!W30/SUM('Total exports'!W$3:W$73)</f>
        <v>9.0973742693526978E-4</v>
      </c>
      <c r="X30">
        <f>'Total exports'!X30/SUM('Total exports'!X$3:X$73)</f>
        <v>9.0221957070267306E-4</v>
      </c>
      <c r="Y30">
        <f>'Total exports'!Y30/SUM('Total exports'!Y$3:Y$73)</f>
        <v>8.9461219055408188E-4</v>
      </c>
      <c r="Z30">
        <f>'Total exports'!Z30/SUM('Total exports'!Z$3:Z$73)</f>
        <v>8.8669493762591359E-4</v>
      </c>
      <c r="AA30">
        <f>'Total exports'!AA30/SUM('Total exports'!AA$3:AA$73)</f>
        <v>8.8111644594090913E-4</v>
      </c>
      <c r="AB30">
        <f>'Total exports'!AB30/SUM('Total exports'!AB$3:AB$73)</f>
        <v>8.7428628063551087E-4</v>
      </c>
      <c r="AC30">
        <f>'Total exports'!AC30/SUM('Total exports'!AC$3:AC$73)</f>
        <v>8.6720421198742414E-4</v>
      </c>
      <c r="AD30">
        <f>'Total exports'!AD30/SUM('Total exports'!AD$3:AD$73)</f>
        <v>8.6002233503782984E-4</v>
      </c>
      <c r="AE30">
        <f>'Total exports'!AE30/SUM('Total exports'!AE$3:AE$73)</f>
        <v>8.525155580795397E-4</v>
      </c>
      <c r="AF30">
        <f>'Total exports'!AF30/SUM('Total exports'!AF$3:AF$73)</f>
        <v>8.4534956361392161E-4</v>
      </c>
      <c r="AG30">
        <f>'Total exports'!AG30/SUM('Total exports'!AG$3:AG$73)</f>
        <v>8.3819047414371967E-4</v>
      </c>
      <c r="AH30">
        <f>'Total exports'!AH30/SUM('Total exports'!AH$3:AH$73)</f>
        <v>8.3101779124913672E-4</v>
      </c>
      <c r="AI30">
        <f>'Total exports'!AI30/SUM('Total exports'!AI$3:AI$73)</f>
        <v>8.2385765848194659E-4</v>
      </c>
      <c r="AJ30">
        <f>'Total exports'!AJ30/SUM('Total exports'!AJ$3:AJ$73)</f>
        <v>8.1664331530237517E-4</v>
      </c>
      <c r="AK30">
        <f>'Total exports'!AK30/SUM('Total exports'!AK$3:AK$73)</f>
        <v>8.0950664160911174E-4</v>
      </c>
      <c r="AL30">
        <f>'Total exports'!AL30/SUM('Total exports'!AL$3:AL$73)</f>
        <v>8.0244656875708576E-4</v>
      </c>
      <c r="AM30">
        <f>'Total exports'!AM30/SUM('Total exports'!AM$3:AM$73)</f>
        <v>7.9550147726506048E-4</v>
      </c>
      <c r="AN30">
        <f>'Total exports'!AN30/SUM('Total exports'!AN$3:AN$73)</f>
        <v>7.8855205271323176E-4</v>
      </c>
      <c r="AO30">
        <f>'Total exports'!AO30/SUM('Total exports'!AO$3:AO$73)</f>
        <v>7.8169527587880515E-4</v>
      </c>
      <c r="AP30">
        <f>'Total exports'!AP30/SUM('Total exports'!AP$3:AP$73)</f>
        <v>7.7426601415664126E-4</v>
      </c>
    </row>
    <row r="31" spans="1:42" x14ac:dyDescent="0.3">
      <c r="A31" t="s">
        <v>178</v>
      </c>
      <c r="B31">
        <f>'Total exports'!B31/SUM('Total exports'!B$3:B$73)</f>
        <v>1.0673246514239135E-2</v>
      </c>
      <c r="C31">
        <f>'Total exports'!C31/SUM('Total exports'!C$3:C$73)</f>
        <v>1.0290647579362591E-2</v>
      </c>
      <c r="D31">
        <f>'Total exports'!D31/SUM('Total exports'!D$3:D$73)</f>
        <v>9.9707016784271567E-3</v>
      </c>
      <c r="E31">
        <f>'Total exports'!E31/SUM('Total exports'!E$3:E$73)</f>
        <v>1.1097670981033295E-2</v>
      </c>
      <c r="F31">
        <f>'Total exports'!F31/SUM('Total exports'!F$3:F$73)</f>
        <v>2.121810379161173E-2</v>
      </c>
      <c r="G31">
        <f>'Total exports'!G31/SUM('Total exports'!G$3:G$73)</f>
        <v>2.1283368888641425E-2</v>
      </c>
      <c r="H31">
        <f>'Total exports'!H31/SUM('Total exports'!H$3:H$73)</f>
        <v>2.1529489838949034E-2</v>
      </c>
      <c r="I31">
        <f>'Total exports'!I31/SUM('Total exports'!I$3:I$73)</f>
        <v>2.0745888603743805E-2</v>
      </c>
      <c r="J31">
        <f>'Total exports'!J31/SUM('Total exports'!J$3:J$73)</f>
        <v>2.0157868520245946E-2</v>
      </c>
      <c r="K31">
        <f>'Total exports'!K31/SUM('Total exports'!K$3:K$73)</f>
        <v>1.9809470626717923E-2</v>
      </c>
      <c r="L31">
        <f>'Total exports'!L31/SUM('Total exports'!L$3:L$73)</f>
        <v>2.0190958916027499E-2</v>
      </c>
      <c r="M31">
        <f>'Total exports'!M31/SUM('Total exports'!M$3:M$73)</f>
        <v>1.9605748751192205E-2</v>
      </c>
      <c r="N31">
        <f>'Total exports'!N31/SUM('Total exports'!N$3:N$73)</f>
        <v>1.8845146022059979E-2</v>
      </c>
      <c r="O31">
        <f>'Total exports'!O31/SUM('Total exports'!O$3:O$73)</f>
        <v>1.8557745350421762E-2</v>
      </c>
      <c r="P31">
        <f>'Total exports'!P31/SUM('Total exports'!P$3:P$73)</f>
        <v>1.8491723035417407E-2</v>
      </c>
      <c r="Q31">
        <f>'Total exports'!Q31/SUM('Total exports'!Q$3:Q$73)</f>
        <v>1.8021347223132797E-2</v>
      </c>
      <c r="R31">
        <f>'Total exports'!R31/SUM('Total exports'!R$3:R$73)</f>
        <v>1.794314397133611E-2</v>
      </c>
      <c r="S31">
        <f>'Total exports'!S31/SUM('Total exports'!S$3:S$73)</f>
        <v>1.7564179779653324E-2</v>
      </c>
      <c r="T31">
        <f>'Total exports'!T31/SUM('Total exports'!T$3:T$73)</f>
        <v>1.7528497202887516E-2</v>
      </c>
      <c r="U31">
        <f>'Total exports'!U31/SUM('Total exports'!U$3:U$73)</f>
        <v>1.7372971686889321E-2</v>
      </c>
      <c r="V31">
        <f>'Total exports'!V31/SUM('Total exports'!V$3:V$73)</f>
        <v>1.7335657681622867E-2</v>
      </c>
      <c r="W31">
        <f>'Total exports'!W31/SUM('Total exports'!W$3:W$73)</f>
        <v>1.7241266597925641E-2</v>
      </c>
      <c r="X31">
        <f>'Total exports'!X31/SUM('Total exports'!X$3:X$73)</f>
        <v>1.7148622763312773E-2</v>
      </c>
      <c r="Y31">
        <f>'Total exports'!Y31/SUM('Total exports'!Y$3:Y$73)</f>
        <v>1.705315425766182E-2</v>
      </c>
      <c r="Z31">
        <f>'Total exports'!Z31/SUM('Total exports'!Z$3:Z$73)</f>
        <v>1.6951989301282014E-2</v>
      </c>
      <c r="AA31">
        <f>'Total exports'!AA31/SUM('Total exports'!AA$3:AA$73)</f>
        <v>1.6850332941206046E-2</v>
      </c>
      <c r="AB31">
        <f>'Total exports'!AB31/SUM('Total exports'!AB$3:AB$73)</f>
        <v>1.6747006706567629E-2</v>
      </c>
      <c r="AC31">
        <f>'Total exports'!AC31/SUM('Total exports'!AC$3:AC$73)</f>
        <v>1.6639069611638593E-2</v>
      </c>
      <c r="AD31">
        <f>'Total exports'!AD31/SUM('Total exports'!AD$3:AD$73)</f>
        <v>1.6528406036009684E-2</v>
      </c>
      <c r="AE31">
        <f>'Total exports'!AE31/SUM('Total exports'!AE$3:AE$73)</f>
        <v>1.6411929675701424E-2</v>
      </c>
      <c r="AF31">
        <f>'Total exports'!AF31/SUM('Total exports'!AF$3:AF$73)</f>
        <v>1.6297018521359546E-2</v>
      </c>
      <c r="AG31">
        <f>'Total exports'!AG31/SUM('Total exports'!AG$3:AG$73)</f>
        <v>1.618375712468282E-2</v>
      </c>
      <c r="AH31">
        <f>'Total exports'!AH31/SUM('Total exports'!AH$3:AH$73)</f>
        <v>1.607050801858062E-2</v>
      </c>
      <c r="AI31">
        <f>'Total exports'!AI31/SUM('Total exports'!AI$3:AI$73)</f>
        <v>1.5956352136933281E-2</v>
      </c>
      <c r="AJ31">
        <f>'Total exports'!AJ31/SUM('Total exports'!AJ$3:AJ$73)</f>
        <v>1.5840512700222888E-2</v>
      </c>
      <c r="AK31">
        <f>'Total exports'!AK31/SUM('Total exports'!AK$3:AK$73)</f>
        <v>1.5725812423190509E-2</v>
      </c>
      <c r="AL31">
        <f>'Total exports'!AL31/SUM('Total exports'!AL$3:AL$73)</f>
        <v>1.5611343692242968E-2</v>
      </c>
      <c r="AM31">
        <f>'Total exports'!AM31/SUM('Total exports'!AM$3:AM$73)</f>
        <v>1.5497241502607924E-2</v>
      </c>
      <c r="AN31">
        <f>'Total exports'!AN31/SUM('Total exports'!AN$3:AN$73)</f>
        <v>1.5383257448730255E-2</v>
      </c>
      <c r="AO31">
        <f>'Total exports'!AO31/SUM('Total exports'!AO$3:AO$73)</f>
        <v>1.527016437454639E-2</v>
      </c>
      <c r="AP31">
        <f>'Total exports'!AP31/SUM('Total exports'!AP$3:AP$73)</f>
        <v>1.5157252932632087E-2</v>
      </c>
    </row>
    <row r="32" spans="1:42" x14ac:dyDescent="0.3">
      <c r="A32" t="s">
        <v>179</v>
      </c>
      <c r="B32">
        <f>'Total exports'!B32/SUM('Total exports'!B$3:B$73)</f>
        <v>7.6472071614203915E-5</v>
      </c>
      <c r="C32">
        <f>'Total exports'!C32/SUM('Total exports'!C$3:C$73)</f>
        <v>7.3665550956183569E-5</v>
      </c>
      <c r="D32">
        <f>'Total exports'!D32/SUM('Total exports'!D$3:D$73)</f>
        <v>7.3674941376282427E-5</v>
      </c>
      <c r="E32">
        <f>'Total exports'!E32/SUM('Total exports'!E$3:E$73)</f>
        <v>7.5203554509813478E-5</v>
      </c>
      <c r="F32">
        <f>'Total exports'!F32/SUM('Total exports'!F$3:F$73)</f>
        <v>7.2993977819202165E-5</v>
      </c>
      <c r="G32">
        <f>'Total exports'!G32/SUM('Total exports'!G$3:G$73)</f>
        <v>7.3089941962115599E-5</v>
      </c>
      <c r="H32">
        <f>'Total exports'!H32/SUM('Total exports'!H$3:H$73)</f>
        <v>7.3546398941139906E-5</v>
      </c>
      <c r="I32">
        <f>'Total exports'!I32/SUM('Total exports'!I$3:I$73)</f>
        <v>7.496660291317914E-5</v>
      </c>
      <c r="J32">
        <f>'Total exports'!J32/SUM('Total exports'!J$3:J$73)</f>
        <v>7.6393804541191086E-5</v>
      </c>
      <c r="K32">
        <f>'Total exports'!K32/SUM('Total exports'!K$3:K$73)</f>
        <v>7.6003414059063712E-5</v>
      </c>
      <c r="L32">
        <f>'Total exports'!L32/SUM('Total exports'!L$3:L$73)</f>
        <v>7.4027896632077085E-5</v>
      </c>
      <c r="M32">
        <f>'Total exports'!M32/SUM('Total exports'!M$3:M$73)</f>
        <v>7.2001712334856307E-5</v>
      </c>
      <c r="N32">
        <f>'Total exports'!N32/SUM('Total exports'!N$3:N$73)</f>
        <v>7.1149900463368765E-5</v>
      </c>
      <c r="O32">
        <f>'Total exports'!O32/SUM('Total exports'!O$3:O$73)</f>
        <v>7.1535416694098889E-5</v>
      </c>
      <c r="P32">
        <f>'Total exports'!P32/SUM('Total exports'!P$3:P$73)</f>
        <v>7.0992623080715577E-5</v>
      </c>
      <c r="Q32">
        <f>'Total exports'!Q32/SUM('Total exports'!Q$3:Q$73)</f>
        <v>7.0287342707091695E-5</v>
      </c>
      <c r="R32">
        <f>'Total exports'!R32/SUM('Total exports'!R$3:R$73)</f>
        <v>6.9749392921998268E-5</v>
      </c>
      <c r="S32">
        <f>'Total exports'!S32/SUM('Total exports'!S$3:S$73)</f>
        <v>6.9339559807662202E-5</v>
      </c>
      <c r="T32">
        <f>'Total exports'!T32/SUM('Total exports'!T$3:T$73)</f>
        <v>6.8527938666916225E-5</v>
      </c>
      <c r="U32">
        <f>'Total exports'!U32/SUM('Total exports'!U$3:U$73)</f>
        <v>6.7924320590852905E-5</v>
      </c>
      <c r="V32">
        <f>'Total exports'!V32/SUM('Total exports'!V$3:V$73)</f>
        <v>6.7780410045400498E-5</v>
      </c>
      <c r="W32">
        <f>'Total exports'!W32/SUM('Total exports'!W$3:W$73)</f>
        <v>6.7412699683037079E-5</v>
      </c>
      <c r="X32">
        <f>'Total exports'!X32/SUM('Total exports'!X$3:X$73)</f>
        <v>6.7053351521784889E-5</v>
      </c>
      <c r="Y32">
        <f>'Total exports'!Y32/SUM('Total exports'!Y$3:Y$73)</f>
        <v>6.6678875385560224E-5</v>
      </c>
      <c r="Z32">
        <f>'Total exports'!Z32/SUM('Total exports'!Z$3:Z$73)</f>
        <v>6.6290859796172278E-5</v>
      </c>
      <c r="AA32">
        <f>'Total exports'!AA32/SUM('Total exports'!AA$3:AA$73)</f>
        <v>6.5891320279724261E-5</v>
      </c>
      <c r="AB32">
        <f>'Total exports'!AB32/SUM('Total exports'!AB$3:AB$73)</f>
        <v>6.5481531435141667E-5</v>
      </c>
      <c r="AC32">
        <f>'Total exports'!AC32/SUM('Total exports'!AC$3:AC$73)</f>
        <v>6.5053525408619351E-5</v>
      </c>
      <c r="AD32">
        <f>'Total exports'!AD32/SUM('Total exports'!AD$3:AD$73)</f>
        <v>6.4618660705870504E-5</v>
      </c>
      <c r="AE32">
        <f>'Total exports'!AE32/SUM('Total exports'!AE$3:AE$73)</f>
        <v>6.4160676424148433E-5</v>
      </c>
      <c r="AF32">
        <f>'Total exports'!AF32/SUM('Total exports'!AF$3:AF$73)</f>
        <v>6.3732375428563894E-5</v>
      </c>
      <c r="AG32">
        <f>'Total exports'!AG32/SUM('Total exports'!AG$3:AG$73)</f>
        <v>6.3273128170229898E-5</v>
      </c>
      <c r="AH32">
        <f>'Total exports'!AH32/SUM('Total exports'!AH$3:AH$73)</f>
        <v>6.282288843234324E-5</v>
      </c>
      <c r="AI32">
        <f>'Total exports'!AI32/SUM('Total exports'!AI$3:AI$73)</f>
        <v>6.2378625475662181E-5</v>
      </c>
      <c r="AJ32">
        <f>'Total exports'!AJ32/SUM('Total exports'!AJ$3:AJ$73)</f>
        <v>6.1924270373916668E-5</v>
      </c>
      <c r="AK32">
        <f>'Total exports'!AK32/SUM('Total exports'!AK$3:AK$73)</f>
        <v>6.1473731256481867E-5</v>
      </c>
      <c r="AL32">
        <f>'Total exports'!AL32/SUM('Total exports'!AL$3:AL$73)</f>
        <v>6.1027533299009754E-5</v>
      </c>
      <c r="AM32">
        <f>'Total exports'!AM32/SUM('Total exports'!AM$3:AM$73)</f>
        <v>6.058342003262044E-5</v>
      </c>
      <c r="AN32">
        <f>'Total exports'!AN32/SUM('Total exports'!AN$3:AN$73)</f>
        <v>6.0137110153493366E-5</v>
      </c>
      <c r="AO32">
        <f>'Total exports'!AO32/SUM('Total exports'!AO$3:AO$73)</f>
        <v>5.9694149797261456E-5</v>
      </c>
      <c r="AP32">
        <f>'Total exports'!AP32/SUM('Total exports'!AP$3:AP$73)</f>
        <v>5.925220820316297E-5</v>
      </c>
    </row>
    <row r="33" spans="1:42" x14ac:dyDescent="0.3">
      <c r="A33" t="s">
        <v>180</v>
      </c>
      <c r="B33">
        <f>'Total exports'!B33/SUM('Total exports'!B$3:B$73)</f>
        <v>4.1670022568545312E-4</v>
      </c>
      <c r="C33">
        <f>'Total exports'!C33/SUM('Total exports'!C$3:C$73)</f>
        <v>4.8577060058143111E-4</v>
      </c>
      <c r="D33">
        <f>'Total exports'!D33/SUM('Total exports'!D$3:D$73)</f>
        <v>4.6665090023820016E-4</v>
      </c>
      <c r="E33">
        <f>'Total exports'!E33/SUM('Total exports'!E$3:E$73)</f>
        <v>4.2593890939994001E-4</v>
      </c>
      <c r="F33">
        <f>'Total exports'!F33/SUM('Total exports'!F$3:F$73)</f>
        <v>4.138409171424024E-4</v>
      </c>
      <c r="G33">
        <f>'Total exports'!G33/SUM('Total exports'!G$3:G$73)</f>
        <v>4.2556457559622088E-4</v>
      </c>
      <c r="H33">
        <f>'Total exports'!H33/SUM('Total exports'!H$3:H$73)</f>
        <v>4.4340006273329809E-4</v>
      </c>
      <c r="I33">
        <f>'Total exports'!I33/SUM('Total exports'!I$3:I$73)</f>
        <v>4.9082192269855592E-4</v>
      </c>
      <c r="J33">
        <f>'Total exports'!J33/SUM('Total exports'!J$3:J$73)</f>
        <v>4.5271615548233521E-4</v>
      </c>
      <c r="K33">
        <f>'Total exports'!K33/SUM('Total exports'!K$3:K$73)</f>
        <v>4.7543814791052591E-4</v>
      </c>
      <c r="L33">
        <f>'Total exports'!L33/SUM('Total exports'!L$3:L$73)</f>
        <v>3.6961130296079322E-4</v>
      </c>
      <c r="M33">
        <f>'Total exports'!M33/SUM('Total exports'!M$3:M$73)</f>
        <v>4.7808484454201823E-4</v>
      </c>
      <c r="N33">
        <f>'Total exports'!N33/SUM('Total exports'!N$3:N$73)</f>
        <v>6.2223107259704047E-4</v>
      </c>
      <c r="O33">
        <f>'Total exports'!O33/SUM('Total exports'!O$3:O$73)</f>
        <v>6.0112613087001177E-4</v>
      </c>
      <c r="P33">
        <f>'Total exports'!P33/SUM('Total exports'!P$3:P$73)</f>
        <v>5.9684603886200546E-4</v>
      </c>
      <c r="Q33">
        <f>'Total exports'!Q33/SUM('Total exports'!Q$3:Q$73)</f>
        <v>5.9961601469007227E-4</v>
      </c>
      <c r="R33">
        <f>'Total exports'!R33/SUM('Total exports'!R$3:R$73)</f>
        <v>5.9599756316001831E-4</v>
      </c>
      <c r="S33">
        <f>'Total exports'!S33/SUM('Total exports'!S$3:S$73)</f>
        <v>5.9107179061242501E-4</v>
      </c>
      <c r="T33">
        <f>'Total exports'!T33/SUM('Total exports'!T$3:T$73)</f>
        <v>5.8043397736208513E-4</v>
      </c>
      <c r="U33">
        <f>'Total exports'!U33/SUM('Total exports'!U$3:U$73)</f>
        <v>5.7196577338831781E-4</v>
      </c>
      <c r="V33">
        <f>'Total exports'!V33/SUM('Total exports'!V$3:V$73)</f>
        <v>5.7060954259814309E-4</v>
      </c>
      <c r="W33">
        <f>'Total exports'!W33/SUM('Total exports'!W$3:W$73)</f>
        <v>5.6462116489821538E-4</v>
      </c>
      <c r="X33">
        <f>'Total exports'!X33/SUM('Total exports'!X$3:X$73)</f>
        <v>5.5858635967770041E-4</v>
      </c>
      <c r="Y33">
        <f>'Total exports'!Y33/SUM('Total exports'!Y$3:Y$73)</f>
        <v>5.5244212710336862E-4</v>
      </c>
      <c r="Z33">
        <f>'Total exports'!Z33/SUM('Total exports'!Z$3:Z$73)</f>
        <v>5.4665466654638475E-4</v>
      </c>
      <c r="AA33">
        <f>'Total exports'!AA33/SUM('Total exports'!AA$3:AA$73)</f>
        <v>5.4060988701420823E-4</v>
      </c>
      <c r="AB33">
        <f>'Total exports'!AB33/SUM('Total exports'!AB$3:AB$73)</f>
        <v>5.3463911907038132E-4</v>
      </c>
      <c r="AC33">
        <f>'Total exports'!AC33/SUM('Total exports'!AC$3:AC$73)</f>
        <v>5.2911146535280357E-4</v>
      </c>
      <c r="AD33">
        <f>'Total exports'!AD33/SUM('Total exports'!AD$3:AD$73)</f>
        <v>5.237981476858719E-4</v>
      </c>
      <c r="AE33">
        <f>'Total exports'!AE33/SUM('Total exports'!AE$3:AE$73)</f>
        <v>5.193178999410758E-4</v>
      </c>
      <c r="AF33">
        <f>'Total exports'!AF33/SUM('Total exports'!AF$3:AF$73)</f>
        <v>5.1430863494391743E-4</v>
      </c>
      <c r="AG33">
        <f>'Total exports'!AG33/SUM('Total exports'!AG$3:AG$73)</f>
        <v>5.0917318080278846E-4</v>
      </c>
      <c r="AH33">
        <f>'Total exports'!AH33/SUM('Total exports'!AH$3:AH$73)</f>
        <v>5.0424253254745916E-4</v>
      </c>
      <c r="AI33">
        <f>'Total exports'!AI33/SUM('Total exports'!AI$3:AI$73)</f>
        <v>4.991347816394921E-4</v>
      </c>
      <c r="AJ33">
        <f>'Total exports'!AJ33/SUM('Total exports'!AJ$3:AJ$73)</f>
        <v>4.9401071802185911E-4</v>
      </c>
      <c r="AK33">
        <f>'Total exports'!AK33/SUM('Total exports'!AK$3:AK$73)</f>
        <v>4.8892976750593406E-4</v>
      </c>
      <c r="AL33">
        <f>'Total exports'!AL33/SUM('Total exports'!AL$3:AL$73)</f>
        <v>4.8393341477945192E-4</v>
      </c>
      <c r="AM33">
        <f>'Total exports'!AM33/SUM('Total exports'!AM$3:AM$73)</f>
        <v>4.7898530001288066E-4</v>
      </c>
      <c r="AN33">
        <f>'Total exports'!AN33/SUM('Total exports'!AN$3:AN$73)</f>
        <v>4.7407653808104346E-4</v>
      </c>
      <c r="AO33">
        <f>'Total exports'!AO33/SUM('Total exports'!AO$3:AO$73)</f>
        <v>4.690106744585538E-4</v>
      </c>
      <c r="AP33">
        <f>'Total exports'!AP33/SUM('Total exports'!AP$3:AP$73)</f>
        <v>4.6373269030556755E-4</v>
      </c>
    </row>
    <row r="34" spans="1:42" x14ac:dyDescent="0.3">
      <c r="A34" t="s">
        <v>181</v>
      </c>
      <c r="B34">
        <f>'Total exports'!B34/SUM('Total exports'!B$3:B$73)</f>
        <v>5.729171553999983E-3</v>
      </c>
      <c r="C34">
        <f>'Total exports'!C34/SUM('Total exports'!C$3:C$73)</f>
        <v>6.0158622011955865E-3</v>
      </c>
      <c r="D34">
        <f>'Total exports'!D34/SUM('Total exports'!D$3:D$73)</f>
        <v>6.6906595069850527E-3</v>
      </c>
      <c r="E34">
        <f>'Total exports'!E34/SUM('Total exports'!E$3:E$73)</f>
        <v>4.9587520416604124E-3</v>
      </c>
      <c r="F34">
        <f>'Total exports'!F34/SUM('Total exports'!F$3:F$73)</f>
        <v>4.8648998600951902E-3</v>
      </c>
      <c r="G34">
        <f>'Total exports'!G34/SUM('Total exports'!G$3:G$73)</f>
        <v>4.8906135624103737E-3</v>
      </c>
      <c r="H34">
        <f>'Total exports'!H34/SUM('Total exports'!H$3:H$73)</f>
        <v>4.9498382989094786E-3</v>
      </c>
      <c r="I34">
        <f>'Total exports'!I34/SUM('Total exports'!I$3:I$73)</f>
        <v>4.8663345618068848E-3</v>
      </c>
      <c r="J34">
        <f>'Total exports'!J34/SUM('Total exports'!J$3:J$73)</f>
        <v>4.7783115104601311E-3</v>
      </c>
      <c r="K34">
        <f>'Total exports'!K34/SUM('Total exports'!K$3:K$73)</f>
        <v>4.6781462836216437E-3</v>
      </c>
      <c r="L34">
        <f>'Total exports'!L34/SUM('Total exports'!L$3:L$73)</f>
        <v>4.986112030727202E-3</v>
      </c>
      <c r="M34">
        <f>'Total exports'!M34/SUM('Total exports'!M$3:M$73)</f>
        <v>5.172496675920327E-3</v>
      </c>
      <c r="N34">
        <f>'Total exports'!N34/SUM('Total exports'!N$3:N$73)</f>
        <v>5.1062591907445028E-3</v>
      </c>
      <c r="O34">
        <f>'Total exports'!O34/SUM('Total exports'!O$3:O$73)</f>
        <v>5.1394333680963161E-3</v>
      </c>
      <c r="P34">
        <f>'Total exports'!P34/SUM('Total exports'!P$3:P$73)</f>
        <v>5.1314640316045389E-3</v>
      </c>
      <c r="Q34">
        <f>'Total exports'!Q34/SUM('Total exports'!Q$3:Q$73)</f>
        <v>5.1156515208813837E-3</v>
      </c>
      <c r="R34">
        <f>'Total exports'!R34/SUM('Total exports'!R$3:R$73)</f>
        <v>5.1274267883567185E-3</v>
      </c>
      <c r="S34">
        <f>'Total exports'!S34/SUM('Total exports'!S$3:S$73)</f>
        <v>5.1394789601109459E-3</v>
      </c>
      <c r="T34">
        <f>'Total exports'!T34/SUM('Total exports'!T$3:T$73)</f>
        <v>5.0377491959483203E-3</v>
      </c>
      <c r="U34">
        <f>'Total exports'!U34/SUM('Total exports'!U$3:U$73)</f>
        <v>4.9931213925356243E-3</v>
      </c>
      <c r="V34">
        <f>'Total exports'!V34/SUM('Total exports'!V$3:V$73)</f>
        <v>4.9820422624073865E-3</v>
      </c>
      <c r="W34">
        <f>'Total exports'!W34/SUM('Total exports'!W$3:W$73)</f>
        <v>4.9550598536775301E-3</v>
      </c>
      <c r="X34">
        <f>'Total exports'!X34/SUM('Total exports'!X$3:X$73)</f>
        <v>4.9283489861582938E-3</v>
      </c>
      <c r="Y34">
        <f>'Total exports'!Y34/SUM('Total exports'!Y$3:Y$73)</f>
        <v>4.9009834875951537E-3</v>
      </c>
      <c r="Z34">
        <f>'Total exports'!Z34/SUM('Total exports'!Z$3:Z$73)</f>
        <v>4.8733406376442493E-3</v>
      </c>
      <c r="AA34">
        <f>'Total exports'!AA34/SUM('Total exports'!AA$3:AA$73)</f>
        <v>4.8431458413616818E-3</v>
      </c>
      <c r="AB34">
        <f>'Total exports'!AB34/SUM('Total exports'!AB$3:AB$73)</f>
        <v>4.8121414359794798E-3</v>
      </c>
      <c r="AC34">
        <f>'Total exports'!AC34/SUM('Total exports'!AC$3:AC$73)</f>
        <v>4.7809068849270029E-3</v>
      </c>
      <c r="AD34">
        <f>'Total exports'!AD34/SUM('Total exports'!AD$3:AD$73)</f>
        <v>4.7490374527451333E-3</v>
      </c>
      <c r="AE34">
        <f>'Total exports'!AE34/SUM('Total exports'!AE$3:AE$73)</f>
        <v>4.7179038830938652E-3</v>
      </c>
      <c r="AF34">
        <f>'Total exports'!AF34/SUM('Total exports'!AF$3:AF$73)</f>
        <v>4.683556667007655E-3</v>
      </c>
      <c r="AG34">
        <f>'Total exports'!AG34/SUM('Total exports'!AG$3:AG$73)</f>
        <v>4.6495876082490104E-3</v>
      </c>
      <c r="AH34">
        <f>'Total exports'!AH34/SUM('Total exports'!AH$3:AH$73)</f>
        <v>4.6162090123970942E-3</v>
      </c>
      <c r="AI34">
        <f>'Total exports'!AI34/SUM('Total exports'!AI$3:AI$73)</f>
        <v>4.5834608695544824E-3</v>
      </c>
      <c r="AJ34">
        <f>'Total exports'!AJ34/SUM('Total exports'!AJ$3:AJ$73)</f>
        <v>4.5510971587580948E-3</v>
      </c>
      <c r="AK34">
        <f>'Total exports'!AK34/SUM('Total exports'!AK$3:AK$73)</f>
        <v>4.5185942322923311E-3</v>
      </c>
      <c r="AL34">
        <f>'Total exports'!AL34/SUM('Total exports'!AL$3:AL$73)</f>
        <v>4.4859860991655568E-3</v>
      </c>
      <c r="AM34">
        <f>'Total exports'!AM34/SUM('Total exports'!AM$3:AM$73)</f>
        <v>4.4532215542611251E-3</v>
      </c>
      <c r="AN34">
        <f>'Total exports'!AN34/SUM('Total exports'!AN$3:AN$73)</f>
        <v>4.4205563903172308E-3</v>
      </c>
      <c r="AO34">
        <f>'Total exports'!AO34/SUM('Total exports'!AO$3:AO$73)</f>
        <v>4.3881076732057824E-3</v>
      </c>
      <c r="AP34">
        <f>'Total exports'!AP34/SUM('Total exports'!AP$3:AP$73)</f>
        <v>4.3557485449350914E-3</v>
      </c>
    </row>
    <row r="35" spans="1:42" x14ac:dyDescent="0.3">
      <c r="A35" t="s">
        <v>182</v>
      </c>
      <c r="B35">
        <f>'Total exports'!B35/SUM('Total exports'!B$3:B$73)</f>
        <v>1.4538132558254138E-4</v>
      </c>
      <c r="C35">
        <f>'Total exports'!C35/SUM('Total exports'!C$3:C$73)</f>
        <v>1.5680544531339736E-4</v>
      </c>
      <c r="D35">
        <f>'Total exports'!D35/SUM('Total exports'!D$3:D$73)</f>
        <v>1.5247330733631092E-4</v>
      </c>
      <c r="E35">
        <f>'Total exports'!E35/SUM('Total exports'!E$3:E$73)</f>
        <v>1.5538784885558984E-4</v>
      </c>
      <c r="F35">
        <f>'Total exports'!F35/SUM('Total exports'!F$3:F$73)</f>
        <v>1.5122349020686544E-4</v>
      </c>
      <c r="G35">
        <f>'Total exports'!G35/SUM('Total exports'!G$3:G$73)</f>
        <v>1.5538432901333749E-4</v>
      </c>
      <c r="H35">
        <f>'Total exports'!H35/SUM('Total exports'!H$3:H$73)</f>
        <v>1.6058851677576227E-4</v>
      </c>
      <c r="I35">
        <f>'Total exports'!I35/SUM('Total exports'!I$3:I$73)</f>
        <v>1.586261592275881E-4</v>
      </c>
      <c r="J35">
        <f>'Total exports'!J35/SUM('Total exports'!J$3:J$73)</f>
        <v>1.5708351543221742E-4</v>
      </c>
      <c r="K35">
        <f>'Total exports'!K35/SUM('Total exports'!K$3:K$73)</f>
        <v>1.5856166002564586E-4</v>
      </c>
      <c r="L35">
        <f>'Total exports'!L35/SUM('Total exports'!L$3:L$73)</f>
        <v>1.5565304166683386E-4</v>
      </c>
      <c r="M35">
        <f>'Total exports'!M35/SUM('Total exports'!M$3:M$73)</f>
        <v>1.5075653345246505E-4</v>
      </c>
      <c r="N35">
        <f>'Total exports'!N35/SUM('Total exports'!N$3:N$73)</f>
        <v>1.4559866479794004E-4</v>
      </c>
      <c r="O35">
        <f>'Total exports'!O35/SUM('Total exports'!O$3:O$73)</f>
        <v>1.4651561346409067E-4</v>
      </c>
      <c r="P35">
        <f>'Total exports'!P35/SUM('Total exports'!P$3:P$73)</f>
        <v>1.4841467156144291E-4</v>
      </c>
      <c r="Q35">
        <f>'Total exports'!Q35/SUM('Total exports'!Q$3:Q$73)</f>
        <v>1.4926665650513384E-4</v>
      </c>
      <c r="R35">
        <f>'Total exports'!R35/SUM('Total exports'!R$3:R$73)</f>
        <v>1.5051452225771987E-4</v>
      </c>
      <c r="S35">
        <f>'Total exports'!S35/SUM('Total exports'!S$3:S$73)</f>
        <v>1.5206546051057699E-4</v>
      </c>
      <c r="T35">
        <f>'Total exports'!T35/SUM('Total exports'!T$3:T$73)</f>
        <v>1.4794069987587359E-4</v>
      </c>
      <c r="U35">
        <f>'Total exports'!U35/SUM('Total exports'!U$3:U$73)</f>
        <v>1.4662192748219808E-4</v>
      </c>
      <c r="V35">
        <f>'Total exports'!V35/SUM('Total exports'!V$3:V$73)</f>
        <v>1.4630803755124905E-4</v>
      </c>
      <c r="W35">
        <f>'Total exports'!W35/SUM('Total exports'!W$3:W$73)</f>
        <v>1.4552283004741015E-4</v>
      </c>
      <c r="X35">
        <f>'Total exports'!X35/SUM('Total exports'!X$3:X$73)</f>
        <v>1.4474604475605258E-4</v>
      </c>
      <c r="Y35">
        <f>'Total exports'!Y35/SUM('Total exports'!Y$3:Y$73)</f>
        <v>1.4394186061690749E-4</v>
      </c>
      <c r="Z35">
        <f>'Total exports'!Z35/SUM('Total exports'!Z$3:Z$73)</f>
        <v>1.4309606031420394E-4</v>
      </c>
      <c r="AA35">
        <f>'Total exports'!AA35/SUM('Total exports'!AA$3:AA$73)</f>
        <v>1.4222990431846984E-4</v>
      </c>
      <c r="AB35">
        <f>'Total exports'!AB35/SUM('Total exports'!AB$3:AB$73)</f>
        <v>1.413471261973414E-4</v>
      </c>
      <c r="AC35">
        <f>'Total exports'!AC35/SUM('Total exports'!AC$3:AC$73)</f>
        <v>1.4042690023193712E-4</v>
      </c>
      <c r="AD35">
        <f>'Total exports'!AD35/SUM('Total exports'!AD$3:AD$73)</f>
        <v>1.3949395992784576E-4</v>
      </c>
      <c r="AE35">
        <f>'Total exports'!AE35/SUM('Total exports'!AE$3:AE$73)</f>
        <v>1.3852822881785194E-4</v>
      </c>
      <c r="AF35">
        <f>'Total exports'!AF35/SUM('Total exports'!AF$3:AF$73)</f>
        <v>1.3754857802918306E-4</v>
      </c>
      <c r="AG35">
        <f>'Total exports'!AG35/SUM('Total exports'!AG$3:AG$73)</f>
        <v>1.3658636742040355E-4</v>
      </c>
      <c r="AH35">
        <f>'Total exports'!AH35/SUM('Total exports'!AH$3:AH$73)</f>
        <v>1.356287049321905E-4</v>
      </c>
      <c r="AI35">
        <f>'Total exports'!AI35/SUM('Total exports'!AI$3:AI$73)</f>
        <v>1.3466720564871287E-4</v>
      </c>
      <c r="AJ35">
        <f>'Total exports'!AJ35/SUM('Total exports'!AJ$3:AJ$73)</f>
        <v>1.3368943024878063E-4</v>
      </c>
      <c r="AK35">
        <f>'Total exports'!AK35/SUM('Total exports'!AK$3:AK$73)</f>
        <v>1.3272645578612914E-4</v>
      </c>
      <c r="AL35">
        <f>'Total exports'!AL35/SUM('Total exports'!AL$3:AL$73)</f>
        <v>1.3176809548551293E-4</v>
      </c>
      <c r="AM35">
        <f>'Total exports'!AM35/SUM('Total exports'!AM$3:AM$73)</f>
        <v>1.3080679299189916E-4</v>
      </c>
      <c r="AN35">
        <f>'Total exports'!AN35/SUM('Total exports'!AN$3:AN$73)</f>
        <v>1.2985408521001002E-4</v>
      </c>
      <c r="AO35">
        <f>'Total exports'!AO35/SUM('Total exports'!AO$3:AO$73)</f>
        <v>1.2890186260061152E-4</v>
      </c>
      <c r="AP35">
        <f>'Total exports'!AP35/SUM('Total exports'!AP$3:AP$73)</f>
        <v>1.2795135380286131E-4</v>
      </c>
    </row>
    <row r="36" spans="1:42" x14ac:dyDescent="0.3">
      <c r="A36" t="s">
        <v>183</v>
      </c>
      <c r="B36">
        <f>'Total exports'!B36/SUM('Total exports'!B$3:B$73)</f>
        <v>0.13038563034055628</v>
      </c>
      <c r="C36">
        <f>'Total exports'!C36/SUM('Total exports'!C$3:C$73)</f>
        <v>0.13084703135305364</v>
      </c>
      <c r="D36">
        <f>'Total exports'!D36/SUM('Total exports'!D$3:D$73)</f>
        <v>0.13057332920876277</v>
      </c>
      <c r="E36">
        <f>'Total exports'!E36/SUM('Total exports'!E$3:E$73)</f>
        <v>0.1303596397299476</v>
      </c>
      <c r="F36">
        <f>'Total exports'!F36/SUM('Total exports'!F$3:F$73)</f>
        <v>0.12909575067841411</v>
      </c>
      <c r="G36">
        <f>'Total exports'!G36/SUM('Total exports'!G$3:G$73)</f>
        <v>0.12628960955569268</v>
      </c>
      <c r="H36">
        <f>'Total exports'!H36/SUM('Total exports'!H$3:H$73)</f>
        <v>0.12532700784345369</v>
      </c>
      <c r="I36">
        <f>'Total exports'!I36/SUM('Total exports'!I$3:I$73)</f>
        <v>0.12390743532000373</v>
      </c>
      <c r="J36">
        <f>'Total exports'!J36/SUM('Total exports'!J$3:J$73)</f>
        <v>0.12394946042027165</v>
      </c>
      <c r="K36">
        <f>'Total exports'!K36/SUM('Total exports'!K$3:K$73)</f>
        <v>0.12316355801957321</v>
      </c>
      <c r="L36">
        <f>'Total exports'!L36/SUM('Total exports'!L$3:L$73)</f>
        <v>0.12438909249112086</v>
      </c>
      <c r="M36">
        <f>'Total exports'!M36/SUM('Total exports'!M$3:M$73)</f>
        <v>0.12245389359216996</v>
      </c>
      <c r="N36">
        <f>'Total exports'!N36/SUM('Total exports'!N$3:N$73)</f>
        <v>0.11705576966264156</v>
      </c>
      <c r="O36">
        <f>'Total exports'!O36/SUM('Total exports'!O$3:O$73)</f>
        <v>0.11549371356123173</v>
      </c>
      <c r="P36">
        <f>'Total exports'!P36/SUM('Total exports'!P$3:P$73)</f>
        <v>0.11358714589164205</v>
      </c>
      <c r="Q36">
        <f>'Total exports'!Q36/SUM('Total exports'!Q$3:Q$73)</f>
        <v>0.11256439670333009</v>
      </c>
      <c r="R36">
        <f>'Total exports'!R36/SUM('Total exports'!R$3:R$73)</f>
        <v>0.11196968141198597</v>
      </c>
      <c r="S36">
        <f>'Total exports'!S36/SUM('Total exports'!S$3:S$73)</f>
        <v>0.11076504104633071</v>
      </c>
      <c r="T36">
        <f>'Total exports'!T36/SUM('Total exports'!T$3:T$73)</f>
        <v>0.10918486020709295</v>
      </c>
      <c r="U36">
        <f>'Total exports'!U36/SUM('Total exports'!U$3:U$73)</f>
        <v>0.10793569816239386</v>
      </c>
      <c r="V36">
        <f>'Total exports'!V36/SUM('Total exports'!V$3:V$73)</f>
        <v>0.10805704772472825</v>
      </c>
      <c r="W36">
        <f>'Total exports'!W36/SUM('Total exports'!W$3:W$73)</f>
        <v>0.10750961697182919</v>
      </c>
      <c r="X36">
        <f>'Total exports'!X36/SUM('Total exports'!X$3:X$73)</f>
        <v>0.10696989923408283</v>
      </c>
      <c r="Y36">
        <f>'Total exports'!Y36/SUM('Total exports'!Y$3:Y$73)</f>
        <v>0.10642124515772584</v>
      </c>
      <c r="Z36">
        <f>'Total exports'!Z36/SUM('Total exports'!Z$3:Z$73)</f>
        <v>0.10585384708956505</v>
      </c>
      <c r="AA36">
        <f>'Total exports'!AA36/SUM('Total exports'!AA$3:AA$73)</f>
        <v>0.10527143368928445</v>
      </c>
      <c r="AB36">
        <f>'Total exports'!AB36/SUM('Total exports'!AB$3:AB$73)</f>
        <v>0.104670448863787</v>
      </c>
      <c r="AC36">
        <f>'Total exports'!AC36/SUM('Total exports'!AC$3:AC$73)</f>
        <v>0.10405299778416738</v>
      </c>
      <c r="AD36">
        <f>'Total exports'!AD36/SUM('Total exports'!AD$3:AD$73)</f>
        <v>0.10341935301177563</v>
      </c>
      <c r="AE36">
        <f>'Total exports'!AE36/SUM('Total exports'!AE$3:AE$73)</f>
        <v>0.10277405270810427</v>
      </c>
      <c r="AF36">
        <f>'Total exports'!AF36/SUM('Total exports'!AF$3:AF$73)</f>
        <v>0.10212018618987577</v>
      </c>
      <c r="AG36">
        <f>'Total exports'!AG36/SUM('Total exports'!AG$3:AG$73)</f>
        <v>0.10147103233383013</v>
      </c>
      <c r="AH36">
        <f>'Total exports'!AH36/SUM('Total exports'!AH$3:AH$73)</f>
        <v>0.1008251070423013</v>
      </c>
      <c r="AI36">
        <f>'Total exports'!AI36/SUM('Total exports'!AI$3:AI$73)</f>
        <v>0.10018481119795908</v>
      </c>
      <c r="AJ36">
        <f>'Total exports'!AJ36/SUM('Total exports'!AJ$3:AJ$73)</f>
        <v>9.954947701707588E-2</v>
      </c>
      <c r="AK36">
        <f>'Total exports'!AK36/SUM('Total exports'!AK$3:AK$73)</f>
        <v>9.8920580026285385E-2</v>
      </c>
      <c r="AL36">
        <f>'Total exports'!AL36/SUM('Total exports'!AL$3:AL$73)</f>
        <v>9.8295526124434068E-2</v>
      </c>
      <c r="AM36">
        <f>'Total exports'!AM36/SUM('Total exports'!AM$3:AM$73)</f>
        <v>9.7670679975892488E-2</v>
      </c>
      <c r="AN36">
        <f>'Total exports'!AN36/SUM('Total exports'!AN$3:AN$73)</f>
        <v>9.7053948870992404E-2</v>
      </c>
      <c r="AO36">
        <f>'Total exports'!AO36/SUM('Total exports'!AO$3:AO$73)</f>
        <v>9.6439743577194231E-2</v>
      </c>
      <c r="AP36">
        <f>'Total exports'!AP36/SUM('Total exports'!AP$3:AP$73)</f>
        <v>9.5828735619584202E-2</v>
      </c>
    </row>
    <row r="37" spans="1:42" x14ac:dyDescent="0.3">
      <c r="A37" t="s">
        <v>184</v>
      </c>
      <c r="B37">
        <f>'Total exports'!B37/SUM('Total exports'!B$3:B$73)</f>
        <v>5.9978459868989482E-2</v>
      </c>
      <c r="C37">
        <f>'Total exports'!C37/SUM('Total exports'!C$3:C$73)</f>
        <v>5.5421268890208798E-2</v>
      </c>
      <c r="D37">
        <f>'Total exports'!D37/SUM('Total exports'!D$3:D$73)</f>
        <v>5.3550691427563024E-2</v>
      </c>
      <c r="E37">
        <f>'Total exports'!E37/SUM('Total exports'!E$3:E$73)</f>
        <v>5.1862844380985644E-2</v>
      </c>
      <c r="F37">
        <f>'Total exports'!F37/SUM('Total exports'!F$3:F$73)</f>
        <v>5.4054125757668624E-2</v>
      </c>
      <c r="G37">
        <f>'Total exports'!G37/SUM('Total exports'!G$3:G$73)</f>
        <v>5.4697504080781528E-2</v>
      </c>
      <c r="H37">
        <f>'Total exports'!H37/SUM('Total exports'!H$3:H$73)</f>
        <v>5.4853346525124719E-2</v>
      </c>
      <c r="I37">
        <f>'Total exports'!I37/SUM('Total exports'!I$3:I$73)</f>
        <v>5.5630703846024213E-2</v>
      </c>
      <c r="J37">
        <f>'Total exports'!J37/SUM('Total exports'!J$3:J$73)</f>
        <v>5.4886143161408052E-2</v>
      </c>
      <c r="K37">
        <f>'Total exports'!K37/SUM('Total exports'!K$3:K$73)</f>
        <v>5.3127228168840808E-2</v>
      </c>
      <c r="L37">
        <f>'Total exports'!L37/SUM('Total exports'!L$3:L$73)</f>
        <v>5.2981438747690707E-2</v>
      </c>
      <c r="M37">
        <f>'Total exports'!M37/SUM('Total exports'!M$3:M$73)</f>
        <v>5.017596183810271E-2</v>
      </c>
      <c r="N37">
        <f>'Total exports'!N37/SUM('Total exports'!N$3:N$73)</f>
        <v>4.8013319671134917E-2</v>
      </c>
      <c r="O37">
        <f>'Total exports'!O37/SUM('Total exports'!O$3:O$73)</f>
        <v>4.7662431722169094E-2</v>
      </c>
      <c r="P37">
        <f>'Total exports'!P37/SUM('Total exports'!P$3:P$73)</f>
        <v>4.6704781852930345E-2</v>
      </c>
      <c r="Q37">
        <f>'Total exports'!Q37/SUM('Total exports'!Q$3:Q$73)</f>
        <v>4.5464817441317716E-2</v>
      </c>
      <c r="R37">
        <f>'Total exports'!R37/SUM('Total exports'!R$3:R$73)</f>
        <v>4.4199821567922862E-2</v>
      </c>
      <c r="S37">
        <f>'Total exports'!S37/SUM('Total exports'!S$3:S$73)</f>
        <v>4.3157290284006659E-2</v>
      </c>
      <c r="T37">
        <f>'Total exports'!T37/SUM('Total exports'!T$3:T$73)</f>
        <v>4.2240540482795651E-2</v>
      </c>
      <c r="U37">
        <f>'Total exports'!U37/SUM('Total exports'!U$3:U$73)</f>
        <v>4.1304193090362352E-2</v>
      </c>
      <c r="V37">
        <f>'Total exports'!V37/SUM('Total exports'!V$3:V$73)</f>
        <v>4.0673352344964386E-2</v>
      </c>
      <c r="W37">
        <f>'Total exports'!W37/SUM('Total exports'!W$3:W$73)</f>
        <v>3.9915785768105137E-2</v>
      </c>
      <c r="X37">
        <f>'Total exports'!X37/SUM('Total exports'!X$3:X$73)</f>
        <v>3.9174891520728658E-2</v>
      </c>
      <c r="Y37">
        <f>'Total exports'!Y37/SUM('Total exports'!Y$3:Y$73)</f>
        <v>3.8441948440767829E-2</v>
      </c>
      <c r="Z37">
        <f>'Total exports'!Z37/SUM('Total exports'!Z$3:Z$73)</f>
        <v>3.7714941074986345E-2</v>
      </c>
      <c r="AA37">
        <f>'Total exports'!AA37/SUM('Total exports'!AA$3:AA$73)</f>
        <v>3.6993172903559975E-2</v>
      </c>
      <c r="AB37">
        <f>'Total exports'!AB37/SUM('Total exports'!AB$3:AB$73)</f>
        <v>3.6279607304506453E-2</v>
      </c>
      <c r="AC37">
        <f>'Total exports'!AC37/SUM('Total exports'!AC$3:AC$73)</f>
        <v>3.5572186370898998E-2</v>
      </c>
      <c r="AD37">
        <f>'Total exports'!AD37/SUM('Total exports'!AD$3:AD$73)</f>
        <v>3.4874178951594885E-2</v>
      </c>
      <c r="AE37">
        <f>'Total exports'!AE37/SUM('Total exports'!AE$3:AE$73)</f>
        <v>3.4184585411480804E-2</v>
      </c>
      <c r="AF37">
        <f>'Total exports'!AF37/SUM('Total exports'!AF$3:AF$73)</f>
        <v>3.3506065225779279E-2</v>
      </c>
      <c r="AG37">
        <f>'Total exports'!AG37/SUM('Total exports'!AG$3:AG$73)</f>
        <v>3.2841728221003515E-2</v>
      </c>
      <c r="AH37">
        <f>'Total exports'!AH37/SUM('Total exports'!AH$3:AH$73)</f>
        <v>3.2188454317646879E-2</v>
      </c>
      <c r="AI37">
        <f>'Total exports'!AI37/SUM('Total exports'!AI$3:AI$73)</f>
        <v>3.1549135212300169E-2</v>
      </c>
      <c r="AJ37">
        <f>'Total exports'!AJ37/SUM('Total exports'!AJ$3:AJ$73)</f>
        <v>3.0925884502035476E-2</v>
      </c>
      <c r="AK37">
        <f>'Total exports'!AK37/SUM('Total exports'!AK$3:AK$73)</f>
        <v>3.0311495536315725E-2</v>
      </c>
      <c r="AL37">
        <f>'Total exports'!AL37/SUM('Total exports'!AL$3:AL$73)</f>
        <v>2.9710097771655293E-2</v>
      </c>
      <c r="AM37">
        <f>'Total exports'!AM37/SUM('Total exports'!AM$3:AM$73)</f>
        <v>2.9119058625071845E-2</v>
      </c>
      <c r="AN37">
        <f>'Total exports'!AN37/SUM('Total exports'!AN$3:AN$73)</f>
        <v>2.8541177428871672E-2</v>
      </c>
      <c r="AO37">
        <f>'Total exports'!AO37/SUM('Total exports'!AO$3:AO$73)</f>
        <v>2.7973668002715595E-2</v>
      </c>
      <c r="AP37">
        <f>'Total exports'!AP37/SUM('Total exports'!AP$3:AP$73)</f>
        <v>2.7418397304187006E-2</v>
      </c>
    </row>
    <row r="38" spans="1:42" x14ac:dyDescent="0.3">
      <c r="A38" t="s">
        <v>185</v>
      </c>
      <c r="B38">
        <f>'Total exports'!B38/SUM('Total exports'!B$3:B$73)</f>
        <v>3.3849357797706724E-2</v>
      </c>
      <c r="C38">
        <f>'Total exports'!C38/SUM('Total exports'!C$3:C$73)</f>
        <v>3.3177803097865256E-2</v>
      </c>
      <c r="D38">
        <f>'Total exports'!D38/SUM('Total exports'!D$3:D$73)</f>
        <v>3.374692012607463E-2</v>
      </c>
      <c r="E38">
        <f>'Total exports'!E38/SUM('Total exports'!E$3:E$73)</f>
        <v>3.434204089525135E-2</v>
      </c>
      <c r="F38">
        <f>'Total exports'!F38/SUM('Total exports'!F$3:F$73)</f>
        <v>3.5123871590958623E-2</v>
      </c>
      <c r="G38">
        <f>'Total exports'!G38/SUM('Total exports'!G$3:G$73)</f>
        <v>3.3327715206241212E-2</v>
      </c>
      <c r="H38">
        <f>'Total exports'!H38/SUM('Total exports'!H$3:H$73)</f>
        <v>3.2648210365082003E-2</v>
      </c>
      <c r="I38">
        <f>'Total exports'!I38/SUM('Total exports'!I$3:I$73)</f>
        <v>3.27530917365517E-2</v>
      </c>
      <c r="J38">
        <f>'Total exports'!J38/SUM('Total exports'!J$3:J$73)</f>
        <v>3.2927340514481478E-2</v>
      </c>
      <c r="K38">
        <f>'Total exports'!K38/SUM('Total exports'!K$3:K$73)</f>
        <v>3.2587680668176355E-2</v>
      </c>
      <c r="L38">
        <f>'Total exports'!L38/SUM('Total exports'!L$3:L$73)</f>
        <v>3.2288943990249938E-2</v>
      </c>
      <c r="M38">
        <f>'Total exports'!M38/SUM('Total exports'!M$3:M$73)</f>
        <v>3.1446640405954712E-2</v>
      </c>
      <c r="N38">
        <f>'Total exports'!N38/SUM('Total exports'!N$3:N$73)</f>
        <v>3.0549641804376051E-2</v>
      </c>
      <c r="O38">
        <f>'Total exports'!O38/SUM('Total exports'!O$3:O$73)</f>
        <v>3.0277916629559563E-2</v>
      </c>
      <c r="P38">
        <f>'Total exports'!P38/SUM('Total exports'!P$3:P$73)</f>
        <v>2.9881787155425346E-2</v>
      </c>
      <c r="Q38">
        <f>'Total exports'!Q38/SUM('Total exports'!Q$3:Q$73)</f>
        <v>2.9828198623532691E-2</v>
      </c>
      <c r="R38">
        <f>'Total exports'!R38/SUM('Total exports'!R$3:R$73)</f>
        <v>2.9424392127651067E-2</v>
      </c>
      <c r="S38">
        <f>'Total exports'!S38/SUM('Total exports'!S$3:S$73)</f>
        <v>2.90647160954654E-2</v>
      </c>
      <c r="T38">
        <f>'Total exports'!T38/SUM('Total exports'!T$3:T$73)</f>
        <v>2.8700440459859405E-2</v>
      </c>
      <c r="U38">
        <f>'Total exports'!U38/SUM('Total exports'!U$3:U$73)</f>
        <v>2.8371195612274604E-2</v>
      </c>
      <c r="V38">
        <f>'Total exports'!V38/SUM('Total exports'!V$3:V$73)</f>
        <v>2.8408865709793302E-2</v>
      </c>
      <c r="W38">
        <f>'Total exports'!W38/SUM('Total exports'!W$3:W$73)</f>
        <v>2.8265383842325156E-2</v>
      </c>
      <c r="X38">
        <f>'Total exports'!X38/SUM('Total exports'!X$3:X$73)</f>
        <v>2.8126475406981169E-2</v>
      </c>
      <c r="Y38">
        <f>'Total exports'!Y38/SUM('Total exports'!Y$3:Y$73)</f>
        <v>2.79853518724365E-2</v>
      </c>
      <c r="Z38">
        <f>'Total exports'!Z38/SUM('Total exports'!Z$3:Z$73)</f>
        <v>2.7837180880815188E-2</v>
      </c>
      <c r="AA38">
        <f>'Total exports'!AA38/SUM('Total exports'!AA$3:AA$73)</f>
        <v>2.7686161400168385E-2</v>
      </c>
      <c r="AB38">
        <f>'Total exports'!AB38/SUM('Total exports'!AB$3:AB$73)</f>
        <v>2.7530908921331622E-2</v>
      </c>
      <c r="AC38">
        <f>'Total exports'!AC38/SUM('Total exports'!AC$3:AC$73)</f>
        <v>2.7371395740702464E-2</v>
      </c>
      <c r="AD38">
        <f>'Total exports'!AD38/SUM('Total exports'!AD$3:AD$73)</f>
        <v>2.7209295339657987E-2</v>
      </c>
      <c r="AE38">
        <f>'Total exports'!AE38/SUM('Total exports'!AE$3:AE$73)</f>
        <v>2.7041258496864982E-2</v>
      </c>
      <c r="AF38">
        <f>'Total exports'!AF38/SUM('Total exports'!AF$3:AF$73)</f>
        <v>2.6873759419447966E-2</v>
      </c>
      <c r="AG38">
        <f>'Total exports'!AG38/SUM('Total exports'!AG$3:AG$73)</f>
        <v>2.6705362350543615E-2</v>
      </c>
      <c r="AH38">
        <f>'Total exports'!AH38/SUM('Total exports'!AH$3:AH$73)</f>
        <v>2.6537411151591226E-2</v>
      </c>
      <c r="AI38">
        <f>'Total exports'!AI38/SUM('Total exports'!AI$3:AI$73)</f>
        <v>2.6372696058241493E-2</v>
      </c>
      <c r="AJ38">
        <f>'Total exports'!AJ38/SUM('Total exports'!AJ$3:AJ$73)</f>
        <v>2.6207230189644604E-2</v>
      </c>
      <c r="AK38">
        <f>'Total exports'!AK38/SUM('Total exports'!AK$3:AK$73)</f>
        <v>2.6042924839553151E-2</v>
      </c>
      <c r="AL38">
        <f>'Total exports'!AL38/SUM('Total exports'!AL$3:AL$73)</f>
        <v>2.5880895509113076E-2</v>
      </c>
      <c r="AM38">
        <f>'Total exports'!AM38/SUM('Total exports'!AM$3:AM$73)</f>
        <v>2.5720933166050158E-2</v>
      </c>
      <c r="AN38">
        <f>'Total exports'!AN38/SUM('Total exports'!AN$3:AN$73)</f>
        <v>2.5562425123530158E-2</v>
      </c>
      <c r="AO38">
        <f>'Total exports'!AO38/SUM('Total exports'!AO$3:AO$73)</f>
        <v>2.5403518007285922E-2</v>
      </c>
      <c r="AP38">
        <f>'Total exports'!AP38/SUM('Total exports'!AP$3:AP$73)</f>
        <v>2.5246975890080691E-2</v>
      </c>
    </row>
    <row r="39" spans="1:42" x14ac:dyDescent="0.3">
      <c r="A39" t="s">
        <v>186</v>
      </c>
      <c r="B39">
        <f>'Total exports'!B39/SUM('Total exports'!B$3:B$73)</f>
        <v>1.5843964840502892E-2</v>
      </c>
      <c r="C39">
        <f>'Total exports'!C39/SUM('Total exports'!C$3:C$73)</f>
        <v>1.4565313776516219E-2</v>
      </c>
      <c r="D39">
        <f>'Total exports'!D39/SUM('Total exports'!D$3:D$73)</f>
        <v>1.4780773897982474E-2</v>
      </c>
      <c r="E39">
        <f>'Total exports'!E39/SUM('Total exports'!E$3:E$73)</f>
        <v>1.4871492303107154E-2</v>
      </c>
      <c r="F39">
        <f>'Total exports'!F39/SUM('Total exports'!F$3:F$73)</f>
        <v>1.5248031244149403E-2</v>
      </c>
      <c r="G39">
        <f>'Total exports'!G39/SUM('Total exports'!G$3:G$73)</f>
        <v>1.6008134772321273E-2</v>
      </c>
      <c r="H39">
        <f>'Total exports'!H39/SUM('Total exports'!H$3:H$73)</f>
        <v>1.6709456878599593E-2</v>
      </c>
      <c r="I39">
        <f>'Total exports'!I39/SUM('Total exports'!I$3:I$73)</f>
        <v>1.5884403559576162E-2</v>
      </c>
      <c r="J39">
        <f>'Total exports'!J39/SUM('Total exports'!J$3:J$73)</f>
        <v>1.5835291942523956E-2</v>
      </c>
      <c r="K39">
        <f>'Total exports'!K39/SUM('Total exports'!K$3:K$73)</f>
        <v>1.5687779178735806E-2</v>
      </c>
      <c r="L39">
        <f>'Total exports'!L39/SUM('Total exports'!L$3:L$73)</f>
        <v>1.6051692155329336E-2</v>
      </c>
      <c r="M39">
        <f>'Total exports'!M39/SUM('Total exports'!M$3:M$73)</f>
        <v>1.5687612387557202E-2</v>
      </c>
      <c r="N39">
        <f>'Total exports'!N39/SUM('Total exports'!N$3:N$73)</f>
        <v>1.5307334696068434E-2</v>
      </c>
      <c r="O39">
        <f>'Total exports'!O39/SUM('Total exports'!O$3:O$73)</f>
        <v>1.523708634548694E-2</v>
      </c>
      <c r="P39">
        <f>'Total exports'!P39/SUM('Total exports'!P$3:P$73)</f>
        <v>1.5023379158839865E-2</v>
      </c>
      <c r="Q39">
        <f>'Total exports'!Q39/SUM('Total exports'!Q$3:Q$73)</f>
        <v>1.4875654677763795E-2</v>
      </c>
      <c r="R39">
        <f>'Total exports'!R39/SUM('Total exports'!R$3:R$73)</f>
        <v>1.4793358427126179E-2</v>
      </c>
      <c r="S39">
        <f>'Total exports'!S39/SUM('Total exports'!S$3:S$73)</f>
        <v>1.4740427696616059E-2</v>
      </c>
      <c r="T39">
        <f>'Total exports'!T39/SUM('Total exports'!T$3:T$73)</f>
        <v>1.5801296356737451E-2</v>
      </c>
      <c r="U39">
        <f>'Total exports'!U39/SUM('Total exports'!U$3:U$73)</f>
        <v>1.6252837509660036E-2</v>
      </c>
      <c r="V39">
        <f>'Total exports'!V39/SUM('Total exports'!V$3:V$73)</f>
        <v>1.653052646100504E-2</v>
      </c>
      <c r="W39">
        <f>'Total exports'!W39/SUM('Total exports'!W$3:W$73)</f>
        <v>1.6894109225440497E-2</v>
      </c>
      <c r="X39">
        <f>'Total exports'!X39/SUM('Total exports'!X$3:X$73)</f>
        <v>1.725255649031434E-2</v>
      </c>
      <c r="Y39">
        <f>'Total exports'!Y39/SUM('Total exports'!Y$3:Y$73)</f>
        <v>1.7603567537009378E-2</v>
      </c>
      <c r="Z39">
        <f>'Total exports'!Z39/SUM('Total exports'!Z$3:Z$73)</f>
        <v>1.794359107727022E-2</v>
      </c>
      <c r="AA39">
        <f>'Total exports'!AA39/SUM('Total exports'!AA$3:AA$73)</f>
        <v>1.8274452926097393E-2</v>
      </c>
      <c r="AB39">
        <f>'Total exports'!AB39/SUM('Total exports'!AB$3:AB$73)</f>
        <v>1.8594770302722739E-2</v>
      </c>
      <c r="AC39">
        <f>'Total exports'!AC39/SUM('Total exports'!AC$3:AC$73)</f>
        <v>1.8903248659225196E-2</v>
      </c>
      <c r="AD39">
        <f>'Total exports'!AD39/SUM('Total exports'!AD$3:AD$73)</f>
        <v>1.9201828461839984E-2</v>
      </c>
      <c r="AE39">
        <f>'Total exports'!AE39/SUM('Total exports'!AE$3:AE$73)</f>
        <v>1.9488828942362812E-2</v>
      </c>
      <c r="AF39">
        <f>'Total exports'!AF39/SUM('Total exports'!AF$3:AF$73)</f>
        <v>1.976683666095029E-2</v>
      </c>
      <c r="AG39">
        <f>'Total exports'!AG39/SUM('Total exports'!AG$3:AG$73)</f>
        <v>2.0037290789478083E-2</v>
      </c>
      <c r="AH39">
        <f>'Total exports'!AH39/SUM('Total exports'!AH$3:AH$73)</f>
        <v>2.0300681264747791E-2</v>
      </c>
      <c r="AI39">
        <f>'Total exports'!AI39/SUM('Total exports'!AI$3:AI$73)</f>
        <v>2.0558340406295367E-2</v>
      </c>
      <c r="AJ39">
        <f>'Total exports'!AJ39/SUM('Total exports'!AJ$3:AJ$73)</f>
        <v>2.0807962374612816E-2</v>
      </c>
      <c r="AK39">
        <f>'Total exports'!AK39/SUM('Total exports'!AK$3:AK$73)</f>
        <v>2.105142026956261E-2</v>
      </c>
      <c r="AL39">
        <f>'Total exports'!AL39/SUM('Total exports'!AL$3:AL$73)</f>
        <v>2.1289288101237393E-2</v>
      </c>
      <c r="AM39">
        <f>'Total exports'!AM39/SUM('Total exports'!AM$3:AM$73)</f>
        <v>2.151965100586347E-2</v>
      </c>
      <c r="AN39">
        <f>'Total exports'!AN39/SUM('Total exports'!AN$3:AN$73)</f>
        <v>2.174280654535473E-2</v>
      </c>
      <c r="AO39">
        <f>'Total exports'!AO39/SUM('Total exports'!AO$3:AO$73)</f>
        <v>2.1957181914928604E-2</v>
      </c>
      <c r="AP39">
        <f>'Total exports'!AP39/SUM('Total exports'!AP$3:AP$73)</f>
        <v>2.2163440526804003E-2</v>
      </c>
    </row>
    <row r="40" spans="1:42" x14ac:dyDescent="0.3">
      <c r="A40" t="s">
        <v>187</v>
      </c>
      <c r="B40">
        <f>'Total exports'!B40/SUM('Total exports'!B$3:B$73)</f>
        <v>2.9169520057073972E-3</v>
      </c>
      <c r="C40">
        <f>'Total exports'!C40/SUM('Total exports'!C$3:C$73)</f>
        <v>2.8066328176604895E-3</v>
      </c>
      <c r="D40">
        <f>'Total exports'!D40/SUM('Total exports'!D$3:D$73)</f>
        <v>2.7684603597466616E-3</v>
      </c>
      <c r="E40">
        <f>'Total exports'!E40/SUM('Total exports'!E$3:E$73)</f>
        <v>2.6649146909338279E-3</v>
      </c>
      <c r="F40">
        <f>'Total exports'!F40/SUM('Total exports'!F$3:F$73)</f>
        <v>2.6557109259376294E-3</v>
      </c>
      <c r="G40">
        <f>'Total exports'!G40/SUM('Total exports'!G$3:G$73)</f>
        <v>2.7486286333114566E-3</v>
      </c>
      <c r="H40">
        <f>'Total exports'!H40/SUM('Total exports'!H$3:H$73)</f>
        <v>2.7532162724335581E-3</v>
      </c>
      <c r="I40">
        <f>'Total exports'!I40/SUM('Total exports'!I$3:I$73)</f>
        <v>2.7048291605018138E-3</v>
      </c>
      <c r="J40">
        <f>'Total exports'!J40/SUM('Total exports'!J$3:J$73)</f>
        <v>2.6535540749860675E-3</v>
      </c>
      <c r="K40">
        <f>'Total exports'!K40/SUM('Total exports'!K$3:K$73)</f>
        <v>2.65163288262248E-3</v>
      </c>
      <c r="L40">
        <f>'Total exports'!L40/SUM('Total exports'!L$3:L$73)</f>
        <v>2.7147109148071597E-3</v>
      </c>
      <c r="M40">
        <f>'Total exports'!M40/SUM('Total exports'!M$3:M$73)</f>
        <v>2.6696872365825977E-3</v>
      </c>
      <c r="N40">
        <f>'Total exports'!N40/SUM('Total exports'!N$3:N$73)</f>
        <v>2.5694593266327474E-3</v>
      </c>
      <c r="O40">
        <f>'Total exports'!O40/SUM('Total exports'!O$3:O$73)</f>
        <v>2.5580295198903342E-3</v>
      </c>
      <c r="P40">
        <f>'Total exports'!P40/SUM('Total exports'!P$3:P$73)</f>
        <v>2.5318465006224497E-3</v>
      </c>
      <c r="Q40">
        <f>'Total exports'!Q40/SUM('Total exports'!Q$3:Q$73)</f>
        <v>2.5068646488756721E-3</v>
      </c>
      <c r="R40">
        <f>'Total exports'!R40/SUM('Total exports'!R$3:R$73)</f>
        <v>2.4955396404578107E-3</v>
      </c>
      <c r="S40">
        <f>'Total exports'!S40/SUM('Total exports'!S$3:S$73)</f>
        <v>2.4870489432450814E-3</v>
      </c>
      <c r="T40">
        <f>'Total exports'!T40/SUM('Total exports'!T$3:T$73)</f>
        <v>2.6636076791700988E-3</v>
      </c>
      <c r="U40">
        <f>'Total exports'!U40/SUM('Total exports'!U$3:U$73)</f>
        <v>2.7397138088278302E-3</v>
      </c>
      <c r="V40">
        <f>'Total exports'!V40/SUM('Total exports'!V$3:V$73)</f>
        <v>2.7866270642397111E-3</v>
      </c>
      <c r="W40">
        <f>'Total exports'!W40/SUM('Total exports'!W$3:W$73)</f>
        <v>2.8480803362170969E-3</v>
      </c>
      <c r="X40">
        <f>'Total exports'!X40/SUM('Total exports'!X$3:X$73)</f>
        <v>2.9085227796054863E-3</v>
      </c>
      <c r="Y40">
        <f>'Total exports'!Y40/SUM('Total exports'!Y$3:Y$73)</f>
        <v>2.9676856537918313E-3</v>
      </c>
      <c r="Z40">
        <f>'Total exports'!Z40/SUM('Total exports'!Z$3:Z$73)</f>
        <v>3.0248660776893421E-3</v>
      </c>
      <c r="AA40">
        <f>'Total exports'!AA40/SUM('Total exports'!AA$3:AA$73)</f>
        <v>3.0805751103095877E-3</v>
      </c>
      <c r="AB40">
        <f>'Total exports'!AB40/SUM('Total exports'!AB$3:AB$73)</f>
        <v>3.1345908925716963E-3</v>
      </c>
      <c r="AC40">
        <f>'Total exports'!AC40/SUM('Total exports'!AC$3:AC$73)</f>
        <v>3.1872869408724139E-3</v>
      </c>
      <c r="AD40">
        <f>'Total exports'!AD40/SUM('Total exports'!AD$3:AD$73)</f>
        <v>3.2382445916552087E-3</v>
      </c>
      <c r="AE40">
        <f>'Total exports'!AE40/SUM('Total exports'!AE$3:AE$73)</f>
        <v>3.2867458637465463E-3</v>
      </c>
      <c r="AF40">
        <f>'Total exports'!AF40/SUM('Total exports'!AF$3:AF$73)</f>
        <v>3.3337050205972068E-3</v>
      </c>
      <c r="AG40">
        <f>'Total exports'!AG40/SUM('Total exports'!AG$3:AG$73)</f>
        <v>3.3793158858162991E-3</v>
      </c>
      <c r="AH40">
        <f>'Total exports'!AH40/SUM('Total exports'!AH$3:AH$73)</f>
        <v>3.4234004204303833E-3</v>
      </c>
      <c r="AI40">
        <f>'Total exports'!AI40/SUM('Total exports'!AI$3:AI$73)</f>
        <v>3.4661178396722969E-3</v>
      </c>
      <c r="AJ40">
        <f>'Total exports'!AJ40/SUM('Total exports'!AJ$3:AJ$73)</f>
        <v>3.5081405424937299E-3</v>
      </c>
      <c r="AK40">
        <f>'Total exports'!AK40/SUM('Total exports'!AK$3:AK$73)</f>
        <v>3.5492289685102279E-3</v>
      </c>
      <c r="AL40">
        <f>'Total exports'!AL40/SUM('Total exports'!AL$3:AL$73)</f>
        <v>3.5893364646387119E-3</v>
      </c>
      <c r="AM40">
        <f>'Total exports'!AM40/SUM('Total exports'!AM$3:AM$73)</f>
        <v>3.6280581652337685E-3</v>
      </c>
      <c r="AN40">
        <f>'Total exports'!AN40/SUM('Total exports'!AN$3:AN$73)</f>
        <v>3.6657434651643311E-3</v>
      </c>
      <c r="AO40">
        <f>'Total exports'!AO40/SUM('Total exports'!AO$3:AO$73)</f>
        <v>3.7017962819864431E-3</v>
      </c>
      <c r="AP40">
        <f>'Total exports'!AP40/SUM('Total exports'!AP$3:AP$73)</f>
        <v>3.7368528941668345E-3</v>
      </c>
    </row>
    <row r="41" spans="1:42" x14ac:dyDescent="0.3">
      <c r="A41" t="s">
        <v>188</v>
      </c>
      <c r="B41">
        <f>'Total exports'!B41/SUM('Total exports'!B$3:B$73)</f>
        <v>2.3277316566557456E-2</v>
      </c>
      <c r="C41">
        <f>'Total exports'!C41/SUM('Total exports'!C$3:C$73)</f>
        <v>2.1355459124541391E-2</v>
      </c>
      <c r="D41">
        <f>'Total exports'!D41/SUM('Total exports'!D$3:D$73)</f>
        <v>2.1712743194579012E-2</v>
      </c>
      <c r="E41">
        <f>'Total exports'!E41/SUM('Total exports'!E$3:E$73)</f>
        <v>2.3475696865065301E-2</v>
      </c>
      <c r="F41">
        <f>'Total exports'!F41/SUM('Total exports'!F$3:F$73)</f>
        <v>2.1403452095938278E-2</v>
      </c>
      <c r="G41">
        <f>'Total exports'!G41/SUM('Total exports'!G$3:G$73)</f>
        <v>1.9951549240120901E-2</v>
      </c>
      <c r="H41">
        <f>'Total exports'!H41/SUM('Total exports'!H$3:H$73)</f>
        <v>1.9011786727578441E-2</v>
      </c>
      <c r="I41">
        <f>'Total exports'!I41/SUM('Total exports'!I$3:I$73)</f>
        <v>1.9645533049960178E-2</v>
      </c>
      <c r="J41">
        <f>'Total exports'!J41/SUM('Total exports'!J$3:J$73)</f>
        <v>1.824019665911801E-2</v>
      </c>
      <c r="K41">
        <f>'Total exports'!K41/SUM('Total exports'!K$3:K$73)</f>
        <v>1.8108474716654107E-2</v>
      </c>
      <c r="L41">
        <f>'Total exports'!L41/SUM('Total exports'!L$3:L$73)</f>
        <v>1.8428919241172625E-2</v>
      </c>
      <c r="M41">
        <f>'Total exports'!M41/SUM('Total exports'!M$3:M$73)</f>
        <v>1.7983996963415232E-2</v>
      </c>
      <c r="N41">
        <f>'Total exports'!N41/SUM('Total exports'!N$3:N$73)</f>
        <v>1.6337200067587283E-2</v>
      </c>
      <c r="O41">
        <f>'Total exports'!O41/SUM('Total exports'!O$3:O$73)</f>
        <v>1.5596444089986649E-2</v>
      </c>
      <c r="P41">
        <f>'Total exports'!P41/SUM('Total exports'!P$3:P$73)</f>
        <v>1.5950785444102614E-2</v>
      </c>
      <c r="Q41">
        <f>'Total exports'!Q41/SUM('Total exports'!Q$3:Q$73)</f>
        <v>1.5535580390033861E-2</v>
      </c>
      <c r="R41">
        <f>'Total exports'!R41/SUM('Total exports'!R$3:R$73)</f>
        <v>1.5193875582130307E-2</v>
      </c>
      <c r="S41">
        <f>'Total exports'!S41/SUM('Total exports'!S$3:S$73)</f>
        <v>1.4880654181598686E-2</v>
      </c>
      <c r="T41">
        <f>'Total exports'!T41/SUM('Total exports'!T$3:T$73)</f>
        <v>1.3950400868148893E-2</v>
      </c>
      <c r="U41">
        <f>'Total exports'!U41/SUM('Total exports'!U$3:U$73)</f>
        <v>1.3377220575334864E-2</v>
      </c>
      <c r="V41">
        <f>'Total exports'!V41/SUM('Total exports'!V$3:V$73)</f>
        <v>1.3462301018749432E-2</v>
      </c>
      <c r="W41">
        <f>'Total exports'!W41/SUM('Total exports'!W$3:W$73)</f>
        <v>1.3225159708812511E-2</v>
      </c>
      <c r="X41">
        <f>'Total exports'!X41/SUM('Total exports'!X$3:X$73)</f>
        <v>1.2994447492608384E-2</v>
      </c>
      <c r="Y41">
        <f>'Total exports'!Y41/SUM('Total exports'!Y$3:Y$73)</f>
        <v>1.2765655275713926E-2</v>
      </c>
      <c r="Z41">
        <f>'Total exports'!Z41/SUM('Total exports'!Z$3:Z$73)</f>
        <v>1.2537263479861728E-2</v>
      </c>
      <c r="AA41">
        <f>'Total exports'!AA41/SUM('Total exports'!AA$3:AA$73)</f>
        <v>1.2311307843894094E-2</v>
      </c>
      <c r="AB41">
        <f>'Total exports'!AB41/SUM('Total exports'!AB$3:AB$73)</f>
        <v>1.2086877303447922E-2</v>
      </c>
      <c r="AC41">
        <f>'Total exports'!AC41/SUM('Total exports'!AC$3:AC$73)</f>
        <v>1.1863710272913514E-2</v>
      </c>
      <c r="AD41">
        <f>'Total exports'!AD41/SUM('Total exports'!AD$3:AD$73)</f>
        <v>1.1643119986573577E-2</v>
      </c>
      <c r="AE41">
        <f>'Total exports'!AE41/SUM('Total exports'!AE$3:AE$73)</f>
        <v>1.1424499844574425E-2</v>
      </c>
      <c r="AF41">
        <f>'Total exports'!AF41/SUM('Total exports'!AF$3:AF$73)</f>
        <v>1.1208600934763226E-2</v>
      </c>
      <c r="AG41">
        <f>'Total exports'!AG41/SUM('Total exports'!AG$3:AG$73)</f>
        <v>1.0997396945811568E-2</v>
      </c>
      <c r="AH41">
        <f>'Total exports'!AH41/SUM('Total exports'!AH$3:AH$73)</f>
        <v>1.078986180506295E-2</v>
      </c>
      <c r="AI41">
        <f>'Total exports'!AI41/SUM('Total exports'!AI$3:AI$73)</f>
        <v>1.0586104238597663E-2</v>
      </c>
      <c r="AJ41">
        <f>'Total exports'!AJ41/SUM('Total exports'!AJ$3:AJ$73)</f>
        <v>1.0385099707224427E-2</v>
      </c>
      <c r="AK41">
        <f>'Total exports'!AK41/SUM('Total exports'!AK$3:AK$73)</f>
        <v>1.0188184320505646E-2</v>
      </c>
      <c r="AL41">
        <f>'Total exports'!AL41/SUM('Total exports'!AL$3:AL$73)</f>
        <v>9.9953648184966104E-3</v>
      </c>
      <c r="AM41">
        <f>'Total exports'!AM41/SUM('Total exports'!AM$3:AM$73)</f>
        <v>9.8065665616575131E-3</v>
      </c>
      <c r="AN41">
        <f>'Total exports'!AN41/SUM('Total exports'!AN$3:AN$73)</f>
        <v>9.621035318311294E-3</v>
      </c>
      <c r="AO41">
        <f>'Total exports'!AO41/SUM('Total exports'!AO$3:AO$73)</f>
        <v>9.4391514693110169E-3</v>
      </c>
      <c r="AP41">
        <f>'Total exports'!AP41/SUM('Total exports'!AP$3:AP$73)</f>
        <v>9.260654115812398E-3</v>
      </c>
    </row>
    <row r="42" spans="1:42" x14ac:dyDescent="0.3">
      <c r="A42" t="s">
        <v>189</v>
      </c>
      <c r="B42">
        <f>'Total exports'!B42/SUM('Total exports'!B$3:B$73)</f>
        <v>2.241619075887736E-3</v>
      </c>
      <c r="C42">
        <f>'Total exports'!C42/SUM('Total exports'!C$3:C$73)</f>
        <v>2.6804634761781283E-3</v>
      </c>
      <c r="D42">
        <f>'Total exports'!D42/SUM('Total exports'!D$3:D$73)</f>
        <v>2.9994049788532487E-3</v>
      </c>
      <c r="E42">
        <f>'Total exports'!E42/SUM('Total exports'!E$3:E$73)</f>
        <v>2.4790126145381028E-3</v>
      </c>
      <c r="F42">
        <f>'Total exports'!F42/SUM('Total exports'!F$3:F$73)</f>
        <v>2.5341330349784542E-3</v>
      </c>
      <c r="G42">
        <f>'Total exports'!G42/SUM('Total exports'!G$3:G$73)</f>
        <v>2.4969801195463496E-3</v>
      </c>
      <c r="H42">
        <f>'Total exports'!H42/SUM('Total exports'!H$3:H$73)</f>
        <v>2.3696835382251975E-3</v>
      </c>
      <c r="I42">
        <f>'Total exports'!I42/SUM('Total exports'!I$3:I$73)</f>
        <v>2.4711109768583055E-3</v>
      </c>
      <c r="J42">
        <f>'Total exports'!J42/SUM('Total exports'!J$3:J$73)</f>
        <v>2.4822634417211134E-3</v>
      </c>
      <c r="K42">
        <f>'Total exports'!K42/SUM('Total exports'!K$3:K$73)</f>
        <v>2.446206551948351E-3</v>
      </c>
      <c r="L42">
        <f>'Total exports'!L42/SUM('Total exports'!L$3:L$73)</f>
        <v>2.5404124199751629E-3</v>
      </c>
      <c r="M42">
        <f>'Total exports'!M42/SUM('Total exports'!M$3:M$73)</f>
        <v>2.4211115267508006E-3</v>
      </c>
      <c r="N42">
        <f>'Total exports'!N42/SUM('Total exports'!N$3:N$73)</f>
        <v>2.1171827710432384E-3</v>
      </c>
      <c r="O42">
        <f>'Total exports'!O42/SUM('Total exports'!O$3:O$73)</f>
        <v>2.0727894797143761E-3</v>
      </c>
      <c r="P42">
        <f>'Total exports'!P42/SUM('Total exports'!P$3:P$73)</f>
        <v>2.0476232465908178E-3</v>
      </c>
      <c r="Q42">
        <f>'Total exports'!Q42/SUM('Total exports'!Q$3:Q$73)</f>
        <v>1.9944566404441338E-3</v>
      </c>
      <c r="R42">
        <f>'Total exports'!R42/SUM('Total exports'!R$3:R$73)</f>
        <v>1.9418283461364893E-3</v>
      </c>
      <c r="S42">
        <f>'Total exports'!S42/SUM('Total exports'!S$3:S$73)</f>
        <v>1.9087909681848782E-3</v>
      </c>
      <c r="T42">
        <f>'Total exports'!T42/SUM('Total exports'!T$3:T$73)</f>
        <v>1.9133023022835536E-3</v>
      </c>
      <c r="U42">
        <f>'Total exports'!U42/SUM('Total exports'!U$3:U$73)</f>
        <v>1.8963969112048237E-3</v>
      </c>
      <c r="V42">
        <f>'Total exports'!V42/SUM('Total exports'!V$3:V$73)</f>
        <v>1.8922175214726215E-3</v>
      </c>
      <c r="W42">
        <f>'Total exports'!W42/SUM('Total exports'!W$3:W$73)</f>
        <v>1.881938630486671E-3</v>
      </c>
      <c r="X42">
        <f>'Total exports'!X42/SUM('Total exports'!X$3:X$73)</f>
        <v>1.87171501925308E-3</v>
      </c>
      <c r="Y42">
        <f>'Total exports'!Y42/SUM('Total exports'!Y$3:Y$73)</f>
        <v>1.8610864743693197E-3</v>
      </c>
      <c r="Z42">
        <f>'Total exports'!Z42/SUM('Total exports'!Z$3:Z$73)</f>
        <v>1.8501554567673833E-3</v>
      </c>
      <c r="AA42">
        <f>'Total exports'!AA42/SUM('Total exports'!AA$3:AA$73)</f>
        <v>1.8388963570389405E-3</v>
      </c>
      <c r="AB42">
        <f>'Total exports'!AB42/SUM('Total exports'!AB$3:AB$73)</f>
        <v>1.8273605203061121E-3</v>
      </c>
      <c r="AC42">
        <f>'Total exports'!AC42/SUM('Total exports'!AC$3:AC$73)</f>
        <v>1.8153374742394342E-3</v>
      </c>
      <c r="AD42">
        <f>'Total exports'!AD42/SUM('Total exports'!AD$3:AD$73)</f>
        <v>1.8030951674714412E-3</v>
      </c>
      <c r="AE42">
        <f>'Total exports'!AE42/SUM('Total exports'!AE$3:AE$73)</f>
        <v>1.790362615228736E-3</v>
      </c>
      <c r="AF42">
        <f>'Total exports'!AF42/SUM('Total exports'!AF$3:AF$73)</f>
        <v>1.7783136047424244E-3</v>
      </c>
      <c r="AG42">
        <f>'Total exports'!AG42/SUM('Total exports'!AG$3:AG$73)</f>
        <v>1.7654288698981543E-3</v>
      </c>
      <c r="AH42">
        <f>'Total exports'!AH42/SUM('Total exports'!AH$3:AH$73)</f>
        <v>1.7528298540834446E-3</v>
      </c>
      <c r="AI42">
        <f>'Total exports'!AI42/SUM('Total exports'!AI$3:AI$73)</f>
        <v>1.7404132925529483E-3</v>
      </c>
      <c r="AJ42">
        <f>'Total exports'!AJ42/SUM('Total exports'!AJ$3:AJ$73)</f>
        <v>1.7277794330659247E-3</v>
      </c>
      <c r="AK42">
        <f>'Total exports'!AK42/SUM('Total exports'!AK$3:AK$73)</f>
        <v>1.7152230984552293E-3</v>
      </c>
      <c r="AL42">
        <f>'Total exports'!AL42/SUM('Total exports'!AL$3:AL$73)</f>
        <v>1.702811701945989E-3</v>
      </c>
      <c r="AM42">
        <f>'Total exports'!AM42/SUM('Total exports'!AM$3:AM$73)</f>
        <v>1.689841244746607E-3</v>
      </c>
      <c r="AN42">
        <f>'Total exports'!AN42/SUM('Total exports'!AN$3:AN$73)</f>
        <v>1.677522134636158E-3</v>
      </c>
      <c r="AO42">
        <f>'Total exports'!AO42/SUM('Total exports'!AO$3:AO$73)</f>
        <v>1.6652492789504608E-3</v>
      </c>
      <c r="AP42">
        <f>'Total exports'!AP42/SUM('Total exports'!AP$3:AP$73)</f>
        <v>1.6530050942643671E-3</v>
      </c>
    </row>
    <row r="43" spans="1:42" x14ac:dyDescent="0.3">
      <c r="A43" t="s">
        <v>190</v>
      </c>
      <c r="B43">
        <f>'Total exports'!B43/SUM('Total exports'!B$3:B$73)</f>
        <v>0.11610775230300532</v>
      </c>
      <c r="C43">
        <f>'Total exports'!C43/SUM('Total exports'!C$3:C$73)</f>
        <v>0.11504195082280393</v>
      </c>
      <c r="D43">
        <f>'Total exports'!D43/SUM('Total exports'!D$3:D$73)</f>
        <v>0.11488300072504462</v>
      </c>
      <c r="E43">
        <f>'Total exports'!E43/SUM('Total exports'!E$3:E$73)</f>
        <v>0.11542753072534864</v>
      </c>
      <c r="F43">
        <f>'Total exports'!F43/SUM('Total exports'!F$3:F$73)</f>
        <v>0.1130849211988566</v>
      </c>
      <c r="G43">
        <f>'Total exports'!G43/SUM('Total exports'!G$3:G$73)</f>
        <v>0.10819003565485445</v>
      </c>
      <c r="H43">
        <f>'Total exports'!H43/SUM('Total exports'!H$3:H$73)</f>
        <v>0.10546943832405727</v>
      </c>
      <c r="I43">
        <f>'Total exports'!I43/SUM('Total exports'!I$3:I$73)</f>
        <v>0.10775519606171037</v>
      </c>
      <c r="J43">
        <f>'Total exports'!J43/SUM('Total exports'!J$3:J$73)</f>
        <v>0.10682580826492415</v>
      </c>
      <c r="K43">
        <f>'Total exports'!K43/SUM('Total exports'!K$3:K$73)</f>
        <v>0.10994881357397115</v>
      </c>
      <c r="L43">
        <f>'Total exports'!L43/SUM('Total exports'!L$3:L$73)</f>
        <v>0.11753572842609578</v>
      </c>
      <c r="M43">
        <f>'Total exports'!M43/SUM('Total exports'!M$3:M$73)</f>
        <v>0.11834443306432217</v>
      </c>
      <c r="N43">
        <f>'Total exports'!N43/SUM('Total exports'!N$3:N$73)</f>
        <v>0.11486874583366083</v>
      </c>
      <c r="O43">
        <f>'Total exports'!O43/SUM('Total exports'!O$3:O$73)</f>
        <v>0.11720304233689936</v>
      </c>
      <c r="P43">
        <f>'Total exports'!P43/SUM('Total exports'!P$3:P$73)</f>
        <v>0.11884036162174173</v>
      </c>
      <c r="Q43">
        <f>'Total exports'!Q43/SUM('Total exports'!Q$3:Q$73)</f>
        <v>0.12060527644878367</v>
      </c>
      <c r="R43">
        <f>'Total exports'!R43/SUM('Total exports'!R$3:R$73)</f>
        <v>0.1226026768038475</v>
      </c>
      <c r="S43">
        <f>'Total exports'!S43/SUM('Total exports'!S$3:S$73)</f>
        <v>0.1248371715115693</v>
      </c>
      <c r="T43">
        <f>'Total exports'!T43/SUM('Total exports'!T$3:T$73)</f>
        <v>0.12624231506174083</v>
      </c>
      <c r="U43">
        <f>'Total exports'!U43/SUM('Total exports'!U$3:U$73)</f>
        <v>0.12808106318109816</v>
      </c>
      <c r="V43">
        <f>'Total exports'!V43/SUM('Total exports'!V$3:V$73)</f>
        <v>0.12690265286976823</v>
      </c>
      <c r="W43">
        <f>'Total exports'!W43/SUM('Total exports'!W$3:W$73)</f>
        <v>0.12725726085141259</v>
      </c>
      <c r="X43">
        <f>'Total exports'!X43/SUM('Total exports'!X$3:X$73)</f>
        <v>0.12762855635373005</v>
      </c>
      <c r="Y43">
        <f>'Total exports'!Y43/SUM('Total exports'!Y$3:Y$73)</f>
        <v>0.12798892143648069</v>
      </c>
      <c r="Z43">
        <f>'Total exports'!Z43/SUM('Total exports'!Z$3:Z$73)</f>
        <v>0.12831976178810556</v>
      </c>
      <c r="AA43">
        <f>'Total exports'!AA43/SUM('Total exports'!AA$3:AA$73)</f>
        <v>0.12863545713080668</v>
      </c>
      <c r="AB43">
        <f>'Total exports'!AB43/SUM('Total exports'!AB$3:AB$73)</f>
        <v>0.12892628781853777</v>
      </c>
      <c r="AC43">
        <f>'Total exports'!AC43/SUM('Total exports'!AC$3:AC$73)</f>
        <v>0.12918788074764012</v>
      </c>
      <c r="AD43">
        <f>'Total exports'!AD43/SUM('Total exports'!AD$3:AD$73)</f>
        <v>0.12943103704906667</v>
      </c>
      <c r="AE43">
        <f>'Total exports'!AE43/SUM('Total exports'!AE$3:AE$73)</f>
        <v>0.12964618923338411</v>
      </c>
      <c r="AF43">
        <f>'Total exports'!AF43/SUM('Total exports'!AF$3:AF$73)</f>
        <v>0.12984912810894761</v>
      </c>
      <c r="AG43">
        <f>'Total exports'!AG43/SUM('Total exports'!AG$3:AG$73)</f>
        <v>0.13005176120711504</v>
      </c>
      <c r="AH43">
        <f>'Total exports'!AH43/SUM('Total exports'!AH$3:AH$73)</f>
        <v>0.13023484909756775</v>
      </c>
      <c r="AI43">
        <f>'Total exports'!AI43/SUM('Total exports'!AI$3:AI$73)</f>
        <v>0.13042583821343873</v>
      </c>
      <c r="AJ43">
        <f>'Total exports'!AJ43/SUM('Total exports'!AJ$3:AJ$73)</f>
        <v>0.13063499653075286</v>
      </c>
      <c r="AK43">
        <f>'Total exports'!AK43/SUM('Total exports'!AK$3:AK$73)</f>
        <v>0.13083950626781113</v>
      </c>
      <c r="AL43">
        <f>'Total exports'!AL43/SUM('Total exports'!AL$3:AL$73)</f>
        <v>0.13104692168751672</v>
      </c>
      <c r="AM43">
        <f>'Total exports'!AM43/SUM('Total exports'!AM$3:AM$73)</f>
        <v>0.1312535555965656</v>
      </c>
      <c r="AN43">
        <f>'Total exports'!AN43/SUM('Total exports'!AN$3:AN$73)</f>
        <v>0.13145549976839657</v>
      </c>
      <c r="AO43">
        <f>'Total exports'!AO43/SUM('Total exports'!AO$3:AO$73)</f>
        <v>0.13165386704467411</v>
      </c>
      <c r="AP43">
        <f>'Total exports'!AP43/SUM('Total exports'!AP$3:AP$73)</f>
        <v>0.13184789723526313</v>
      </c>
    </row>
    <row r="44" spans="1:42" x14ac:dyDescent="0.3">
      <c r="A44" t="s">
        <v>191</v>
      </c>
      <c r="B44">
        <f>'Total exports'!B44/SUM('Total exports'!B$3:B$73)</f>
        <v>2.6617395192548E-2</v>
      </c>
      <c r="C44">
        <f>'Total exports'!C44/SUM('Total exports'!C$3:C$73)</f>
        <v>2.8713418383266825E-2</v>
      </c>
      <c r="D44">
        <f>'Total exports'!D44/SUM('Total exports'!D$3:D$73)</f>
        <v>2.9296867266325109E-2</v>
      </c>
      <c r="E44">
        <f>'Total exports'!E44/SUM('Total exports'!E$3:E$73)</f>
        <v>3.0685876714636684E-2</v>
      </c>
      <c r="F44">
        <f>'Total exports'!F44/SUM('Total exports'!F$3:F$73)</f>
        <v>2.9754044265157677E-2</v>
      </c>
      <c r="G44">
        <f>'Total exports'!G44/SUM('Total exports'!G$3:G$73)</f>
        <v>2.6027159003820872E-2</v>
      </c>
      <c r="H44">
        <f>'Total exports'!H44/SUM('Total exports'!H$3:H$73)</f>
        <v>2.6719801282020488E-2</v>
      </c>
      <c r="I44">
        <f>'Total exports'!I44/SUM('Total exports'!I$3:I$73)</f>
        <v>2.6787487952969827E-2</v>
      </c>
      <c r="J44">
        <f>'Total exports'!J44/SUM('Total exports'!J$3:J$73)</f>
        <v>2.9298837129144755E-2</v>
      </c>
      <c r="K44">
        <f>'Total exports'!K44/SUM('Total exports'!K$3:K$73)</f>
        <v>2.9525520174122282E-2</v>
      </c>
      <c r="L44">
        <f>'Total exports'!L44/SUM('Total exports'!L$3:L$73)</f>
        <v>2.8834063050807605E-2</v>
      </c>
      <c r="M44">
        <f>'Total exports'!M44/SUM('Total exports'!M$3:M$73)</f>
        <v>2.9194094886278839E-2</v>
      </c>
      <c r="N44">
        <f>'Total exports'!N44/SUM('Total exports'!N$3:N$73)</f>
        <v>2.9335689840240726E-2</v>
      </c>
      <c r="O44">
        <f>'Total exports'!O44/SUM('Total exports'!O$3:O$73)</f>
        <v>3.0395389619224025E-2</v>
      </c>
      <c r="P44">
        <f>'Total exports'!P44/SUM('Total exports'!P$3:P$73)</f>
        <v>3.1736614623139259E-2</v>
      </c>
      <c r="Q44">
        <f>'Total exports'!Q44/SUM('Total exports'!Q$3:Q$73)</f>
        <v>3.2860430671859515E-2</v>
      </c>
      <c r="R44">
        <f>'Total exports'!R44/SUM('Total exports'!R$3:R$73)</f>
        <v>3.398872994422486E-2</v>
      </c>
      <c r="S44">
        <f>'Total exports'!S44/SUM('Total exports'!S$3:S$73)</f>
        <v>3.4999856872382384E-2</v>
      </c>
      <c r="T44">
        <f>'Total exports'!T44/SUM('Total exports'!T$3:T$73)</f>
        <v>3.6548333718724145E-2</v>
      </c>
      <c r="U44">
        <f>'Total exports'!U44/SUM('Total exports'!U$3:U$73)</f>
        <v>3.7943778032474493E-2</v>
      </c>
      <c r="V44">
        <f>'Total exports'!V44/SUM('Total exports'!V$3:V$73)</f>
        <v>3.7850878400403895E-2</v>
      </c>
      <c r="W44">
        <f>'Total exports'!W44/SUM('Total exports'!W$3:W$73)</f>
        <v>3.8529476518356663E-2</v>
      </c>
      <c r="X44">
        <f>'Total exports'!X44/SUM('Total exports'!X$3:X$73)</f>
        <v>3.9219754140760739E-2</v>
      </c>
      <c r="Y44">
        <f>'Total exports'!Y44/SUM('Total exports'!Y$3:Y$73)</f>
        <v>3.992490768800426E-2</v>
      </c>
      <c r="Z44">
        <f>'Total exports'!Z44/SUM('Total exports'!Z$3:Z$73)</f>
        <v>4.0637196714252803E-2</v>
      </c>
      <c r="AA44">
        <f>'Total exports'!AA44/SUM('Total exports'!AA$3:AA$73)</f>
        <v>4.1356416575309397E-2</v>
      </c>
      <c r="AB44">
        <f>'Total exports'!AB44/SUM('Total exports'!AB$3:AB$73)</f>
        <v>4.2084942251557698E-2</v>
      </c>
      <c r="AC44">
        <f>'Total exports'!AC44/SUM('Total exports'!AC$3:AC$73)</f>
        <v>4.2816592250311293E-2</v>
      </c>
      <c r="AD44">
        <f>'Total exports'!AD44/SUM('Total exports'!AD$3:AD$73)</f>
        <v>4.3556401801819786E-2</v>
      </c>
      <c r="AE44">
        <f>'Total exports'!AE44/SUM('Total exports'!AE$3:AE$73)</f>
        <v>4.4302598244023481E-2</v>
      </c>
      <c r="AF44">
        <f>'Total exports'!AF44/SUM('Total exports'!AF$3:AF$73)</f>
        <v>4.5058707088994558E-2</v>
      </c>
      <c r="AG44">
        <f>'Total exports'!AG44/SUM('Total exports'!AG$3:AG$73)</f>
        <v>4.5826272328198664E-2</v>
      </c>
      <c r="AH44">
        <f>'Total exports'!AH44/SUM('Total exports'!AH$3:AH$73)</f>
        <v>4.6629721154932677E-2</v>
      </c>
      <c r="AI44">
        <f>'Total exports'!AI44/SUM('Total exports'!AI$3:AI$73)</f>
        <v>4.7438726109634816E-2</v>
      </c>
      <c r="AJ44">
        <f>'Total exports'!AJ44/SUM('Total exports'!AJ$3:AJ$73)</f>
        <v>4.8250585554256105E-2</v>
      </c>
      <c r="AK44">
        <f>'Total exports'!AK44/SUM('Total exports'!AK$3:AK$73)</f>
        <v>4.907523989819098E-2</v>
      </c>
      <c r="AL44">
        <f>'Total exports'!AL44/SUM('Total exports'!AL$3:AL$73)</f>
        <v>4.9917929981525534E-2</v>
      </c>
      <c r="AM44">
        <f>'Total exports'!AM44/SUM('Total exports'!AM$3:AM$73)</f>
        <v>5.0772793377564289E-2</v>
      </c>
      <c r="AN44">
        <f>'Total exports'!AN44/SUM('Total exports'!AN$3:AN$73)</f>
        <v>5.1641927851069427E-2</v>
      </c>
      <c r="AO44">
        <f>'Total exports'!AO44/SUM('Total exports'!AO$3:AO$73)</f>
        <v>5.2525725137724286E-2</v>
      </c>
      <c r="AP44">
        <f>'Total exports'!AP44/SUM('Total exports'!AP$3:AP$73)</f>
        <v>5.3424694622501261E-2</v>
      </c>
    </row>
    <row r="45" spans="1:42" x14ac:dyDescent="0.3">
      <c r="A45" t="s">
        <v>192</v>
      </c>
      <c r="B45">
        <f>'Total exports'!B45/SUM('Total exports'!B$3:B$73)</f>
        <v>2.2189980622600324E-2</v>
      </c>
      <c r="C45">
        <f>'Total exports'!C45/SUM('Total exports'!C$3:C$73)</f>
        <v>2.2247014665315031E-2</v>
      </c>
      <c r="D45">
        <f>'Total exports'!D45/SUM('Total exports'!D$3:D$73)</f>
        <v>2.2445139691242153E-2</v>
      </c>
      <c r="E45">
        <f>'Total exports'!E45/SUM('Total exports'!E$3:E$73)</f>
        <v>2.1690660056596141E-2</v>
      </c>
      <c r="F45">
        <f>'Total exports'!F45/SUM('Total exports'!F$3:F$73)</f>
        <v>2.1621236794735856E-2</v>
      </c>
      <c r="G45">
        <f>'Total exports'!G45/SUM('Total exports'!G$3:G$73)</f>
        <v>2.2060925465074467E-2</v>
      </c>
      <c r="H45">
        <f>'Total exports'!H45/SUM('Total exports'!H$3:H$73)</f>
        <v>2.2498070353128657E-2</v>
      </c>
      <c r="I45">
        <f>'Total exports'!I45/SUM('Total exports'!I$3:I$73)</f>
        <v>2.2471649135106568E-2</v>
      </c>
      <c r="J45">
        <f>'Total exports'!J45/SUM('Total exports'!J$3:J$73)</f>
        <v>2.287912413384189E-2</v>
      </c>
      <c r="K45">
        <f>'Total exports'!K45/SUM('Total exports'!K$3:K$73)</f>
        <v>2.2181122363930286E-2</v>
      </c>
      <c r="L45">
        <f>'Total exports'!L45/SUM('Total exports'!L$3:L$73)</f>
        <v>2.1322791579292174E-2</v>
      </c>
      <c r="M45">
        <f>'Total exports'!M45/SUM('Total exports'!M$3:M$73)</f>
        <v>2.0814555678825317E-2</v>
      </c>
      <c r="N45">
        <f>'Total exports'!N45/SUM('Total exports'!N$3:N$73)</f>
        <v>1.9993845929404001E-2</v>
      </c>
      <c r="O45">
        <f>'Total exports'!O45/SUM('Total exports'!O$3:O$73)</f>
        <v>1.9757273631596635E-2</v>
      </c>
      <c r="P45">
        <f>'Total exports'!P45/SUM('Total exports'!P$3:P$73)</f>
        <v>1.9619533197137329E-2</v>
      </c>
      <c r="Q45">
        <f>'Total exports'!Q45/SUM('Total exports'!Q$3:Q$73)</f>
        <v>1.9479086718909289E-2</v>
      </c>
      <c r="R45">
        <f>'Total exports'!R45/SUM('Total exports'!R$3:R$73)</f>
        <v>1.9330257398598807E-2</v>
      </c>
      <c r="S45">
        <f>'Total exports'!S45/SUM('Total exports'!S$3:S$73)</f>
        <v>1.9195321265769973E-2</v>
      </c>
      <c r="T45">
        <f>'Total exports'!T45/SUM('Total exports'!T$3:T$73)</f>
        <v>1.8882121835449107E-2</v>
      </c>
      <c r="U45">
        <f>'Total exports'!U45/SUM('Total exports'!U$3:U$73)</f>
        <v>1.8662363751687464E-2</v>
      </c>
      <c r="V45">
        <f>'Total exports'!V45/SUM('Total exports'!V$3:V$73)</f>
        <v>1.8685696512728375E-2</v>
      </c>
      <c r="W45">
        <f>'Total exports'!W45/SUM('Total exports'!W$3:W$73)</f>
        <v>1.859082358176643E-2</v>
      </c>
      <c r="X45">
        <f>'Total exports'!X45/SUM('Total exports'!X$3:X$73)</f>
        <v>1.8497570677758451E-2</v>
      </c>
      <c r="Y45">
        <f>'Total exports'!Y45/SUM('Total exports'!Y$3:Y$73)</f>
        <v>1.8403350398694951E-2</v>
      </c>
      <c r="Z45">
        <f>'Total exports'!Z45/SUM('Total exports'!Z$3:Z$73)</f>
        <v>1.8305574428010469E-2</v>
      </c>
      <c r="AA45">
        <f>'Total exports'!AA45/SUM('Total exports'!AA$3:AA$73)</f>
        <v>1.8204490684362938E-2</v>
      </c>
      <c r="AB45">
        <f>'Total exports'!AB45/SUM('Total exports'!AB$3:AB$73)</f>
        <v>1.8101811977112012E-2</v>
      </c>
      <c r="AC45">
        <f>'Total exports'!AC45/SUM('Total exports'!AC$3:AC$73)</f>
        <v>1.7995303604622259E-2</v>
      </c>
      <c r="AD45">
        <f>'Total exports'!AD45/SUM('Total exports'!AD$3:AD$73)</f>
        <v>1.7885335566386183E-2</v>
      </c>
      <c r="AE45">
        <f>'Total exports'!AE45/SUM('Total exports'!AE$3:AE$73)</f>
        <v>1.7773223438248487E-2</v>
      </c>
      <c r="AF45">
        <f>'Total exports'!AF45/SUM('Total exports'!AF$3:AF$73)</f>
        <v>1.7659317793452933E-2</v>
      </c>
      <c r="AG45">
        <f>'Total exports'!AG45/SUM('Total exports'!AG$3:AG$73)</f>
        <v>1.7546051662111047E-2</v>
      </c>
      <c r="AH45">
        <f>'Total exports'!AH45/SUM('Total exports'!AH$3:AH$73)</f>
        <v>1.743302555155006E-2</v>
      </c>
      <c r="AI45">
        <f>'Total exports'!AI45/SUM('Total exports'!AI$3:AI$73)</f>
        <v>1.7321532290602671E-2</v>
      </c>
      <c r="AJ45">
        <f>'Total exports'!AJ45/SUM('Total exports'!AJ$3:AJ$73)</f>
        <v>1.7208852635610197E-2</v>
      </c>
      <c r="AK45">
        <f>'Total exports'!AK45/SUM('Total exports'!AK$3:AK$73)</f>
        <v>1.7099003705547903E-2</v>
      </c>
      <c r="AL45">
        <f>'Total exports'!AL45/SUM('Total exports'!AL$3:AL$73)</f>
        <v>1.6989660024798459E-2</v>
      </c>
      <c r="AM45">
        <f>'Total exports'!AM45/SUM('Total exports'!AM$3:AM$73)</f>
        <v>1.6879986218032408E-2</v>
      </c>
      <c r="AN45">
        <f>'Total exports'!AN45/SUM('Total exports'!AN$3:AN$73)</f>
        <v>1.6770258304482536E-2</v>
      </c>
      <c r="AO45">
        <f>'Total exports'!AO45/SUM('Total exports'!AO$3:AO$73)</f>
        <v>1.6662031968469937E-2</v>
      </c>
      <c r="AP45">
        <f>'Total exports'!AP45/SUM('Total exports'!AP$3:AP$73)</f>
        <v>1.6555323034729261E-2</v>
      </c>
    </row>
    <row r="46" spans="1:42" x14ac:dyDescent="0.3">
      <c r="A46" t="s">
        <v>193</v>
      </c>
      <c r="B46">
        <f>'Total exports'!B46/SUM('Total exports'!B$3:B$73)</f>
        <v>1.6314792679525899E-2</v>
      </c>
      <c r="C46">
        <f>'Total exports'!C46/SUM('Total exports'!C$3:C$73)</f>
        <v>1.5866483181276841E-2</v>
      </c>
      <c r="D46">
        <f>'Total exports'!D46/SUM('Total exports'!D$3:D$73)</f>
        <v>1.5494778354206193E-2</v>
      </c>
      <c r="E46">
        <f>'Total exports'!E46/SUM('Total exports'!E$3:E$73)</f>
        <v>1.4936815057219511E-2</v>
      </c>
      <c r="F46">
        <f>'Total exports'!F46/SUM('Total exports'!F$3:F$73)</f>
        <v>1.4366338695328705E-2</v>
      </c>
      <c r="G46">
        <f>'Total exports'!G46/SUM('Total exports'!G$3:G$73)</f>
        <v>1.4907113034505653E-2</v>
      </c>
      <c r="H46">
        <f>'Total exports'!H46/SUM('Total exports'!H$3:H$73)</f>
        <v>1.4938505642646161E-2</v>
      </c>
      <c r="I46">
        <f>'Total exports'!I46/SUM('Total exports'!I$3:I$73)</f>
        <v>1.5159936064560104E-2</v>
      </c>
      <c r="J46">
        <f>'Total exports'!J46/SUM('Total exports'!J$3:J$73)</f>
        <v>1.5305255805739411E-2</v>
      </c>
      <c r="K46">
        <f>'Total exports'!K46/SUM('Total exports'!K$3:K$73)</f>
        <v>1.5049418469394745E-2</v>
      </c>
      <c r="L46">
        <f>'Total exports'!L46/SUM('Total exports'!L$3:L$73)</f>
        <v>1.5124548585122893E-2</v>
      </c>
      <c r="M46">
        <f>'Total exports'!M46/SUM('Total exports'!M$3:M$73)</f>
        <v>1.4741071885904107E-2</v>
      </c>
      <c r="N46">
        <f>'Total exports'!N46/SUM('Total exports'!N$3:N$73)</f>
        <v>1.4250319457124273E-2</v>
      </c>
      <c r="O46">
        <f>'Total exports'!O46/SUM('Total exports'!O$3:O$73)</f>
        <v>1.4065473580451595E-2</v>
      </c>
      <c r="P46">
        <f>'Total exports'!P46/SUM('Total exports'!P$3:P$73)</f>
        <v>1.4021524891345295E-2</v>
      </c>
      <c r="Q46">
        <f>'Total exports'!Q46/SUM('Total exports'!Q$3:Q$73)</f>
        <v>1.3862728611850948E-2</v>
      </c>
      <c r="R46">
        <f>'Total exports'!R46/SUM('Total exports'!R$3:R$73)</f>
        <v>1.3738051128424357E-2</v>
      </c>
      <c r="S46">
        <f>'Total exports'!S46/SUM('Total exports'!S$3:S$73)</f>
        <v>1.3637694634150854E-2</v>
      </c>
      <c r="T46">
        <f>'Total exports'!T46/SUM('Total exports'!T$3:T$73)</f>
        <v>1.3377995449199971E-2</v>
      </c>
      <c r="U46">
        <f>'Total exports'!U46/SUM('Total exports'!U$3:U$73)</f>
        <v>1.3199774310422008E-2</v>
      </c>
      <c r="V46">
        <f>'Total exports'!V46/SUM('Total exports'!V$3:V$73)</f>
        <v>1.3374859077238711E-2</v>
      </c>
      <c r="W46">
        <f>'Total exports'!W46/SUM('Total exports'!W$3:W$73)</f>
        <v>1.3374206007653358E-2</v>
      </c>
      <c r="X46">
        <f>'Total exports'!X46/SUM('Total exports'!X$3:X$73)</f>
        <v>1.3374898317507494E-2</v>
      </c>
      <c r="Y46">
        <f>'Total exports'!Y46/SUM('Total exports'!Y$3:Y$73)</f>
        <v>1.3373657499916069E-2</v>
      </c>
      <c r="Z46">
        <f>'Total exports'!Z46/SUM('Total exports'!Z$3:Z$73)</f>
        <v>1.3370080758521325E-2</v>
      </c>
      <c r="AA46">
        <f>'Total exports'!AA46/SUM('Total exports'!AA$3:AA$73)</f>
        <v>1.3362875145623799E-2</v>
      </c>
      <c r="AB46">
        <f>'Total exports'!AB46/SUM('Total exports'!AB$3:AB$73)</f>
        <v>1.3341102703622357E-2</v>
      </c>
      <c r="AC46">
        <f>'Total exports'!AC46/SUM('Total exports'!AC$3:AC$73)</f>
        <v>1.3328528984215516E-2</v>
      </c>
      <c r="AD46">
        <f>'Total exports'!AD46/SUM('Total exports'!AD$3:AD$73)</f>
        <v>1.3314500158870564E-2</v>
      </c>
      <c r="AE46">
        <f>'Total exports'!AE46/SUM('Total exports'!AE$3:AE$73)</f>
        <v>1.3298304214648206E-2</v>
      </c>
      <c r="AF46">
        <f>'Total exports'!AF46/SUM('Total exports'!AF$3:AF$73)</f>
        <v>1.3279362558131117E-2</v>
      </c>
      <c r="AG46">
        <f>'Total exports'!AG46/SUM('Total exports'!AG$3:AG$73)</f>
        <v>1.3260750692842332E-2</v>
      </c>
      <c r="AH46">
        <f>'Total exports'!AH46/SUM('Total exports'!AH$3:AH$73)</f>
        <v>1.3242464780388747E-2</v>
      </c>
      <c r="AI46">
        <f>'Total exports'!AI46/SUM('Total exports'!AI$3:AI$73)</f>
        <v>1.3224161728776534E-2</v>
      </c>
      <c r="AJ46">
        <f>'Total exports'!AJ46/SUM('Total exports'!AJ$3:AJ$73)</f>
        <v>1.320516582963142E-2</v>
      </c>
      <c r="AK46">
        <f>'Total exports'!AK46/SUM('Total exports'!AK$3:AK$73)</f>
        <v>1.3186696369340369E-2</v>
      </c>
      <c r="AL46">
        <f>'Total exports'!AL46/SUM('Total exports'!AL$3:AL$73)</f>
        <v>1.3168974247196588E-2</v>
      </c>
      <c r="AM46">
        <f>'Total exports'!AM46/SUM('Total exports'!AM$3:AM$73)</f>
        <v>1.3150477430825619E-2</v>
      </c>
      <c r="AN46">
        <f>'Total exports'!AN46/SUM('Total exports'!AN$3:AN$73)</f>
        <v>1.3131705128056111E-2</v>
      </c>
      <c r="AO46">
        <f>'Total exports'!AO46/SUM('Total exports'!AO$3:AO$73)</f>
        <v>1.3113382183743243E-2</v>
      </c>
      <c r="AP46">
        <f>'Total exports'!AP46/SUM('Total exports'!AP$3:AP$73)</f>
        <v>1.3094514358584089E-2</v>
      </c>
    </row>
    <row r="47" spans="1:42" x14ac:dyDescent="0.3">
      <c r="A47" t="s">
        <v>194</v>
      </c>
      <c r="B47">
        <f>'Total exports'!B47/SUM('Total exports'!B$3:B$73)</f>
        <v>5.5735680620695805E-3</v>
      </c>
      <c r="C47">
        <f>'Total exports'!C47/SUM('Total exports'!C$3:C$73)</f>
        <v>5.3010870538600131E-3</v>
      </c>
      <c r="D47">
        <f>'Total exports'!D47/SUM('Total exports'!D$3:D$73)</f>
        <v>4.9399896222018496E-3</v>
      </c>
      <c r="E47">
        <f>'Total exports'!E47/SUM('Total exports'!E$3:E$73)</f>
        <v>4.5636377419698802E-3</v>
      </c>
      <c r="F47">
        <f>'Total exports'!F47/SUM('Total exports'!F$3:F$73)</f>
        <v>4.0666987850686738E-3</v>
      </c>
      <c r="G47">
        <f>'Total exports'!G47/SUM('Total exports'!G$3:G$73)</f>
        <v>3.8370304667934094E-3</v>
      </c>
      <c r="H47">
        <f>'Total exports'!H47/SUM('Total exports'!H$3:H$73)</f>
        <v>4.0222900397199682E-3</v>
      </c>
      <c r="I47">
        <f>'Total exports'!I47/SUM('Total exports'!I$3:I$73)</f>
        <v>3.8789048334389167E-3</v>
      </c>
      <c r="J47">
        <f>'Total exports'!J47/SUM('Total exports'!J$3:J$73)</f>
        <v>3.7153534186239586E-3</v>
      </c>
      <c r="K47">
        <f>'Total exports'!K47/SUM('Total exports'!K$3:K$73)</f>
        <v>3.5369769639914711E-3</v>
      </c>
      <c r="L47">
        <f>'Total exports'!L47/SUM('Total exports'!L$3:L$73)</f>
        <v>3.3303651793810929E-3</v>
      </c>
      <c r="M47">
        <f>'Total exports'!M47/SUM('Total exports'!M$3:M$73)</f>
        <v>3.4252210332284655E-3</v>
      </c>
      <c r="N47">
        <f>'Total exports'!N47/SUM('Total exports'!N$3:N$73)</f>
        <v>3.3514172537719069E-3</v>
      </c>
      <c r="O47">
        <f>'Total exports'!O47/SUM('Total exports'!O$3:O$73)</f>
        <v>3.3403804150799487E-3</v>
      </c>
      <c r="P47">
        <f>'Total exports'!P47/SUM('Total exports'!P$3:P$73)</f>
        <v>3.3025464660790967E-3</v>
      </c>
      <c r="Q47">
        <f>'Total exports'!Q47/SUM('Total exports'!Q$3:Q$73)</f>
        <v>3.2623386669927289E-3</v>
      </c>
      <c r="R47">
        <f>'Total exports'!R47/SUM('Total exports'!R$3:R$73)</f>
        <v>3.234749995574293E-3</v>
      </c>
      <c r="S47">
        <f>'Total exports'!S47/SUM('Total exports'!S$3:S$73)</f>
        <v>3.2107327490815667E-3</v>
      </c>
      <c r="T47">
        <f>'Total exports'!T47/SUM('Total exports'!T$3:T$73)</f>
        <v>3.2200587219516916E-3</v>
      </c>
      <c r="U47">
        <f>'Total exports'!U47/SUM('Total exports'!U$3:U$73)</f>
        <v>3.2126368058864492E-3</v>
      </c>
      <c r="V47">
        <f>'Total exports'!V47/SUM('Total exports'!V$3:V$73)</f>
        <v>3.2068856299009188E-3</v>
      </c>
      <c r="W47">
        <f>'Total exports'!W47/SUM('Total exports'!W$3:W$73)</f>
        <v>3.2001932609597647E-3</v>
      </c>
      <c r="X47">
        <f>'Total exports'!X47/SUM('Total exports'!X$3:X$73)</f>
        <v>3.1942173159548466E-3</v>
      </c>
      <c r="Y47">
        <f>'Total exports'!Y47/SUM('Total exports'!Y$3:Y$73)</f>
        <v>3.1876741625346951E-3</v>
      </c>
      <c r="Z47">
        <f>'Total exports'!Z47/SUM('Total exports'!Z$3:Z$73)</f>
        <v>3.1806640232892856E-3</v>
      </c>
      <c r="AA47">
        <f>'Total exports'!AA47/SUM('Total exports'!AA$3:AA$73)</f>
        <v>3.1730338718000697E-3</v>
      </c>
      <c r="AB47">
        <f>'Total exports'!AB47/SUM('Total exports'!AB$3:AB$73)</f>
        <v>3.165020034104665E-3</v>
      </c>
      <c r="AC47">
        <f>'Total exports'!AC47/SUM('Total exports'!AC$3:AC$73)</f>
        <v>3.15640903197641E-3</v>
      </c>
      <c r="AD47">
        <f>'Total exports'!AD47/SUM('Total exports'!AD$3:AD$73)</f>
        <v>3.1472145515721683E-3</v>
      </c>
      <c r="AE47">
        <f>'Total exports'!AE47/SUM('Total exports'!AE$3:AE$73)</f>
        <v>3.1373917418044319E-3</v>
      </c>
      <c r="AF47">
        <f>'Total exports'!AF47/SUM('Total exports'!AF$3:AF$73)</f>
        <v>3.1271197761362605E-3</v>
      </c>
      <c r="AG47">
        <f>'Total exports'!AG47/SUM('Total exports'!AG$3:AG$73)</f>
        <v>3.116833011897083E-3</v>
      </c>
      <c r="AH47">
        <f>'Total exports'!AH47/SUM('Total exports'!AH$3:AH$73)</f>
        <v>3.1068118930141458E-3</v>
      </c>
      <c r="AI47">
        <f>'Total exports'!AI47/SUM('Total exports'!AI$3:AI$73)</f>
        <v>3.0968248006660666E-3</v>
      </c>
      <c r="AJ47">
        <f>'Total exports'!AJ47/SUM('Total exports'!AJ$3:AJ$73)</f>
        <v>3.0865952767969431E-3</v>
      </c>
      <c r="AK47">
        <f>'Total exports'!AK47/SUM('Total exports'!AK$3:AK$73)</f>
        <v>3.076715518590554E-3</v>
      </c>
      <c r="AL47">
        <f>'Total exports'!AL47/SUM('Total exports'!AL$3:AL$73)</f>
        <v>3.0669796309614463E-3</v>
      </c>
      <c r="AM47">
        <f>'Total exports'!AM47/SUM('Total exports'!AM$3:AM$73)</f>
        <v>3.0569860918985819E-3</v>
      </c>
      <c r="AN47">
        <f>'Total exports'!AN47/SUM('Total exports'!AN$3:AN$73)</f>
        <v>3.046990620391691E-3</v>
      </c>
      <c r="AO47">
        <f>'Total exports'!AO47/SUM('Total exports'!AO$3:AO$73)</f>
        <v>3.0370725382409753E-3</v>
      </c>
      <c r="AP47">
        <f>'Total exports'!AP47/SUM('Total exports'!AP$3:AP$73)</f>
        <v>3.0270981165374461E-3</v>
      </c>
    </row>
    <row r="48" spans="1:42" x14ac:dyDescent="0.3">
      <c r="A48" t="s">
        <v>195</v>
      </c>
      <c r="B48">
        <f>'Total exports'!B48/SUM('Total exports'!B$3:B$73)</f>
        <v>3.168717325519372E-3</v>
      </c>
      <c r="C48">
        <f>'Total exports'!C48/SUM('Total exports'!C$3:C$73)</f>
        <v>3.4085832692960605E-3</v>
      </c>
      <c r="D48">
        <f>'Total exports'!D48/SUM('Total exports'!D$3:D$73)</f>
        <v>3.5568363129547527E-3</v>
      </c>
      <c r="E48">
        <f>'Total exports'!E48/SUM('Total exports'!E$3:E$73)</f>
        <v>3.7200783420940067E-3</v>
      </c>
      <c r="F48">
        <f>'Total exports'!F48/SUM('Total exports'!F$3:F$73)</f>
        <v>3.6579564843341548E-3</v>
      </c>
      <c r="G48">
        <f>'Total exports'!G48/SUM('Total exports'!G$3:G$73)</f>
        <v>3.2931192075845482E-3</v>
      </c>
      <c r="H48">
        <f>'Total exports'!H48/SUM('Total exports'!H$3:H$73)</f>
        <v>3.2026979270503046E-3</v>
      </c>
      <c r="I48">
        <f>'Total exports'!I48/SUM('Total exports'!I$3:I$73)</f>
        <v>3.4424201231476079E-3</v>
      </c>
      <c r="J48">
        <f>'Total exports'!J48/SUM('Total exports'!J$3:J$73)</f>
        <v>3.3808737679407262E-3</v>
      </c>
      <c r="K48">
        <f>'Total exports'!K48/SUM('Total exports'!K$3:K$73)</f>
        <v>3.3889352126476547E-3</v>
      </c>
      <c r="L48">
        <f>'Total exports'!L48/SUM('Total exports'!L$3:L$73)</f>
        <v>3.2935533437516329E-3</v>
      </c>
      <c r="M48">
        <f>'Total exports'!M48/SUM('Total exports'!M$3:M$73)</f>
        <v>3.3959090157685739E-3</v>
      </c>
      <c r="N48">
        <f>'Total exports'!N48/SUM('Total exports'!N$3:N$73)</f>
        <v>3.4352903263009465E-3</v>
      </c>
      <c r="O48">
        <f>'Total exports'!O48/SUM('Total exports'!O$3:O$73)</f>
        <v>3.4290592274108735E-3</v>
      </c>
      <c r="P48">
        <f>'Total exports'!P48/SUM('Total exports'!P$3:P$73)</f>
        <v>3.442602603476814E-3</v>
      </c>
      <c r="Q48">
        <f>'Total exports'!Q48/SUM('Total exports'!Q$3:Q$73)</f>
        <v>3.4583375949317464E-3</v>
      </c>
      <c r="R48">
        <f>'Total exports'!R48/SUM('Total exports'!R$3:R$73)</f>
        <v>3.4781641704883302E-3</v>
      </c>
      <c r="S48">
        <f>'Total exports'!S48/SUM('Total exports'!S$3:S$73)</f>
        <v>3.4979394893707863E-3</v>
      </c>
      <c r="T48">
        <f>'Total exports'!T48/SUM('Total exports'!T$3:T$73)</f>
        <v>3.4617505638500803E-3</v>
      </c>
      <c r="U48">
        <f>'Total exports'!U48/SUM('Total exports'!U$3:U$73)</f>
        <v>3.4532272426375985E-3</v>
      </c>
      <c r="V48">
        <f>'Total exports'!V48/SUM('Total exports'!V$3:V$73)</f>
        <v>3.4468910130164504E-3</v>
      </c>
      <c r="W48">
        <f>'Total exports'!W48/SUM('Total exports'!W$3:W$73)</f>
        <v>3.4400122653670488E-3</v>
      </c>
      <c r="X48">
        <f>'Total exports'!X48/SUM('Total exports'!X$3:X$73)</f>
        <v>3.4335600401627568E-3</v>
      </c>
      <c r="Y48">
        <f>'Total exports'!Y48/SUM('Total exports'!Y$3:Y$73)</f>
        <v>3.4266429566819712E-3</v>
      </c>
      <c r="Z48">
        <f>'Total exports'!Z48/SUM('Total exports'!Z$3:Z$73)</f>
        <v>3.4188754244795496E-3</v>
      </c>
      <c r="AA48">
        <f>'Total exports'!AA48/SUM('Total exports'!AA$3:AA$73)</f>
        <v>3.4106885346396726E-3</v>
      </c>
      <c r="AB48">
        <f>'Total exports'!AB48/SUM('Total exports'!AB$3:AB$73)</f>
        <v>3.4018562578284643E-3</v>
      </c>
      <c r="AC48">
        <f>'Total exports'!AC48/SUM('Total exports'!AC$3:AC$73)</f>
        <v>3.3922261972031504E-3</v>
      </c>
      <c r="AD48">
        <f>'Total exports'!AD48/SUM('Total exports'!AD$3:AD$73)</f>
        <v>3.3821569709773227E-3</v>
      </c>
      <c r="AE48">
        <f>'Total exports'!AE48/SUM('Total exports'!AE$3:AE$73)</f>
        <v>3.3715894231741901E-3</v>
      </c>
      <c r="AF48">
        <f>'Total exports'!AF48/SUM('Total exports'!AF$3:AF$73)</f>
        <v>3.3607476511400888E-3</v>
      </c>
      <c r="AG48">
        <f>'Total exports'!AG48/SUM('Total exports'!AG$3:AG$73)</f>
        <v>3.3500409677475348E-3</v>
      </c>
      <c r="AH48">
        <f>'Total exports'!AH48/SUM('Total exports'!AH$3:AH$73)</f>
        <v>3.3392830417178017E-3</v>
      </c>
      <c r="AI48">
        <f>'Total exports'!AI48/SUM('Total exports'!AI$3:AI$73)</f>
        <v>3.3284403288603268E-3</v>
      </c>
      <c r="AJ48">
        <f>'Total exports'!AJ48/SUM('Total exports'!AJ$3:AJ$73)</f>
        <v>3.317408282097473E-3</v>
      </c>
      <c r="AK48">
        <f>'Total exports'!AK48/SUM('Total exports'!AK$3:AK$73)</f>
        <v>3.30652708271752E-3</v>
      </c>
      <c r="AL48">
        <f>'Total exports'!AL48/SUM('Total exports'!AL$3:AL$73)</f>
        <v>3.2959104611472727E-3</v>
      </c>
      <c r="AM48">
        <f>'Total exports'!AM48/SUM('Total exports'!AM$3:AM$73)</f>
        <v>3.2853340183415774E-3</v>
      </c>
      <c r="AN48">
        <f>'Total exports'!AN48/SUM('Total exports'!AN$3:AN$73)</f>
        <v>3.2747090848174966E-3</v>
      </c>
      <c r="AO48">
        <f>'Total exports'!AO48/SUM('Total exports'!AO$3:AO$73)</f>
        <v>3.2618093513134181E-3</v>
      </c>
      <c r="AP48">
        <f>'Total exports'!AP48/SUM('Total exports'!AP$3:AP$73)</f>
        <v>3.249845114452682E-3</v>
      </c>
    </row>
    <row r="49" spans="1:42" x14ac:dyDescent="0.3">
      <c r="A49" t="s">
        <v>196</v>
      </c>
      <c r="B49">
        <f>'Total exports'!B49/SUM('Total exports'!B$3:B$73)</f>
        <v>1.5170269795514555E-2</v>
      </c>
      <c r="C49">
        <f>'Total exports'!C49/SUM('Total exports'!C$3:C$73)</f>
        <v>1.4371561165734412E-2</v>
      </c>
      <c r="D49">
        <f>'Total exports'!D49/SUM('Total exports'!D$3:D$73)</f>
        <v>1.572979784067852E-2</v>
      </c>
      <c r="E49">
        <f>'Total exports'!E49/SUM('Total exports'!E$3:E$73)</f>
        <v>1.5408150683682644E-2</v>
      </c>
      <c r="F49">
        <f>'Total exports'!F49/SUM('Total exports'!F$3:F$73)</f>
        <v>1.0361942242628038E-2</v>
      </c>
      <c r="G49">
        <f>'Total exports'!G49/SUM('Total exports'!G$3:G$73)</f>
        <v>1.0450457128181942E-2</v>
      </c>
      <c r="H49">
        <f>'Total exports'!H49/SUM('Total exports'!H$3:H$73)</f>
        <v>1.0437828658852377E-2</v>
      </c>
      <c r="I49">
        <f>'Total exports'!I49/SUM('Total exports'!I$3:I$73)</f>
        <v>1.0452601529582667E-2</v>
      </c>
      <c r="J49">
        <f>'Total exports'!J49/SUM('Total exports'!J$3:J$73)</f>
        <v>1.033818652321828E-2</v>
      </c>
      <c r="K49">
        <f>'Total exports'!K49/SUM('Total exports'!K$3:K$73)</f>
        <v>1.0173317260718526E-2</v>
      </c>
      <c r="L49">
        <f>'Total exports'!L49/SUM('Total exports'!L$3:L$73)</f>
        <v>1.0051125547274125E-2</v>
      </c>
      <c r="M49">
        <f>'Total exports'!M49/SUM('Total exports'!M$3:M$73)</f>
        <v>1.0038159973784879E-2</v>
      </c>
      <c r="N49">
        <f>'Total exports'!N49/SUM('Total exports'!N$3:N$73)</f>
        <v>9.7061992761643505E-3</v>
      </c>
      <c r="O49">
        <f>'Total exports'!O49/SUM('Total exports'!O$3:O$73)</f>
        <v>9.6407228010347203E-3</v>
      </c>
      <c r="P49">
        <f>'Total exports'!P49/SUM('Total exports'!P$3:P$73)</f>
        <v>9.6112021934578774E-3</v>
      </c>
      <c r="Q49">
        <f>'Total exports'!Q49/SUM('Total exports'!Q$3:Q$73)</f>
        <v>9.5491403759305378E-3</v>
      </c>
      <c r="R49">
        <f>'Total exports'!R49/SUM('Total exports'!R$3:R$73)</f>
        <v>9.5072128550122963E-3</v>
      </c>
      <c r="S49">
        <f>'Total exports'!S49/SUM('Total exports'!S$3:S$73)</f>
        <v>9.4312814679911195E-3</v>
      </c>
      <c r="T49">
        <f>'Total exports'!T49/SUM('Total exports'!T$3:T$73)</f>
        <v>9.4067612472380248E-3</v>
      </c>
      <c r="U49">
        <f>'Total exports'!U49/SUM('Total exports'!U$3:U$73)</f>
        <v>9.3662475002908828E-3</v>
      </c>
      <c r="V49">
        <f>'Total exports'!V49/SUM('Total exports'!V$3:V$73)</f>
        <v>9.3267179075977695E-3</v>
      </c>
      <c r="W49">
        <f>'Total exports'!W49/SUM('Total exports'!W$3:W$73)</f>
        <v>9.2862585088910043E-3</v>
      </c>
      <c r="X49">
        <f>'Total exports'!X49/SUM('Total exports'!X$3:X$73)</f>
        <v>9.2468168251461959E-3</v>
      </c>
      <c r="Y49">
        <f>'Total exports'!Y49/SUM('Total exports'!Y$3:Y$73)</f>
        <v>9.2050456005026982E-3</v>
      </c>
      <c r="Z49">
        <f>'Total exports'!Z49/SUM('Total exports'!Z$3:Z$73)</f>
        <v>9.1610895851940276E-3</v>
      </c>
      <c r="AA49">
        <f>'Total exports'!AA49/SUM('Total exports'!AA$3:AA$73)</f>
        <v>9.1143678481097491E-3</v>
      </c>
      <c r="AB49">
        <f>'Total exports'!AB49/SUM('Total exports'!AB$3:AB$73)</f>
        <v>9.0657262445176436E-3</v>
      </c>
      <c r="AC49">
        <f>'Total exports'!AC49/SUM('Total exports'!AC$3:AC$73)</f>
        <v>9.0149733816697036E-3</v>
      </c>
      <c r="AD49">
        <f>'Total exports'!AD49/SUM('Total exports'!AD$3:AD$73)</f>
        <v>8.9625805747280424E-3</v>
      </c>
      <c r="AE49">
        <f>'Total exports'!AE49/SUM('Total exports'!AE$3:AE$73)</f>
        <v>8.9096600980382735E-3</v>
      </c>
      <c r="AF49">
        <f>'Total exports'!AF49/SUM('Total exports'!AF$3:AF$73)</f>
        <v>8.8556139590002438E-3</v>
      </c>
      <c r="AG49">
        <f>'Total exports'!AG49/SUM('Total exports'!AG$3:AG$73)</f>
        <v>8.8026155202274338E-3</v>
      </c>
      <c r="AH49">
        <f>'Total exports'!AH49/SUM('Total exports'!AH$3:AH$73)</f>
        <v>8.7493954380889645E-3</v>
      </c>
      <c r="AI49">
        <f>'Total exports'!AI49/SUM('Total exports'!AI$3:AI$73)</f>
        <v>8.6976167071245603E-3</v>
      </c>
      <c r="AJ49">
        <f>'Total exports'!AJ49/SUM('Total exports'!AJ$3:AJ$73)</f>
        <v>8.6488347338603295E-3</v>
      </c>
      <c r="AK49">
        <f>'Total exports'!AK49/SUM('Total exports'!AK$3:AK$73)</f>
        <v>8.6002828436623057E-3</v>
      </c>
      <c r="AL49">
        <f>'Total exports'!AL49/SUM('Total exports'!AL$3:AL$73)</f>
        <v>8.5534940787837608E-3</v>
      </c>
      <c r="AM49">
        <f>'Total exports'!AM49/SUM('Total exports'!AM$3:AM$73)</f>
        <v>8.5084867369658781E-3</v>
      </c>
      <c r="AN49">
        <f>'Total exports'!AN49/SUM('Total exports'!AN$3:AN$73)</f>
        <v>8.4655064040245094E-3</v>
      </c>
      <c r="AO49">
        <f>'Total exports'!AO49/SUM('Total exports'!AO$3:AO$73)</f>
        <v>8.4244943195869795E-3</v>
      </c>
      <c r="AP49">
        <f>'Total exports'!AP49/SUM('Total exports'!AP$3:AP$73)</f>
        <v>8.385484048971081E-3</v>
      </c>
    </row>
    <row r="50" spans="1:42" x14ac:dyDescent="0.3">
      <c r="A50" t="s">
        <v>197</v>
      </c>
      <c r="B50">
        <f>'Total exports'!B50/SUM('Total exports'!B$3:B$73)</f>
        <v>3.722062059218844E-2</v>
      </c>
      <c r="C50">
        <f>'Total exports'!C50/SUM('Total exports'!C$3:C$73)</f>
        <v>4.004393739326513E-2</v>
      </c>
      <c r="D50">
        <f>'Total exports'!D50/SUM('Total exports'!D$3:D$73)</f>
        <v>4.0484727386599563E-2</v>
      </c>
      <c r="E50">
        <f>'Total exports'!E50/SUM('Total exports'!E$3:E$73)</f>
        <v>4.0875060420123129E-2</v>
      </c>
      <c r="F50">
        <f>'Total exports'!F50/SUM('Total exports'!F$3:F$73)</f>
        <v>4.0025928857914422E-2</v>
      </c>
      <c r="G50">
        <f>'Total exports'!G50/SUM('Total exports'!G$3:G$73)</f>
        <v>3.9025498743256649E-2</v>
      </c>
      <c r="H50">
        <f>'Total exports'!H50/SUM('Total exports'!H$3:H$73)</f>
        <v>3.961219019262071E-2</v>
      </c>
      <c r="I50">
        <f>'Total exports'!I50/SUM('Total exports'!I$3:I$73)</f>
        <v>3.8895772971913579E-2</v>
      </c>
      <c r="J50">
        <f>'Total exports'!J50/SUM('Total exports'!J$3:J$73)</f>
        <v>3.9163419523804283E-2</v>
      </c>
      <c r="K50">
        <f>'Total exports'!K50/SUM('Total exports'!K$3:K$73)</f>
        <v>3.8898045924828872E-2</v>
      </c>
      <c r="L50">
        <f>'Total exports'!L50/SUM('Total exports'!L$3:L$73)</f>
        <v>4.038120221485831E-2</v>
      </c>
      <c r="M50">
        <f>'Total exports'!M50/SUM('Total exports'!M$3:M$73)</f>
        <v>3.917900116654649E-2</v>
      </c>
      <c r="N50">
        <f>'Total exports'!N50/SUM('Total exports'!N$3:N$73)</f>
        <v>3.7800502434061196E-2</v>
      </c>
      <c r="O50">
        <f>'Total exports'!O50/SUM('Total exports'!O$3:O$73)</f>
        <v>3.7683160453020038E-2</v>
      </c>
      <c r="P50">
        <f>'Total exports'!P50/SUM('Total exports'!P$3:P$73)</f>
        <v>3.7785172188430791E-2</v>
      </c>
      <c r="Q50">
        <f>'Total exports'!Q50/SUM('Total exports'!Q$3:Q$73)</f>
        <v>3.7492977753357255E-2</v>
      </c>
      <c r="R50">
        <f>'Total exports'!R50/SUM('Total exports'!R$3:R$73)</f>
        <v>3.7318927798380447E-2</v>
      </c>
      <c r="S50">
        <f>'Total exports'!S50/SUM('Total exports'!S$3:S$73)</f>
        <v>3.7101029374427989E-2</v>
      </c>
      <c r="T50">
        <f>'Total exports'!T50/SUM('Total exports'!T$3:T$73)</f>
        <v>3.9744851640256332E-2</v>
      </c>
      <c r="U50">
        <f>'Total exports'!U50/SUM('Total exports'!U$3:U$73)</f>
        <v>4.0881647730754006E-2</v>
      </c>
      <c r="V50">
        <f>'Total exports'!V50/SUM('Total exports'!V$3:V$73)</f>
        <v>4.1579643604666684E-2</v>
      </c>
      <c r="W50">
        <f>'Total exports'!W50/SUM('Total exports'!W$3:W$73)</f>
        <v>4.2494786832842212E-2</v>
      </c>
      <c r="X50">
        <f>'Total exports'!X50/SUM('Total exports'!X$3:X$73)</f>
        <v>4.3396892391739939E-2</v>
      </c>
      <c r="Y50">
        <f>'Total exports'!Y50/SUM('Total exports'!Y$3:Y$73)</f>
        <v>4.4276393133822922E-2</v>
      </c>
      <c r="Z50">
        <f>'Total exports'!Z50/SUM('Total exports'!Z$3:Z$73)</f>
        <v>4.5132559549910245E-2</v>
      </c>
      <c r="AA50">
        <f>'Total exports'!AA50/SUM('Total exports'!AA$3:AA$73)</f>
        <v>4.5963336540392127E-2</v>
      </c>
      <c r="AB50">
        <f>'Total exports'!AB50/SUM('Total exports'!AB$3:AB$73)</f>
        <v>4.67681516455885E-2</v>
      </c>
      <c r="AC50">
        <f>'Total exports'!AC50/SUM('Total exports'!AC$3:AC$73)</f>
        <v>4.7543603033125485E-2</v>
      </c>
      <c r="AD50">
        <f>'Total exports'!AD50/SUM('Total exports'!AD$3:AD$73)</f>
        <v>4.8294312325787445E-2</v>
      </c>
      <c r="AE50">
        <f>'Total exports'!AE50/SUM('Total exports'!AE$3:AE$73)</f>
        <v>4.9017911097513071E-2</v>
      </c>
      <c r="AF50">
        <f>'Total exports'!AF50/SUM('Total exports'!AF$3:AF$73)</f>
        <v>4.9721992630187693E-2</v>
      </c>
      <c r="AG50">
        <f>'Total exports'!AG50/SUM('Total exports'!AG$3:AG$73)</f>
        <v>5.0406232996075467E-2</v>
      </c>
      <c r="AH50">
        <f>'Total exports'!AH50/SUM('Total exports'!AH$3:AH$73)</f>
        <v>5.1062265898145394E-2</v>
      </c>
      <c r="AI50">
        <f>'Total exports'!AI50/SUM('Total exports'!AI$3:AI$73)</f>
        <v>5.170668938685033E-2</v>
      </c>
      <c r="AJ50">
        <f>'Total exports'!AJ50/SUM('Total exports'!AJ$3:AJ$73)</f>
        <v>5.2350092897004825E-2</v>
      </c>
      <c r="AK50">
        <f>'Total exports'!AK50/SUM('Total exports'!AK$3:AK$73)</f>
        <v>5.2961744666968423E-2</v>
      </c>
      <c r="AL50">
        <f>'Total exports'!AL50/SUM('Total exports'!AL$3:AL$73)</f>
        <v>5.3555843285781661E-2</v>
      </c>
      <c r="AM50">
        <f>'Total exports'!AM50/SUM('Total exports'!AM$3:AM$73)</f>
        <v>5.4131989309171819E-2</v>
      </c>
      <c r="AN50">
        <f>'Total exports'!AN50/SUM('Total exports'!AN$3:AN$73)</f>
        <v>5.4688785953846734E-2</v>
      </c>
      <c r="AO50">
        <f>'Total exports'!AO50/SUM('Total exports'!AO$3:AO$73)</f>
        <v>5.5226255374293473E-2</v>
      </c>
      <c r="AP50">
        <f>'Total exports'!AP50/SUM('Total exports'!AP$3:AP$73)</f>
        <v>5.5746023103415338E-2</v>
      </c>
    </row>
    <row r="51" spans="1:42" x14ac:dyDescent="0.3">
      <c r="A51" t="s">
        <v>198</v>
      </c>
      <c r="B51">
        <f>'Total exports'!B51/SUM('Total exports'!B$3:B$73)</f>
        <v>2.218053456545491E-2</v>
      </c>
      <c r="C51">
        <f>'Total exports'!C51/SUM('Total exports'!C$3:C$73)</f>
        <v>2.2442571363502001E-2</v>
      </c>
      <c r="D51">
        <f>'Total exports'!D51/SUM('Total exports'!D$3:D$73)</f>
        <v>2.1527833464367766E-2</v>
      </c>
      <c r="E51">
        <f>'Total exports'!E51/SUM('Total exports'!E$3:E$73)</f>
        <v>2.145986931756495E-2</v>
      </c>
      <c r="F51">
        <f>'Total exports'!F51/SUM('Total exports'!F$3:F$73)</f>
        <v>2.1710979499871354E-2</v>
      </c>
      <c r="G51">
        <f>'Total exports'!G51/SUM('Total exports'!G$3:G$73)</f>
        <v>2.0142692160524254E-2</v>
      </c>
      <c r="H51">
        <f>'Total exports'!H51/SUM('Total exports'!H$3:H$73)</f>
        <v>1.9892646289241318E-2</v>
      </c>
      <c r="I51">
        <f>'Total exports'!I51/SUM('Total exports'!I$3:I$73)</f>
        <v>1.9689179306162503E-2</v>
      </c>
      <c r="J51">
        <f>'Total exports'!J51/SUM('Total exports'!J$3:J$73)</f>
        <v>1.8806906829894526E-2</v>
      </c>
      <c r="K51">
        <f>'Total exports'!K51/SUM('Total exports'!K$3:K$73)</f>
        <v>1.8829275459417434E-2</v>
      </c>
      <c r="L51">
        <f>'Total exports'!L51/SUM('Total exports'!L$3:L$73)</f>
        <v>2.034817685724833E-2</v>
      </c>
      <c r="M51">
        <f>'Total exports'!M51/SUM('Total exports'!M$3:M$73)</f>
        <v>2.0202134706777168E-2</v>
      </c>
      <c r="N51">
        <f>'Total exports'!N51/SUM('Total exports'!N$3:N$73)</f>
        <v>1.9628790891194275E-2</v>
      </c>
      <c r="O51">
        <f>'Total exports'!O51/SUM('Total exports'!O$3:O$73)</f>
        <v>1.9721303296755987E-2</v>
      </c>
      <c r="P51">
        <f>'Total exports'!P51/SUM('Total exports'!P$3:P$73)</f>
        <v>1.939337585325638E-2</v>
      </c>
      <c r="Q51">
        <f>'Total exports'!Q51/SUM('Total exports'!Q$3:Q$73)</f>
        <v>1.9135601999396946E-2</v>
      </c>
      <c r="R51">
        <f>'Total exports'!R51/SUM('Total exports'!R$3:R$73)</f>
        <v>1.8974743013524011E-2</v>
      </c>
      <c r="S51">
        <f>'Total exports'!S51/SUM('Total exports'!S$3:S$73)</f>
        <v>1.8831510003029864E-2</v>
      </c>
      <c r="T51">
        <f>'Total exports'!T51/SUM('Total exports'!T$3:T$73)</f>
        <v>2.0241270379726194E-2</v>
      </c>
      <c r="U51">
        <f>'Total exports'!U51/SUM('Total exports'!U$3:U$73)</f>
        <v>2.0820881378876895E-2</v>
      </c>
      <c r="V51">
        <f>'Total exports'!V51/SUM('Total exports'!V$3:V$73)</f>
        <v>2.1177207734354369E-2</v>
      </c>
      <c r="W51">
        <f>'Total exports'!W51/SUM('Total exports'!W$3:W$73)</f>
        <v>2.1643996552164427E-2</v>
      </c>
      <c r="X51">
        <f>'Total exports'!X51/SUM('Total exports'!X$3:X$73)</f>
        <v>2.2104178987904427E-2</v>
      </c>
      <c r="Y51">
        <f>'Total exports'!Y51/SUM('Total exports'!Y$3:Y$73)</f>
        <v>2.2552594723997312E-2</v>
      </c>
      <c r="Z51">
        <f>'Total exports'!Z51/SUM('Total exports'!Z$3:Z$73)</f>
        <v>2.2987226026665631E-2</v>
      </c>
      <c r="AA51">
        <f>'Total exports'!AA51/SUM('Total exports'!AA$3:AA$73)</f>
        <v>2.3409898252689711E-2</v>
      </c>
      <c r="AB51">
        <f>'Total exports'!AB51/SUM('Total exports'!AB$3:AB$73)</f>
        <v>2.3819221589581368E-2</v>
      </c>
      <c r="AC51">
        <f>'Total exports'!AC51/SUM('Total exports'!AC$3:AC$73)</f>
        <v>2.4214233267428716E-2</v>
      </c>
      <c r="AD51">
        <f>'Total exports'!AD51/SUM('Total exports'!AD$3:AD$73)</f>
        <v>2.4596755743676868E-2</v>
      </c>
      <c r="AE51">
        <f>'Total exports'!AE51/SUM('Total exports'!AE$3:AE$73)</f>
        <v>2.4965020572925333E-2</v>
      </c>
      <c r="AF51">
        <f>'Total exports'!AF51/SUM('Total exports'!AF$3:AF$73)</f>
        <v>2.53230377942401E-2</v>
      </c>
      <c r="AG51">
        <f>'Total exports'!AG51/SUM('Total exports'!AG$3:AG$73)</f>
        <v>2.5671713514333519E-2</v>
      </c>
      <c r="AH51">
        <f>'Total exports'!AH51/SUM('Total exports'!AH$3:AH$73)</f>
        <v>2.6008491058411097E-2</v>
      </c>
      <c r="AI51">
        <f>'Total exports'!AI51/SUM('Total exports'!AI$3:AI$73)</f>
        <v>2.6337793276975302E-2</v>
      </c>
      <c r="AJ51">
        <f>'Total exports'!AJ51/SUM('Total exports'!AJ$3:AJ$73)</f>
        <v>2.6661090890135661E-2</v>
      </c>
      <c r="AK51">
        <f>'Total exports'!AK51/SUM('Total exports'!AK$3:AK$73)</f>
        <v>2.6971936978120472E-2</v>
      </c>
      <c r="AL51">
        <f>'Total exports'!AL51/SUM('Total exports'!AL$3:AL$73)</f>
        <v>2.727416918203723E-2</v>
      </c>
      <c r="AM51">
        <f>'Total exports'!AM51/SUM('Total exports'!AM$3:AM$73)</f>
        <v>2.7567189736227193E-2</v>
      </c>
      <c r="AN51">
        <f>'Total exports'!AN51/SUM('Total exports'!AN$3:AN$73)</f>
        <v>2.7850754920884083E-2</v>
      </c>
      <c r="AO51">
        <f>'Total exports'!AO51/SUM('Total exports'!AO$3:AO$73)</f>
        <v>2.8124678811434795E-2</v>
      </c>
      <c r="AP51">
        <f>'Total exports'!AP51/SUM('Total exports'!AP$3:AP$73)</f>
        <v>2.8389558839575054E-2</v>
      </c>
    </row>
    <row r="52" spans="1:42" x14ac:dyDescent="0.3">
      <c r="A52" t="s">
        <v>199</v>
      </c>
      <c r="B52">
        <f>'Total exports'!B52/SUM('Total exports'!B$3:B$73)</f>
        <v>1.2860559069826786E-2</v>
      </c>
      <c r="C52">
        <f>'Total exports'!C52/SUM('Total exports'!C$3:C$73)</f>
        <v>1.3692796125194646E-2</v>
      </c>
      <c r="D52">
        <f>'Total exports'!D52/SUM('Total exports'!D$3:D$73)</f>
        <v>1.3430119271983431E-2</v>
      </c>
      <c r="E52">
        <f>'Total exports'!E52/SUM('Total exports'!E$3:E$73)</f>
        <v>1.3506089407125292E-2</v>
      </c>
      <c r="F52">
        <f>'Total exports'!F52/SUM('Total exports'!F$3:F$73)</f>
        <v>1.3025327017851893E-2</v>
      </c>
      <c r="G52">
        <f>'Total exports'!G52/SUM('Total exports'!G$3:G$73)</f>
        <v>1.2570409263883727E-2</v>
      </c>
      <c r="H52">
        <f>'Total exports'!H52/SUM('Total exports'!H$3:H$73)</f>
        <v>1.2308220190640701E-2</v>
      </c>
      <c r="I52">
        <f>'Total exports'!I52/SUM('Total exports'!I$3:I$73)</f>
        <v>1.2663033884708902E-2</v>
      </c>
      <c r="J52">
        <f>'Total exports'!J52/SUM('Total exports'!J$3:J$73)</f>
        <v>1.2903315635895189E-2</v>
      </c>
      <c r="K52">
        <f>'Total exports'!K52/SUM('Total exports'!K$3:K$73)</f>
        <v>1.3163756240543827E-2</v>
      </c>
      <c r="L52">
        <f>'Total exports'!L52/SUM('Total exports'!L$3:L$73)</f>
        <v>1.3479106423070356E-2</v>
      </c>
      <c r="M52">
        <f>'Total exports'!M52/SUM('Total exports'!M$3:M$73)</f>
        <v>1.3020796847645115E-2</v>
      </c>
      <c r="N52">
        <f>'Total exports'!N52/SUM('Total exports'!N$3:N$73)</f>
        <v>1.2898889024478246E-2</v>
      </c>
      <c r="O52">
        <f>'Total exports'!O52/SUM('Total exports'!O$3:O$73)</f>
        <v>1.3227467163578742E-2</v>
      </c>
      <c r="P52">
        <f>'Total exports'!P52/SUM('Total exports'!P$3:P$73)</f>
        <v>1.3577926915986496E-2</v>
      </c>
      <c r="Q52">
        <f>'Total exports'!Q52/SUM('Total exports'!Q$3:Q$73)</f>
        <v>1.3849170012003807E-2</v>
      </c>
      <c r="R52">
        <f>'Total exports'!R52/SUM('Total exports'!R$3:R$73)</f>
        <v>1.4149279426529011E-2</v>
      </c>
      <c r="S52">
        <f>'Total exports'!S52/SUM('Total exports'!S$3:S$73)</f>
        <v>1.4459098332622983E-2</v>
      </c>
      <c r="T52">
        <f>'Total exports'!T52/SUM('Total exports'!T$3:T$73)</f>
        <v>1.4634198383974643E-2</v>
      </c>
      <c r="U52">
        <f>'Total exports'!U52/SUM('Total exports'!U$3:U$73)</f>
        <v>1.4882815388735843E-2</v>
      </c>
      <c r="V52">
        <f>'Total exports'!V52/SUM('Total exports'!V$3:V$73)</f>
        <v>1.4838094795779766E-2</v>
      </c>
      <c r="W52">
        <f>'Total exports'!W52/SUM('Total exports'!W$3:W$73)</f>
        <v>1.4944619517366494E-2</v>
      </c>
      <c r="X52">
        <f>'Total exports'!X52/SUM('Total exports'!X$3:X$73)</f>
        <v>1.5056449351683283E-2</v>
      </c>
      <c r="Y52">
        <f>'Total exports'!Y52/SUM('Total exports'!Y$3:Y$73)</f>
        <v>1.5171410648784077E-2</v>
      </c>
      <c r="Z52">
        <f>'Total exports'!Z52/SUM('Total exports'!Z$3:Z$73)</f>
        <v>1.5287641183728077E-2</v>
      </c>
      <c r="AA52">
        <f>'Total exports'!AA52/SUM('Total exports'!AA$3:AA$73)</f>
        <v>1.540398503166978E-2</v>
      </c>
      <c r="AB52">
        <f>'Total exports'!AB52/SUM('Total exports'!AB$3:AB$73)</f>
        <v>1.5518290072689022E-2</v>
      </c>
      <c r="AC52">
        <f>'Total exports'!AC52/SUM('Total exports'!AC$3:AC$73)</f>
        <v>1.5627893428934992E-2</v>
      </c>
      <c r="AD52">
        <f>'Total exports'!AD52/SUM('Total exports'!AD$3:AD$73)</f>
        <v>1.5731618414823349E-2</v>
      </c>
      <c r="AE52">
        <f>'Total exports'!AE52/SUM('Total exports'!AE$3:AE$73)</f>
        <v>1.583039779347617E-2</v>
      </c>
      <c r="AF52">
        <f>'Total exports'!AF52/SUM('Total exports'!AF$3:AF$73)</f>
        <v>1.5926595645037501E-2</v>
      </c>
      <c r="AG52">
        <f>'Total exports'!AG52/SUM('Total exports'!AG$3:AG$73)</f>
        <v>1.6023131718606604E-2</v>
      </c>
      <c r="AH52">
        <f>'Total exports'!AH52/SUM('Total exports'!AH$3:AH$73)</f>
        <v>1.6119682929375875E-2</v>
      </c>
      <c r="AI52">
        <f>'Total exports'!AI52/SUM('Total exports'!AI$3:AI$73)</f>
        <v>1.622054646139812E-2</v>
      </c>
      <c r="AJ52">
        <f>'Total exports'!AJ52/SUM('Total exports'!AJ$3:AJ$73)</f>
        <v>1.632804913131454E-2</v>
      </c>
      <c r="AK52">
        <f>'Total exports'!AK52/SUM('Total exports'!AK$3:AK$73)</f>
        <v>1.645090843779707E-2</v>
      </c>
      <c r="AL52">
        <f>'Total exports'!AL52/SUM('Total exports'!AL$3:AL$73)</f>
        <v>1.6562162731855474E-2</v>
      </c>
      <c r="AM52">
        <f>'Total exports'!AM52/SUM('Total exports'!AM$3:AM$73)</f>
        <v>1.6674858507268547E-2</v>
      </c>
      <c r="AN52">
        <f>'Total exports'!AN52/SUM('Total exports'!AN$3:AN$73)</f>
        <v>1.6785531073126931E-2</v>
      </c>
      <c r="AO52">
        <f>'Total exports'!AO52/SUM('Total exports'!AO$3:AO$73)</f>
        <v>1.6892876753239947E-2</v>
      </c>
      <c r="AP52">
        <f>'Total exports'!AP52/SUM('Total exports'!AP$3:AP$73)</f>
        <v>1.6998330070500323E-2</v>
      </c>
    </row>
    <row r="53" spans="1:42" x14ac:dyDescent="0.3">
      <c r="A53" t="s">
        <v>200</v>
      </c>
      <c r="B53">
        <f>'Total exports'!B53/SUM('Total exports'!B$3:B$73)</f>
        <v>6.033959873500986E-2</v>
      </c>
      <c r="C53">
        <f>'Total exports'!C53/SUM('Total exports'!C$3:C$73)</f>
        <v>6.1267049651536662E-2</v>
      </c>
      <c r="D53">
        <f>'Total exports'!D53/SUM('Total exports'!D$3:D$73)</f>
        <v>6.0892003364063224E-2</v>
      </c>
      <c r="E53">
        <f>'Total exports'!E53/SUM('Total exports'!E$3:E$73)</f>
        <v>6.1952224344356058E-2</v>
      </c>
      <c r="F53">
        <f>'Total exports'!F53/SUM('Total exports'!F$3:F$73)</f>
        <v>6.1242362890429843E-2</v>
      </c>
      <c r="G53">
        <f>'Total exports'!G53/SUM('Total exports'!G$3:G$73)</f>
        <v>6.1885281465659192E-2</v>
      </c>
      <c r="H53">
        <f>'Total exports'!H53/SUM('Total exports'!H$3:H$73)</f>
        <v>6.2848548078021399E-2</v>
      </c>
      <c r="I53">
        <f>'Total exports'!I53/SUM('Total exports'!I$3:I$73)</f>
        <v>6.3761525426309709E-2</v>
      </c>
      <c r="J53">
        <f>'Total exports'!J53/SUM('Total exports'!J$3:J$73)</f>
        <v>6.4422880666732088E-2</v>
      </c>
      <c r="K53">
        <f>'Total exports'!K53/SUM('Total exports'!K$3:K$73)</f>
        <v>6.5049582418410232E-2</v>
      </c>
      <c r="L53">
        <f>'Total exports'!L53/SUM('Total exports'!L$3:L$73)</f>
        <v>6.5004542324924156E-2</v>
      </c>
      <c r="M53">
        <f>'Total exports'!M53/SUM('Total exports'!M$3:M$73)</f>
        <v>6.2413045962531409E-2</v>
      </c>
      <c r="N53">
        <f>'Total exports'!N53/SUM('Total exports'!N$3:N$73)</f>
        <v>6.1302371235372202E-2</v>
      </c>
      <c r="O53">
        <f>'Total exports'!O53/SUM('Total exports'!O$3:O$73)</f>
        <v>6.2369443452599878E-2</v>
      </c>
      <c r="P53">
        <f>'Total exports'!P53/SUM('Total exports'!P$3:P$73)</f>
        <v>6.3428403017600332E-2</v>
      </c>
      <c r="Q53">
        <f>'Total exports'!Q53/SUM('Total exports'!Q$3:Q$73)</f>
        <v>6.4141754864375969E-2</v>
      </c>
      <c r="R53">
        <f>'Total exports'!R53/SUM('Total exports'!R$3:R$73)</f>
        <v>6.5154887094979727E-2</v>
      </c>
      <c r="S53">
        <f>'Total exports'!S53/SUM('Total exports'!S$3:S$73)</f>
        <v>6.6250930174441003E-2</v>
      </c>
      <c r="T53">
        <f>'Total exports'!T53/SUM('Total exports'!T$3:T$73)</f>
        <v>6.7487140347916474E-2</v>
      </c>
      <c r="U53">
        <f>'Total exports'!U53/SUM('Total exports'!U$3:U$73)</f>
        <v>6.8667305439430101E-2</v>
      </c>
      <c r="V53">
        <f>'Total exports'!V53/SUM('Total exports'!V$3:V$73)</f>
        <v>6.8507543382286304E-2</v>
      </c>
      <c r="W53">
        <f>'Total exports'!W53/SUM('Total exports'!W$3:W$73)</f>
        <v>6.9032578820122606E-2</v>
      </c>
      <c r="X53">
        <f>'Total exports'!X53/SUM('Total exports'!X$3:X$73)</f>
        <v>6.9568508582592267E-2</v>
      </c>
      <c r="Y53">
        <f>'Total exports'!Y53/SUM('Total exports'!Y$3:Y$73)</f>
        <v>7.0100359899735329E-2</v>
      </c>
      <c r="Z53">
        <f>'Total exports'!Z53/SUM('Total exports'!Z$3:Z$73)</f>
        <v>7.0622347099214305E-2</v>
      </c>
      <c r="AA53">
        <f>'Total exports'!AA53/SUM('Total exports'!AA$3:AA$73)</f>
        <v>7.113921903674271E-2</v>
      </c>
      <c r="AB53">
        <f>'Total exports'!AB53/SUM('Total exports'!AB$3:AB$73)</f>
        <v>7.1643706139460125E-2</v>
      </c>
      <c r="AC53">
        <f>'Total exports'!AC53/SUM('Total exports'!AC$3:AC$73)</f>
        <v>7.2135805394626037E-2</v>
      </c>
      <c r="AD53">
        <f>'Total exports'!AD53/SUM('Total exports'!AD$3:AD$73)</f>
        <v>7.2617193306392158E-2</v>
      </c>
      <c r="AE53">
        <f>'Total exports'!AE53/SUM('Total exports'!AE$3:AE$73)</f>
        <v>7.3086146218632325E-2</v>
      </c>
      <c r="AF53">
        <f>'Total exports'!AF53/SUM('Total exports'!AF$3:AF$73)</f>
        <v>7.3550120499493124E-2</v>
      </c>
      <c r="AG53">
        <f>'Total exports'!AG53/SUM('Total exports'!AG$3:AG$73)</f>
        <v>7.4017658712873011E-2</v>
      </c>
      <c r="AH53">
        <f>'Total exports'!AH53/SUM('Total exports'!AH$3:AH$73)</f>
        <v>7.448844600725732E-2</v>
      </c>
      <c r="AI53">
        <f>'Total exports'!AI53/SUM('Total exports'!AI$3:AI$73)</f>
        <v>7.4962385541873178E-2</v>
      </c>
      <c r="AJ53">
        <f>'Total exports'!AJ53/SUM('Total exports'!AJ$3:AJ$73)</f>
        <v>7.5442119607275121E-2</v>
      </c>
      <c r="AK53">
        <f>'Total exports'!AK53/SUM('Total exports'!AK$3:AK$73)</f>
        <v>7.592765561444545E-2</v>
      </c>
      <c r="AL53">
        <f>'Total exports'!AL53/SUM('Total exports'!AL$3:AL$73)</f>
        <v>7.6419423476539058E-2</v>
      </c>
      <c r="AM53">
        <f>'Total exports'!AM53/SUM('Total exports'!AM$3:AM$73)</f>
        <v>7.6916312620088953E-2</v>
      </c>
      <c r="AN53">
        <f>'Total exports'!AN53/SUM('Total exports'!AN$3:AN$73)</f>
        <v>7.7414925048015656E-2</v>
      </c>
      <c r="AO53">
        <f>'Total exports'!AO53/SUM('Total exports'!AO$3:AO$73)</f>
        <v>7.7910989058349339E-2</v>
      </c>
      <c r="AP53">
        <f>'Total exports'!AP53/SUM('Total exports'!AP$3:AP$73)</f>
        <v>7.8410205156645096E-2</v>
      </c>
    </row>
    <row r="54" spans="1:42" x14ac:dyDescent="0.3">
      <c r="A54" t="s">
        <v>201</v>
      </c>
      <c r="B54">
        <f>'Total exports'!B54/SUM('Total exports'!B$3:B$73)</f>
        <v>1.5709207815348191E-2</v>
      </c>
      <c r="C54">
        <f>'Total exports'!C54/SUM('Total exports'!C$3:C$73)</f>
        <v>1.8043788959314393E-2</v>
      </c>
      <c r="D54">
        <f>'Total exports'!D54/SUM('Total exports'!D$3:D$73)</f>
        <v>8.1944770725615214E-3</v>
      </c>
      <c r="E54">
        <f>'Total exports'!E54/SUM('Total exports'!E$3:E$73)</f>
        <v>1.5431325001719471E-2</v>
      </c>
      <c r="F54">
        <f>'Total exports'!F54/SUM('Total exports'!F$3:F$73)</f>
        <v>1.5844470909142025E-2</v>
      </c>
      <c r="G54">
        <f>'Total exports'!G54/SUM('Total exports'!G$3:G$73)</f>
        <v>1.3382790315171955E-2</v>
      </c>
      <c r="H54">
        <f>'Total exports'!H54/SUM('Total exports'!H$3:H$73)</f>
        <v>1.6278220945827974E-2</v>
      </c>
      <c r="I54">
        <f>'Total exports'!I54/SUM('Total exports'!I$3:I$73)</f>
        <v>1.2879298813460564E-2</v>
      </c>
      <c r="J54">
        <f>'Total exports'!J54/SUM('Total exports'!J$3:J$73)</f>
        <v>1.1563730289276482E-2</v>
      </c>
      <c r="K54">
        <f>'Total exports'!K54/SUM('Total exports'!K$3:K$73)</f>
        <v>1.1188106423142996E-2</v>
      </c>
      <c r="L54">
        <f>'Total exports'!L54/SUM('Total exports'!L$3:L$73)</f>
        <v>1.1310010964135237E-2</v>
      </c>
      <c r="M54">
        <f>'Total exports'!M54/SUM('Total exports'!M$3:M$73)</f>
        <v>1.0998332551357851E-2</v>
      </c>
      <c r="N54">
        <f>'Total exports'!N54/SUM('Total exports'!N$3:N$73)</f>
        <v>1.0852296776423047E-2</v>
      </c>
      <c r="O54">
        <f>'Total exports'!O54/SUM('Total exports'!O$3:O$73)</f>
        <v>1.0871872368941273E-2</v>
      </c>
      <c r="P54">
        <f>'Total exports'!P54/SUM('Total exports'!P$3:P$73)</f>
        <v>1.0728771535250849E-2</v>
      </c>
      <c r="Q54">
        <f>'Total exports'!Q54/SUM('Total exports'!Q$3:Q$73)</f>
        <v>1.0638998560298743E-2</v>
      </c>
      <c r="R54">
        <f>'Total exports'!R54/SUM('Total exports'!R$3:R$73)</f>
        <v>1.0580113831194293E-2</v>
      </c>
      <c r="S54">
        <f>'Total exports'!S54/SUM('Total exports'!S$3:S$73)</f>
        <v>1.0580855380750789E-2</v>
      </c>
      <c r="T54">
        <f>'Total exports'!T54/SUM('Total exports'!T$3:T$73)</f>
        <v>1.0611153983165521E-2</v>
      </c>
      <c r="U54">
        <f>'Total exports'!U54/SUM('Total exports'!U$3:U$73)</f>
        <v>1.0615023153815789E-2</v>
      </c>
      <c r="V54">
        <f>'Total exports'!V54/SUM('Total exports'!V$3:V$73)</f>
        <v>1.0752881363457447E-2</v>
      </c>
      <c r="W54">
        <f>'Total exports'!W54/SUM('Total exports'!W$3:W$73)</f>
        <v>1.0825463027511308E-2</v>
      </c>
      <c r="X54">
        <f>'Total exports'!X54/SUM('Total exports'!X$3:X$73)</f>
        <v>1.089972762220349E-2</v>
      </c>
      <c r="Y54">
        <f>'Total exports'!Y54/SUM('Total exports'!Y$3:Y$73)</f>
        <v>1.0972783227204878E-2</v>
      </c>
      <c r="Z54">
        <f>'Total exports'!Z54/SUM('Total exports'!Z$3:Z$73)</f>
        <v>1.1043556574369801E-2</v>
      </c>
      <c r="AA54">
        <f>'Total exports'!AA54/SUM('Total exports'!AA$3:AA$73)</f>
        <v>1.1113128421696868E-2</v>
      </c>
      <c r="AB54">
        <f>'Total exports'!AB54/SUM('Total exports'!AB$3:AB$73)</f>
        <v>1.1180867973738382E-2</v>
      </c>
      <c r="AC54">
        <f>'Total exports'!AC54/SUM('Total exports'!AC$3:AC$73)</f>
        <v>1.1246537731582101E-2</v>
      </c>
      <c r="AD54">
        <f>'Total exports'!AD54/SUM('Total exports'!AD$3:AD$73)</f>
        <v>1.1311007635070933E-2</v>
      </c>
      <c r="AE54">
        <f>'Total exports'!AE54/SUM('Total exports'!AE$3:AE$73)</f>
        <v>1.137358334101451E-2</v>
      </c>
      <c r="AF54">
        <f>'Total exports'!AF54/SUM('Total exports'!AF$3:AF$73)</f>
        <v>1.1435262298099408E-2</v>
      </c>
      <c r="AG54">
        <f>'Total exports'!AG54/SUM('Total exports'!AG$3:AG$73)</f>
        <v>1.1497627613412741E-2</v>
      </c>
      <c r="AH54">
        <f>'Total exports'!AH54/SUM('Total exports'!AH$3:AH$73)</f>
        <v>1.1560447029845215E-2</v>
      </c>
      <c r="AI54">
        <f>'Total exports'!AI54/SUM('Total exports'!AI$3:AI$73)</f>
        <v>1.1623289206118641E-2</v>
      </c>
      <c r="AJ54">
        <f>'Total exports'!AJ54/SUM('Total exports'!AJ$3:AJ$73)</f>
        <v>1.16853664817011E-2</v>
      </c>
      <c r="AK54">
        <f>'Total exports'!AK54/SUM('Total exports'!AK$3:AK$73)</f>
        <v>1.1748524233794643E-2</v>
      </c>
      <c r="AL54">
        <f>'Total exports'!AL54/SUM('Total exports'!AL$3:AL$73)</f>
        <v>1.181238561830286E-2</v>
      </c>
      <c r="AM54">
        <f>'Total exports'!AM54/SUM('Total exports'!AM$3:AM$73)</f>
        <v>1.1876593841177292E-2</v>
      </c>
      <c r="AN54">
        <f>'Total exports'!AN54/SUM('Total exports'!AN$3:AN$73)</f>
        <v>1.1941046542023482E-2</v>
      </c>
      <c r="AO54">
        <f>'Total exports'!AO54/SUM('Total exports'!AO$3:AO$73)</f>
        <v>1.2005791263616424E-2</v>
      </c>
      <c r="AP54">
        <f>'Total exports'!AP54/SUM('Total exports'!AP$3:AP$73)</f>
        <v>1.2070717110262263E-2</v>
      </c>
    </row>
    <row r="55" spans="1:42" x14ac:dyDescent="0.3">
      <c r="A55" t="s">
        <v>202</v>
      </c>
      <c r="B55">
        <f>'Total exports'!B55/SUM('Total exports'!B$3:B$73)</f>
        <v>8.4530340444166643E-2</v>
      </c>
      <c r="C55">
        <f>'Total exports'!C55/SUM('Total exports'!C$3:C$73)</f>
        <v>8.4966590144808035E-2</v>
      </c>
      <c r="D55">
        <f>'Total exports'!D55/SUM('Total exports'!D$3:D$73)</f>
        <v>8.3403734102621405E-2</v>
      </c>
      <c r="E55">
        <f>'Total exports'!E55/SUM('Total exports'!E$3:E$73)</f>
        <v>8.520906514493716E-2</v>
      </c>
      <c r="F55">
        <f>'Total exports'!F55/SUM('Total exports'!F$3:F$73)</f>
        <v>8.476462654961385E-2</v>
      </c>
      <c r="G55">
        <f>'Total exports'!G55/SUM('Total exports'!G$3:G$73)</f>
        <v>8.6184391342824976E-2</v>
      </c>
      <c r="H55">
        <f>'Total exports'!H55/SUM('Total exports'!H$3:H$73)</f>
        <v>8.7347789792012867E-2</v>
      </c>
      <c r="I55">
        <f>'Total exports'!I55/SUM('Total exports'!I$3:I$73)</f>
        <v>8.5980088485475462E-2</v>
      </c>
      <c r="J55">
        <f>'Total exports'!J55/SUM('Total exports'!J$3:J$73)</f>
        <v>8.5112034056087513E-2</v>
      </c>
      <c r="K55">
        <f>'Total exports'!K55/SUM('Total exports'!K$3:K$73)</f>
        <v>8.4656908573176065E-2</v>
      </c>
      <c r="L55">
        <f>'Total exports'!L55/SUM('Total exports'!L$3:L$73)</f>
        <v>8.4553541336693391E-2</v>
      </c>
      <c r="M55">
        <f>'Total exports'!M55/SUM('Total exports'!M$3:M$73)</f>
        <v>8.3726416197982489E-2</v>
      </c>
      <c r="N55">
        <f>'Total exports'!N55/SUM('Total exports'!N$3:N$73)</f>
        <v>8.1189386879829337E-2</v>
      </c>
      <c r="O55">
        <f>'Total exports'!O55/SUM('Total exports'!O$3:O$73)</f>
        <v>8.24551232987452E-2</v>
      </c>
      <c r="P55">
        <f>'Total exports'!P55/SUM('Total exports'!P$3:P$73)</f>
        <v>8.3212626604703868E-2</v>
      </c>
      <c r="Q55">
        <f>'Total exports'!Q55/SUM('Total exports'!Q$3:Q$73)</f>
        <v>8.369607154081414E-2</v>
      </c>
      <c r="R55">
        <f>'Total exports'!R55/SUM('Total exports'!R$3:R$73)</f>
        <v>8.4539677374871489E-2</v>
      </c>
      <c r="S55">
        <f>'Total exports'!S55/SUM('Total exports'!S$3:S$73)</f>
        <v>8.5553749546008695E-2</v>
      </c>
      <c r="T55">
        <f>'Total exports'!T55/SUM('Total exports'!T$3:T$73)</f>
        <v>8.4772771367450511E-2</v>
      </c>
      <c r="U55">
        <f>'Total exports'!U55/SUM('Total exports'!U$3:U$73)</f>
        <v>8.4866529975959296E-2</v>
      </c>
      <c r="V55">
        <f>'Total exports'!V55/SUM('Total exports'!V$3:V$73)</f>
        <v>8.4896060868748138E-2</v>
      </c>
      <c r="W55">
        <f>'Total exports'!W55/SUM('Total exports'!W$3:W$73)</f>
        <v>8.4968487514424595E-2</v>
      </c>
      <c r="X55">
        <f>'Total exports'!X55/SUM('Total exports'!X$3:X$73)</f>
        <v>8.5047006484962842E-2</v>
      </c>
      <c r="Y55">
        <f>'Total exports'!Y55/SUM('Total exports'!Y$3:Y$73)</f>
        <v>8.5115497041686611E-2</v>
      </c>
      <c r="Z55">
        <f>'Total exports'!Z55/SUM('Total exports'!Z$3:Z$73)</f>
        <v>8.5167109148665252E-2</v>
      </c>
      <c r="AA55">
        <f>'Total exports'!AA55/SUM('Total exports'!AA$3:AA$73)</f>
        <v>8.520191514406919E-2</v>
      </c>
      <c r="AB55">
        <f>'Total exports'!AB55/SUM('Total exports'!AB$3:AB$73)</f>
        <v>8.5222015941436677E-2</v>
      </c>
      <c r="AC55">
        <f>'Total exports'!AC55/SUM('Total exports'!AC$3:AC$73)</f>
        <v>8.5223801661771403E-2</v>
      </c>
      <c r="AD55">
        <f>'Total exports'!AD55/SUM('Total exports'!AD$3:AD$73)</f>
        <v>8.5214091496887967E-2</v>
      </c>
      <c r="AE55">
        <f>'Total exports'!AE55/SUM('Total exports'!AE$3:AE$73)</f>
        <v>8.5188724888684869E-2</v>
      </c>
      <c r="AF55">
        <f>'Total exports'!AF55/SUM('Total exports'!AF$3:AF$73)</f>
        <v>8.5149238520072543E-2</v>
      </c>
      <c r="AG55">
        <f>'Total exports'!AG55/SUM('Total exports'!AG$3:AG$73)</f>
        <v>8.5113007736444937E-2</v>
      </c>
      <c r="AH55">
        <f>'Total exports'!AH55/SUM('Total exports'!AH$3:AH$73)</f>
        <v>8.5078453961548728E-2</v>
      </c>
      <c r="AI55">
        <f>'Total exports'!AI55/SUM('Total exports'!AI$3:AI$73)</f>
        <v>8.5046154860356785E-2</v>
      </c>
      <c r="AJ55">
        <f>'Total exports'!AJ55/SUM('Total exports'!AJ$3:AJ$73)</f>
        <v>8.5010614812044208E-2</v>
      </c>
      <c r="AK55">
        <f>'Total exports'!AK55/SUM('Total exports'!AK$3:AK$73)</f>
        <v>8.4976168557453782E-2</v>
      </c>
      <c r="AL55">
        <f>'Total exports'!AL55/SUM('Total exports'!AL$3:AL$73)</f>
        <v>8.494204002995473E-2</v>
      </c>
      <c r="AM55">
        <f>'Total exports'!AM55/SUM('Total exports'!AM$3:AM$73)</f>
        <v>8.4911091542781356E-2</v>
      </c>
      <c r="AN55">
        <f>'Total exports'!AN55/SUM('Total exports'!AN$3:AN$73)</f>
        <v>8.4877493192173387E-2</v>
      </c>
      <c r="AO55">
        <f>'Total exports'!AO55/SUM('Total exports'!AO$3:AO$73)</f>
        <v>8.484680984463569E-2</v>
      </c>
      <c r="AP55">
        <f>'Total exports'!AP55/SUM('Total exports'!AP$3:AP$73)</f>
        <v>8.4812073218579379E-2</v>
      </c>
    </row>
    <row r="56" spans="1:42" x14ac:dyDescent="0.3">
      <c r="A56" t="s">
        <v>203</v>
      </c>
      <c r="B56">
        <f>'Total exports'!B56/SUM('Total exports'!B$3:B$73)</f>
        <v>4.4096238705219138E-3</v>
      </c>
      <c r="C56">
        <f>'Total exports'!C56/SUM('Total exports'!C$3:C$73)</f>
        <v>4.2336230945095926E-3</v>
      </c>
      <c r="D56">
        <f>'Total exports'!D56/SUM('Total exports'!D$3:D$73)</f>
        <v>3.8667067312417903E-3</v>
      </c>
      <c r="E56">
        <f>'Total exports'!E56/SUM('Total exports'!E$3:E$73)</f>
        <v>3.450567136147747E-3</v>
      </c>
      <c r="F56">
        <f>'Total exports'!F56/SUM('Total exports'!F$3:F$73)</f>
        <v>2.8316105355259196E-3</v>
      </c>
      <c r="G56">
        <f>'Total exports'!G56/SUM('Total exports'!G$3:G$73)</f>
        <v>2.3680531563049388E-3</v>
      </c>
      <c r="H56">
        <f>'Total exports'!H56/SUM('Total exports'!H$3:H$73)</f>
        <v>2.3112377397029797E-3</v>
      </c>
      <c r="I56">
        <f>'Total exports'!I56/SUM('Total exports'!I$3:I$73)</f>
        <v>2.2874675735617433E-3</v>
      </c>
      <c r="J56">
        <f>'Total exports'!J56/SUM('Total exports'!J$3:J$73)</f>
        <v>2.1521188955066334E-3</v>
      </c>
      <c r="K56">
        <f>'Total exports'!K56/SUM('Total exports'!K$3:K$73)</f>
        <v>2.1575123641162956E-3</v>
      </c>
      <c r="L56">
        <f>'Total exports'!L56/SUM('Total exports'!L$3:L$73)</f>
        <v>2.1711247328401605E-3</v>
      </c>
      <c r="M56">
        <f>'Total exports'!M56/SUM('Total exports'!M$3:M$73)</f>
        <v>2.090456807005623E-3</v>
      </c>
      <c r="N56">
        <f>'Total exports'!N56/SUM('Total exports'!N$3:N$73)</f>
        <v>1.2789124362535408E-3</v>
      </c>
      <c r="O56">
        <f>'Total exports'!O56/SUM('Total exports'!O$3:O$73)</f>
        <v>1.3118810583868088E-3</v>
      </c>
      <c r="P56">
        <f>'Total exports'!P56/SUM('Total exports'!P$3:P$73)</f>
        <v>1.3343565598415053E-3</v>
      </c>
      <c r="Q56">
        <f>'Total exports'!Q56/SUM('Total exports'!Q$3:Q$73)</f>
        <v>1.3590397139628275E-3</v>
      </c>
      <c r="R56">
        <f>'Total exports'!R56/SUM('Total exports'!R$3:R$73)</f>
        <v>1.387224639102156E-3</v>
      </c>
      <c r="S56">
        <f>'Total exports'!S56/SUM('Total exports'!S$3:S$73)</f>
        <v>1.4187685914242893E-3</v>
      </c>
      <c r="T56">
        <f>'Total exports'!T56/SUM('Total exports'!T$3:T$73)</f>
        <v>1.3642509275948165E-3</v>
      </c>
      <c r="U56">
        <f>'Total exports'!U56/SUM('Total exports'!U$3:U$73)</f>
        <v>1.3535187178803369E-3</v>
      </c>
      <c r="V56">
        <f>'Total exports'!V56/SUM('Total exports'!V$3:V$73)</f>
        <v>1.3502563546299248E-3</v>
      </c>
      <c r="W56">
        <f>'Total exports'!W56/SUM('Total exports'!W$3:W$73)</f>
        <v>1.3430950946153801E-3</v>
      </c>
      <c r="X56">
        <f>'Total exports'!X56/SUM('Total exports'!X$3:X$73)</f>
        <v>1.3358925163895841E-3</v>
      </c>
      <c r="Y56">
        <f>'Total exports'!Y56/SUM('Total exports'!Y$3:Y$73)</f>
        <v>1.3287613394457763E-3</v>
      </c>
      <c r="Z56">
        <f>'Total exports'!Z56/SUM('Total exports'!Z$3:Z$73)</f>
        <v>1.3212431235234295E-3</v>
      </c>
      <c r="AA56">
        <f>'Total exports'!AA56/SUM('Total exports'!AA$3:AA$73)</f>
        <v>1.3132679055938713E-3</v>
      </c>
      <c r="AB56">
        <f>'Total exports'!AB56/SUM('Total exports'!AB$3:AB$73)</f>
        <v>1.305274891371613E-3</v>
      </c>
      <c r="AC56">
        <f>'Total exports'!AC56/SUM('Total exports'!AC$3:AC$73)</f>
        <v>1.2968054977323083E-3</v>
      </c>
      <c r="AD56">
        <f>'Total exports'!AD56/SUM('Total exports'!AD$3:AD$73)</f>
        <v>1.2882110843812395E-3</v>
      </c>
      <c r="AE56">
        <f>'Total exports'!AE56/SUM('Total exports'!AE$3:AE$73)</f>
        <v>1.2795564712421703E-3</v>
      </c>
      <c r="AF56">
        <f>'Total exports'!AF56/SUM('Total exports'!AF$3:AF$73)</f>
        <v>1.2703581844940783E-3</v>
      </c>
      <c r="AG56">
        <f>'Total exports'!AG56/SUM('Total exports'!AG$3:AG$73)</f>
        <v>1.2612563861061246E-3</v>
      </c>
      <c r="AH56">
        <f>'Total exports'!AH56/SUM('Total exports'!AH$3:AH$73)</f>
        <v>1.2523130447510487E-3</v>
      </c>
      <c r="AI56">
        <f>'Total exports'!AI56/SUM('Total exports'!AI$3:AI$73)</f>
        <v>1.2431995950284759E-3</v>
      </c>
      <c r="AJ56">
        <f>'Total exports'!AJ56/SUM('Total exports'!AJ$3:AJ$73)</f>
        <v>1.234217742899414E-3</v>
      </c>
      <c r="AK56">
        <f>'Total exports'!AK56/SUM('Total exports'!AK$3:AK$73)</f>
        <v>1.2253085483985209E-3</v>
      </c>
      <c r="AL56">
        <f>'Total exports'!AL56/SUM('Total exports'!AL$3:AL$73)</f>
        <v>1.2164095700163721E-3</v>
      </c>
      <c r="AM56">
        <f>'Total exports'!AM56/SUM('Total exports'!AM$3:AM$73)</f>
        <v>1.2075803345336052E-3</v>
      </c>
      <c r="AN56">
        <f>'Total exports'!AN56/SUM('Total exports'!AN$3:AN$73)</f>
        <v>1.1986447462010331E-3</v>
      </c>
      <c r="AO56">
        <f>'Total exports'!AO56/SUM('Total exports'!AO$3:AO$73)</f>
        <v>1.1898865078025264E-3</v>
      </c>
      <c r="AP56">
        <f>'Total exports'!AP56/SUM('Total exports'!AP$3:AP$73)</f>
        <v>1.1809600412910632E-3</v>
      </c>
    </row>
    <row r="57" spans="1:42" x14ac:dyDescent="0.3">
      <c r="A57" t="s">
        <v>204</v>
      </c>
      <c r="B57">
        <f>'Total exports'!B57/SUM('Total exports'!B$3:B$73)</f>
        <v>1.8270368759322305E-2</v>
      </c>
      <c r="C57">
        <f>'Total exports'!C57/SUM('Total exports'!C$3:C$73)</f>
        <v>1.8804901350380755E-2</v>
      </c>
      <c r="D57">
        <f>'Total exports'!D57/SUM('Total exports'!D$3:D$73)</f>
        <v>1.8756690341587598E-2</v>
      </c>
      <c r="E57">
        <f>'Total exports'!E57/SUM('Total exports'!E$3:E$73)</f>
        <v>1.8729637288637309E-2</v>
      </c>
      <c r="F57">
        <f>'Total exports'!F57/SUM('Total exports'!F$3:F$73)</f>
        <v>1.7069118717693489E-2</v>
      </c>
      <c r="G57">
        <f>'Total exports'!G57/SUM('Total exports'!G$3:G$73)</f>
        <v>1.4331218319929815E-2</v>
      </c>
      <c r="H57">
        <f>'Total exports'!H57/SUM('Total exports'!H$3:H$73)</f>
        <v>1.4703800644571441E-2</v>
      </c>
      <c r="I57">
        <f>'Total exports'!I57/SUM('Total exports'!I$3:I$73)</f>
        <v>1.193380537977611E-2</v>
      </c>
      <c r="J57">
        <f>'Total exports'!J57/SUM('Total exports'!J$3:J$73)</f>
        <v>1.3233219040109807E-2</v>
      </c>
      <c r="K57">
        <f>'Total exports'!K57/SUM('Total exports'!K$3:K$73)</f>
        <v>1.2897993000729526E-2</v>
      </c>
      <c r="L57">
        <f>'Total exports'!L57/SUM('Total exports'!L$3:L$73)</f>
        <v>1.2927466069825805E-2</v>
      </c>
      <c r="M57">
        <f>'Total exports'!M57/SUM('Total exports'!M$3:M$73)</f>
        <v>1.2433683272307287E-2</v>
      </c>
      <c r="N57">
        <f>'Total exports'!N57/SUM('Total exports'!N$3:N$73)</f>
        <v>1.2582603966591499E-2</v>
      </c>
      <c r="O57">
        <f>'Total exports'!O57/SUM('Total exports'!O$3:O$73)</f>
        <v>1.2743386534349812E-2</v>
      </c>
      <c r="P57">
        <f>'Total exports'!P57/SUM('Total exports'!P$3:P$73)</f>
        <v>1.2626915432734717E-2</v>
      </c>
      <c r="Q57">
        <f>'Total exports'!Q57/SUM('Total exports'!Q$3:Q$73)</f>
        <v>1.2581891965899801E-2</v>
      </c>
      <c r="R57">
        <f>'Total exports'!R57/SUM('Total exports'!R$3:R$73)</f>
        <v>1.259949898799473E-2</v>
      </c>
      <c r="S57">
        <f>'Total exports'!S57/SUM('Total exports'!S$3:S$73)</f>
        <v>1.2640459923461566E-2</v>
      </c>
      <c r="T57">
        <f>'Total exports'!T57/SUM('Total exports'!T$3:T$73)</f>
        <v>1.2614581566396318E-2</v>
      </c>
      <c r="U57">
        <f>'Total exports'!U57/SUM('Total exports'!U$3:U$73)</f>
        <v>1.2615821125419152E-2</v>
      </c>
      <c r="V57">
        <f>'Total exports'!V57/SUM('Total exports'!V$3:V$73)</f>
        <v>1.2781892854532946E-2</v>
      </c>
      <c r="W57">
        <f>'Total exports'!W57/SUM('Total exports'!W$3:W$73)</f>
        <v>1.2867634427560393E-2</v>
      </c>
      <c r="X57">
        <f>'Total exports'!X57/SUM('Total exports'!X$3:X$73)</f>
        <v>1.2955126779110695E-2</v>
      </c>
      <c r="Y57">
        <f>'Total exports'!Y57/SUM('Total exports'!Y$3:Y$73)</f>
        <v>1.3041204064613796E-2</v>
      </c>
      <c r="Z57">
        <f>'Total exports'!Z57/SUM('Total exports'!Z$3:Z$73)</f>
        <v>1.3124537107426067E-2</v>
      </c>
      <c r="AA57">
        <f>'Total exports'!AA57/SUM('Total exports'!AA$3:AA$73)</f>
        <v>1.3206223324397155E-2</v>
      </c>
      <c r="AB57">
        <f>'Total exports'!AB57/SUM('Total exports'!AB$3:AB$73)</f>
        <v>1.3285710774277912E-2</v>
      </c>
      <c r="AC57">
        <f>'Total exports'!AC57/SUM('Total exports'!AC$3:AC$73)</f>
        <v>1.3362861186417876E-2</v>
      </c>
      <c r="AD57">
        <f>'Total exports'!AD57/SUM('Total exports'!AD$3:AD$73)</f>
        <v>1.3438813507461136E-2</v>
      </c>
      <c r="AE57">
        <f>'Total exports'!AE57/SUM('Total exports'!AE$3:AE$73)</f>
        <v>1.3513672501756818E-2</v>
      </c>
      <c r="AF57">
        <f>'Total exports'!AF57/SUM('Total exports'!AF$3:AF$73)</f>
        <v>1.3587193891419158E-2</v>
      </c>
      <c r="AG57">
        <f>'Total exports'!AG57/SUM('Total exports'!AG$3:AG$73)</f>
        <v>1.3661901956998582E-2</v>
      </c>
      <c r="AH57">
        <f>'Total exports'!AH57/SUM('Total exports'!AH$3:AH$73)</f>
        <v>1.3737758830665008E-2</v>
      </c>
      <c r="AI57">
        <f>'Total exports'!AI57/SUM('Total exports'!AI$3:AI$73)</f>
        <v>1.3814003381547826E-2</v>
      </c>
      <c r="AJ57">
        <f>'Total exports'!AJ57/SUM('Total exports'!AJ$3:AJ$73)</f>
        <v>1.3888130512471609E-2</v>
      </c>
      <c r="AK57">
        <f>'Total exports'!AK57/SUM('Total exports'!AK$3:AK$73)</f>
        <v>1.3963199851369136E-2</v>
      </c>
      <c r="AL57">
        <f>'Total exports'!AL57/SUM('Total exports'!AL$3:AL$73)</f>
        <v>1.4038518345545406E-2</v>
      </c>
      <c r="AM57">
        <f>'Total exports'!AM57/SUM('Total exports'!AM$3:AM$73)</f>
        <v>1.4114629622619021E-2</v>
      </c>
      <c r="AN57">
        <f>'Total exports'!AN57/SUM('Total exports'!AN$3:AN$73)</f>
        <v>1.4191444676635334E-2</v>
      </c>
      <c r="AO57">
        <f>'Total exports'!AO57/SUM('Total exports'!AO$3:AO$73)</f>
        <v>1.426881734574096E-2</v>
      </c>
      <c r="AP57">
        <f>'Total exports'!AP57/SUM('Total exports'!AP$3:AP$73)</f>
        <v>1.434693463377076E-2</v>
      </c>
    </row>
    <row r="58" spans="1:42" x14ac:dyDescent="0.3">
      <c r="A58" t="s">
        <v>205</v>
      </c>
      <c r="B58">
        <f>'Total exports'!B58/SUM('Total exports'!B$3:B$73)</f>
        <v>6.536222060808985E-3</v>
      </c>
      <c r="C58">
        <f>'Total exports'!C58/SUM('Total exports'!C$3:C$73)</f>
        <v>7.6236645348400399E-3</v>
      </c>
      <c r="D58">
        <f>'Total exports'!D58/SUM('Total exports'!D$3:D$73)</f>
        <v>7.0978873662171735E-3</v>
      </c>
      <c r="E58">
        <f>'Total exports'!E58/SUM('Total exports'!E$3:E$73)</f>
        <v>5.3644218503070022E-3</v>
      </c>
      <c r="F58">
        <f>'Total exports'!F58/SUM('Total exports'!F$3:F$73)</f>
        <v>6.3506593408136532E-3</v>
      </c>
      <c r="G58">
        <f>'Total exports'!G58/SUM('Total exports'!G$3:G$73)</f>
        <v>6.269861369328035E-3</v>
      </c>
      <c r="H58">
        <f>'Total exports'!H58/SUM('Total exports'!H$3:H$73)</f>
        <v>6.9439607864774369E-3</v>
      </c>
      <c r="I58">
        <f>'Total exports'!I58/SUM('Total exports'!I$3:I$73)</f>
        <v>7.1516107086243589E-3</v>
      </c>
      <c r="J58">
        <f>'Total exports'!J58/SUM('Total exports'!J$3:J$73)</f>
        <v>6.7216563223029893E-3</v>
      </c>
      <c r="K58">
        <f>'Total exports'!K58/SUM('Total exports'!K$3:K$73)</f>
        <v>6.6737889993216323E-3</v>
      </c>
      <c r="L58">
        <f>'Total exports'!L58/SUM('Total exports'!L$3:L$73)</f>
        <v>6.8525580935129924E-3</v>
      </c>
      <c r="M58">
        <f>'Total exports'!M58/SUM('Total exports'!M$3:M$73)</f>
        <v>6.6167488552173045E-3</v>
      </c>
      <c r="N58">
        <f>'Total exports'!N58/SUM('Total exports'!N$3:N$73)</f>
        <v>6.4201944254112849E-3</v>
      </c>
      <c r="O58">
        <f>'Total exports'!O58/SUM('Total exports'!O$3:O$73)</f>
        <v>6.4599734522292592E-3</v>
      </c>
      <c r="P58">
        <f>'Total exports'!P58/SUM('Total exports'!P$3:P$73)</f>
        <v>6.4455481465183302E-3</v>
      </c>
      <c r="Q58">
        <f>'Total exports'!Q58/SUM('Total exports'!Q$3:Q$73)</f>
        <v>6.4208588746430114E-3</v>
      </c>
      <c r="R58">
        <f>'Total exports'!R58/SUM('Total exports'!R$3:R$73)</f>
        <v>6.4266568450223145E-3</v>
      </c>
      <c r="S58">
        <f>'Total exports'!S58/SUM('Total exports'!S$3:S$73)</f>
        <v>6.43336996994505E-3</v>
      </c>
      <c r="T58">
        <f>'Total exports'!T58/SUM('Total exports'!T$3:T$73)</f>
        <v>6.5987126681014592E-3</v>
      </c>
      <c r="U58">
        <f>'Total exports'!U58/SUM('Total exports'!U$3:U$73)</f>
        <v>6.6845325491241159E-3</v>
      </c>
      <c r="V58">
        <f>'Total exports'!V58/SUM('Total exports'!V$3:V$73)</f>
        <v>6.8469888438966427E-3</v>
      </c>
      <c r="W58">
        <f>'Total exports'!W58/SUM('Total exports'!W$3:W$73)</f>
        <v>6.9755531011961146E-3</v>
      </c>
      <c r="X58">
        <f>'Total exports'!X58/SUM('Total exports'!X$3:X$73)</f>
        <v>7.1070598453618281E-3</v>
      </c>
      <c r="Y58">
        <f>'Total exports'!Y58/SUM('Total exports'!Y$3:Y$73)</f>
        <v>7.2397247565477744E-3</v>
      </c>
      <c r="Z58">
        <f>'Total exports'!Z58/SUM('Total exports'!Z$3:Z$73)</f>
        <v>7.3729615455224448E-3</v>
      </c>
      <c r="AA58">
        <f>'Total exports'!AA58/SUM('Total exports'!AA$3:AA$73)</f>
        <v>7.507242867179225E-3</v>
      </c>
      <c r="AB58">
        <f>'Total exports'!AB58/SUM('Total exports'!AB$3:AB$73)</f>
        <v>7.6423211708950105E-3</v>
      </c>
      <c r="AC58">
        <f>'Total exports'!AC58/SUM('Total exports'!AC$3:AC$73)</f>
        <v>7.7778432619672912E-3</v>
      </c>
      <c r="AD58">
        <f>'Total exports'!AD58/SUM('Total exports'!AD$3:AD$73)</f>
        <v>7.9143809846827992E-3</v>
      </c>
      <c r="AE58">
        <f>'Total exports'!AE58/SUM('Total exports'!AE$3:AE$73)</f>
        <v>8.0516502445837097E-3</v>
      </c>
      <c r="AF58">
        <f>'Total exports'!AF58/SUM('Total exports'!AF$3:AF$73)</f>
        <v>8.1902366605594509E-3</v>
      </c>
      <c r="AG58">
        <f>'Total exports'!AG58/SUM('Total exports'!AG$3:AG$73)</f>
        <v>8.3311816093870616E-3</v>
      </c>
      <c r="AH58">
        <f>'Total exports'!AH58/SUM('Total exports'!AH$3:AH$73)</f>
        <v>8.4743364496665096E-3</v>
      </c>
      <c r="AI58">
        <f>'Total exports'!AI58/SUM('Total exports'!AI$3:AI$73)</f>
        <v>8.6195120788887351E-3</v>
      </c>
      <c r="AJ58">
        <f>'Total exports'!AJ58/SUM('Total exports'!AJ$3:AJ$73)</f>
        <v>8.7661345935849105E-3</v>
      </c>
      <c r="AK58">
        <f>'Total exports'!AK58/SUM('Total exports'!AK$3:AK$73)</f>
        <v>8.9154929296997379E-3</v>
      </c>
      <c r="AL58">
        <f>'Total exports'!AL58/SUM('Total exports'!AL$3:AL$73)</f>
        <v>9.0674533008535327E-3</v>
      </c>
      <c r="AM58">
        <f>'Total exports'!AM58/SUM('Total exports'!AM$3:AM$73)</f>
        <v>9.2217627965939467E-3</v>
      </c>
      <c r="AN58">
        <f>'Total exports'!AN58/SUM('Total exports'!AN$3:AN$73)</f>
        <v>9.3784071255738673E-3</v>
      </c>
      <c r="AO58">
        <f>'Total exports'!AO58/SUM('Total exports'!AO$3:AO$73)</f>
        <v>9.5373661801824022E-3</v>
      </c>
      <c r="AP58">
        <f>'Total exports'!AP58/SUM('Total exports'!AP$3:AP$73)</f>
        <v>9.6987303834897877E-3</v>
      </c>
    </row>
    <row r="59" spans="1:42" x14ac:dyDescent="0.3">
      <c r="A59" t="s">
        <v>206</v>
      </c>
      <c r="B59">
        <f>'Total exports'!B59/SUM('Total exports'!B$3:B$73)</f>
        <v>6.2645466292682141E-3</v>
      </c>
      <c r="C59">
        <f>'Total exports'!C59/SUM('Total exports'!C$3:C$73)</f>
        <v>6.0632144266634189E-3</v>
      </c>
      <c r="D59">
        <f>'Total exports'!D59/SUM('Total exports'!D$3:D$73)</f>
        <v>5.9786160611257824E-3</v>
      </c>
      <c r="E59">
        <f>'Total exports'!E59/SUM('Total exports'!E$3:E$73)</f>
        <v>5.9777250274171577E-3</v>
      </c>
      <c r="F59">
        <f>'Total exports'!F59/SUM('Total exports'!F$3:F$73)</f>
        <v>7.2397650278522054E-3</v>
      </c>
      <c r="G59">
        <f>'Total exports'!G59/SUM('Total exports'!G$3:G$73)</f>
        <v>7.3518307141276062E-3</v>
      </c>
      <c r="H59">
        <f>'Total exports'!H59/SUM('Total exports'!H$3:H$73)</f>
        <v>7.3348860579338657E-3</v>
      </c>
      <c r="I59">
        <f>'Total exports'!I59/SUM('Total exports'!I$3:I$73)</f>
        <v>7.0411186819927061E-3</v>
      </c>
      <c r="J59">
        <f>'Total exports'!J59/SUM('Total exports'!J$3:J$73)</f>
        <v>6.8294489456616654E-3</v>
      </c>
      <c r="K59">
        <f>'Total exports'!K59/SUM('Total exports'!K$3:K$73)</f>
        <v>6.6544327770433299E-3</v>
      </c>
      <c r="L59">
        <f>'Total exports'!L59/SUM('Total exports'!L$3:L$73)</f>
        <v>6.5162408269113826E-3</v>
      </c>
      <c r="M59">
        <f>'Total exports'!M59/SUM('Total exports'!M$3:M$73)</f>
        <v>6.3688520054732975E-3</v>
      </c>
      <c r="N59">
        <f>'Total exports'!N59/SUM('Total exports'!N$3:N$73)</f>
        <v>6.1154787454831532E-3</v>
      </c>
      <c r="O59">
        <f>'Total exports'!O59/SUM('Total exports'!O$3:O$73)</f>
        <v>6.0401323596038755E-3</v>
      </c>
      <c r="P59">
        <f>'Total exports'!P59/SUM('Total exports'!P$3:P$73)</f>
        <v>5.9491864153209013E-3</v>
      </c>
      <c r="Q59">
        <f>'Total exports'!Q59/SUM('Total exports'!Q$3:Q$73)</f>
        <v>5.8472371464670814E-3</v>
      </c>
      <c r="R59">
        <f>'Total exports'!R59/SUM('Total exports'!R$3:R$73)</f>
        <v>5.7633766087669029E-3</v>
      </c>
      <c r="S59">
        <f>'Total exports'!S59/SUM('Total exports'!S$3:S$73)</f>
        <v>5.6845942962376814E-3</v>
      </c>
      <c r="T59">
        <f>'Total exports'!T59/SUM('Total exports'!T$3:T$73)</f>
        <v>5.5860741922063245E-3</v>
      </c>
      <c r="U59">
        <f>'Total exports'!U59/SUM('Total exports'!U$3:U$73)</f>
        <v>5.498823416755309E-3</v>
      </c>
      <c r="V59">
        <f>'Total exports'!V59/SUM('Total exports'!V$3:V$73)</f>
        <v>5.6151514610530331E-3</v>
      </c>
      <c r="W59">
        <f>'Total exports'!W59/SUM('Total exports'!W$3:W$73)</f>
        <v>5.6305214196563699E-3</v>
      </c>
      <c r="X59">
        <f>'Total exports'!X59/SUM('Total exports'!X$3:X$73)</f>
        <v>5.6469412076579637E-3</v>
      </c>
      <c r="Y59">
        <f>'Total exports'!Y59/SUM('Total exports'!Y$3:Y$73)</f>
        <v>5.6630369720865143E-3</v>
      </c>
      <c r="Z59">
        <f>'Total exports'!Z59/SUM('Total exports'!Z$3:Z$73)</f>
        <v>5.6776356264548423E-3</v>
      </c>
      <c r="AA59">
        <f>'Total exports'!AA59/SUM('Total exports'!AA$3:AA$73)</f>
        <v>5.6911303318149756E-3</v>
      </c>
      <c r="AB59">
        <f>'Total exports'!AB59/SUM('Total exports'!AB$3:AB$73)</f>
        <v>5.7041134997049192E-3</v>
      </c>
      <c r="AC59">
        <f>'Total exports'!AC59/SUM('Total exports'!AC$3:AC$73)</f>
        <v>5.7150401205332269E-3</v>
      </c>
      <c r="AD59">
        <f>'Total exports'!AD59/SUM('Total exports'!AD$3:AD$73)</f>
        <v>5.7255300500597449E-3</v>
      </c>
      <c r="AE59">
        <f>'Total exports'!AE59/SUM('Total exports'!AE$3:AE$73)</f>
        <v>5.7353840995853994E-3</v>
      </c>
      <c r="AF59">
        <f>'Total exports'!AF59/SUM('Total exports'!AF$3:AF$73)</f>
        <v>5.7440422464411283E-3</v>
      </c>
      <c r="AG59">
        <f>'Total exports'!AG59/SUM('Total exports'!AG$3:AG$73)</f>
        <v>5.7530073001408714E-3</v>
      </c>
      <c r="AH59">
        <f>'Total exports'!AH59/SUM('Total exports'!AH$3:AH$73)</f>
        <v>5.7618024753459274E-3</v>
      </c>
      <c r="AI59">
        <f>'Total exports'!AI59/SUM('Total exports'!AI$3:AI$73)</f>
        <v>5.7709908130839926E-3</v>
      </c>
      <c r="AJ59">
        <f>'Total exports'!AJ59/SUM('Total exports'!AJ$3:AJ$73)</f>
        <v>5.7804267863745843E-3</v>
      </c>
      <c r="AK59">
        <f>'Total exports'!AK59/SUM('Total exports'!AK$3:AK$73)</f>
        <v>5.7893663274782726E-3</v>
      </c>
      <c r="AL59">
        <f>'Total exports'!AL59/SUM('Total exports'!AL$3:AL$73)</f>
        <v>5.7983814742585222E-3</v>
      </c>
      <c r="AM59">
        <f>'Total exports'!AM59/SUM('Total exports'!AM$3:AM$73)</f>
        <v>5.8074614116324771E-3</v>
      </c>
      <c r="AN59">
        <f>'Total exports'!AN59/SUM('Total exports'!AN$3:AN$73)</f>
        <v>5.8166790105056605E-3</v>
      </c>
      <c r="AO59">
        <f>'Total exports'!AO59/SUM('Total exports'!AO$3:AO$73)</f>
        <v>5.8258029916406374E-3</v>
      </c>
      <c r="AP59">
        <f>'Total exports'!AP59/SUM('Total exports'!AP$3:AP$73)</f>
        <v>5.8351209706644083E-3</v>
      </c>
    </row>
    <row r="60" spans="1:42" x14ac:dyDescent="0.3">
      <c r="A60" t="s">
        <v>207</v>
      </c>
      <c r="B60">
        <f>'Total exports'!B60/SUM('Total exports'!B$3:B$73)</f>
        <v>7.0790570387730617E-3</v>
      </c>
      <c r="C60">
        <f>'Total exports'!C60/SUM('Total exports'!C$3:C$73)</f>
        <v>2.4221624939463429E-3</v>
      </c>
      <c r="D60">
        <f>'Total exports'!D60/SUM('Total exports'!D$3:D$73)</f>
        <v>3.834180845486302E-3</v>
      </c>
      <c r="E60">
        <f>'Total exports'!E60/SUM('Total exports'!E$3:E$73)</f>
        <v>1.7839734572377072E-3</v>
      </c>
      <c r="F60">
        <f>'Total exports'!F60/SUM('Total exports'!F$3:F$73)</f>
        <v>1.2489719457574183E-3</v>
      </c>
      <c r="G60">
        <f>'Total exports'!G60/SUM('Total exports'!G$3:G$73)</f>
        <v>1.4077014865203747E-3</v>
      </c>
      <c r="H60">
        <f>'Total exports'!H60/SUM('Total exports'!H$3:H$73)</f>
        <v>2.1121530027538109E-3</v>
      </c>
      <c r="I60">
        <f>'Total exports'!I60/SUM('Total exports'!I$3:I$73)</f>
        <v>1.5309621393285804E-3</v>
      </c>
      <c r="J60">
        <f>'Total exports'!J60/SUM('Total exports'!J$3:J$73)</f>
        <v>1.9362351775909724E-3</v>
      </c>
      <c r="K60">
        <f>'Total exports'!K60/SUM('Total exports'!K$3:K$73)</f>
        <v>1.8458659596251458E-3</v>
      </c>
      <c r="L60">
        <f>'Total exports'!L60/SUM('Total exports'!L$3:L$73)</f>
        <v>1.7315810354215566E-3</v>
      </c>
      <c r="M60">
        <f>'Total exports'!M60/SUM('Total exports'!M$3:M$73)</f>
        <v>1.7363959555992793E-3</v>
      </c>
      <c r="N60">
        <f>'Total exports'!N60/SUM('Total exports'!N$3:N$73)</f>
        <v>1.6338352992805441E-3</v>
      </c>
      <c r="O60">
        <f>'Total exports'!O60/SUM('Total exports'!O$3:O$73)</f>
        <v>1.6767443204570838E-3</v>
      </c>
      <c r="P60">
        <f>'Total exports'!P60/SUM('Total exports'!P$3:P$73)</f>
        <v>1.6451013741424479E-3</v>
      </c>
      <c r="Q60">
        <f>'Total exports'!Q60/SUM('Total exports'!Q$3:Q$73)</f>
        <v>1.6407227807549365E-3</v>
      </c>
      <c r="R60">
        <f>'Total exports'!R60/SUM('Total exports'!R$3:R$73)</f>
        <v>1.6246718249288464E-3</v>
      </c>
      <c r="S60">
        <f>'Total exports'!S60/SUM('Total exports'!S$3:S$73)</f>
        <v>1.6162126605215169E-3</v>
      </c>
      <c r="T60">
        <f>'Total exports'!T60/SUM('Total exports'!T$3:T$73)</f>
        <v>1.6689522865964035E-3</v>
      </c>
      <c r="U60">
        <f>'Total exports'!U60/SUM('Total exports'!U$3:U$73)</f>
        <v>1.6936378368034976E-3</v>
      </c>
      <c r="V60">
        <f>'Total exports'!V60/SUM('Total exports'!V$3:V$73)</f>
        <v>1.7340680696046713E-3</v>
      </c>
      <c r="W60">
        <f>'Total exports'!W60/SUM('Total exports'!W$3:W$73)</f>
        <v>1.7670256684558757E-3</v>
      </c>
      <c r="X60">
        <f>'Total exports'!X60/SUM('Total exports'!X$3:X$73)</f>
        <v>1.8008430963878989E-3</v>
      </c>
      <c r="Y60">
        <f>'Total exports'!Y60/SUM('Total exports'!Y$3:Y$73)</f>
        <v>1.8348508635484598E-3</v>
      </c>
      <c r="Z60">
        <f>'Total exports'!Z60/SUM('Total exports'!Z$3:Z$73)</f>
        <v>1.8688705521850057E-3</v>
      </c>
      <c r="AA60">
        <f>'Total exports'!AA60/SUM('Total exports'!AA$3:AA$73)</f>
        <v>1.9030701325444827E-3</v>
      </c>
      <c r="AB60">
        <f>'Total exports'!AB60/SUM('Total exports'!AB$3:AB$73)</f>
        <v>1.9373625293614008E-3</v>
      </c>
      <c r="AC60">
        <f>'Total exports'!AC60/SUM('Total exports'!AC$3:AC$73)</f>
        <v>1.9716486256521927E-3</v>
      </c>
      <c r="AD60">
        <f>'Total exports'!AD60/SUM('Total exports'!AD$3:AD$73)</f>
        <v>2.0061598061446874E-3</v>
      </c>
      <c r="AE60">
        <f>'Total exports'!AE60/SUM('Total exports'!AE$3:AE$73)</f>
        <v>2.0407685620030115E-3</v>
      </c>
      <c r="AF60">
        <f>'Total exports'!AF60/SUM('Total exports'!AF$3:AF$73)</f>
        <v>2.0756126897002645E-3</v>
      </c>
      <c r="AG60">
        <f>'Total exports'!AG60/SUM('Total exports'!AG$3:AG$73)</f>
        <v>2.1109841836519693E-3</v>
      </c>
      <c r="AH60">
        <f>'Total exports'!AH60/SUM('Total exports'!AH$3:AH$73)</f>
        <v>2.1469306199042157E-3</v>
      </c>
      <c r="AI60">
        <f>'Total exports'!AI60/SUM('Total exports'!AI$3:AI$73)</f>
        <v>2.1833071209050327E-3</v>
      </c>
      <c r="AJ60">
        <f>'Total exports'!AJ60/SUM('Total exports'!AJ$3:AJ$73)</f>
        <v>2.2200083918785304E-3</v>
      </c>
      <c r="AK60">
        <f>'Total exports'!AK60/SUM('Total exports'!AK$3:AK$73)</f>
        <v>2.2573471670848297E-3</v>
      </c>
      <c r="AL60">
        <f>'Total exports'!AL60/SUM('Total exports'!AL$3:AL$73)</f>
        <v>2.2953225066525249E-3</v>
      </c>
      <c r="AM60">
        <f>'Total exports'!AM60/SUM('Total exports'!AM$3:AM$73)</f>
        <v>2.3339504885791762E-3</v>
      </c>
      <c r="AN60">
        <f>'Total exports'!AN60/SUM('Total exports'!AN$3:AN$73)</f>
        <v>2.3730021568546486E-3</v>
      </c>
      <c r="AO60">
        <f>'Total exports'!AO60/SUM('Total exports'!AO$3:AO$73)</f>
        <v>2.4126829879197445E-3</v>
      </c>
      <c r="AP60">
        <f>'Total exports'!AP60/SUM('Total exports'!AP$3:AP$73)</f>
        <v>2.4528627555600699E-3</v>
      </c>
    </row>
    <row r="61" spans="1:42" x14ac:dyDescent="0.3">
      <c r="A61" t="s">
        <v>208</v>
      </c>
      <c r="B61">
        <f>'Total exports'!B61/SUM('Total exports'!B$3:B$73)</f>
        <v>4.4277962399930709E-3</v>
      </c>
      <c r="C61">
        <f>'Total exports'!C61/SUM('Total exports'!C$3:C$73)</f>
        <v>3.757500098311013E-3</v>
      </c>
      <c r="D61">
        <f>'Total exports'!D61/SUM('Total exports'!D$3:D$73)</f>
        <v>3.9804053399561251E-3</v>
      </c>
      <c r="E61">
        <f>'Total exports'!E61/SUM('Total exports'!E$3:E$73)</f>
        <v>3.6670400923630481E-3</v>
      </c>
      <c r="F61">
        <f>'Total exports'!F61/SUM('Total exports'!F$3:F$73)</f>
        <v>3.2121816583066459E-3</v>
      </c>
      <c r="G61">
        <f>'Total exports'!G61/SUM('Total exports'!G$3:G$73)</f>
        <v>3.6331260389301074E-3</v>
      </c>
      <c r="H61">
        <f>'Total exports'!H61/SUM('Total exports'!H$3:H$73)</f>
        <v>3.0507598834508751E-3</v>
      </c>
      <c r="I61">
        <f>'Total exports'!I61/SUM('Total exports'!I$3:I$73)</f>
        <v>3.4346457823235311E-3</v>
      </c>
      <c r="J61">
        <f>'Total exports'!J61/SUM('Total exports'!J$3:J$73)</f>
        <v>3.5519841074879736E-3</v>
      </c>
      <c r="K61">
        <f>'Total exports'!K61/SUM('Total exports'!K$3:K$73)</f>
        <v>3.4330329443748161E-3</v>
      </c>
      <c r="L61">
        <f>'Total exports'!L61/SUM('Total exports'!L$3:L$73)</f>
        <v>3.3997309379611702E-3</v>
      </c>
      <c r="M61">
        <f>'Total exports'!M61/SUM('Total exports'!M$3:M$73)</f>
        <v>3.181114735321604E-3</v>
      </c>
      <c r="N61">
        <f>'Total exports'!N61/SUM('Total exports'!N$3:N$73)</f>
        <v>3.0879909808760016E-3</v>
      </c>
      <c r="O61">
        <f>'Total exports'!O61/SUM('Total exports'!O$3:O$73)</f>
        <v>3.1071499171297962E-3</v>
      </c>
      <c r="P61">
        <f>'Total exports'!P61/SUM('Total exports'!P$3:P$73)</f>
        <v>3.0920929874233135E-3</v>
      </c>
      <c r="Q61">
        <f>'Total exports'!Q61/SUM('Total exports'!Q$3:Q$73)</f>
        <v>3.1093738577657828E-3</v>
      </c>
      <c r="R61">
        <f>'Total exports'!R61/SUM('Total exports'!R$3:R$73)</f>
        <v>3.1135454846620753E-3</v>
      </c>
      <c r="S61">
        <f>'Total exports'!S61/SUM('Total exports'!S$3:S$73)</f>
        <v>3.149477617042679E-3</v>
      </c>
      <c r="T61">
        <f>'Total exports'!T61/SUM('Total exports'!T$3:T$73)</f>
        <v>3.2102306879171903E-3</v>
      </c>
      <c r="U61">
        <f>'Total exports'!U61/SUM('Total exports'!U$3:U$73)</f>
        <v>3.2520413991745959E-3</v>
      </c>
      <c r="V61">
        <f>'Total exports'!V61/SUM('Total exports'!V$3:V$73)</f>
        <v>3.3312309767018653E-3</v>
      </c>
      <c r="W61">
        <f>'Total exports'!W61/SUM('Total exports'!W$3:W$73)</f>
        <v>3.3939012336684452E-3</v>
      </c>
      <c r="X61">
        <f>'Total exports'!X61/SUM('Total exports'!X$3:X$73)</f>
        <v>3.4579652099996075E-3</v>
      </c>
      <c r="Y61">
        <f>'Total exports'!Y61/SUM('Total exports'!Y$3:Y$73)</f>
        <v>3.5226065411315521E-3</v>
      </c>
      <c r="Z61">
        <f>'Total exports'!Z61/SUM('Total exports'!Z$3:Z$73)</f>
        <v>3.5874365583585216E-3</v>
      </c>
      <c r="AA61">
        <f>'Total exports'!AA61/SUM('Total exports'!AA$3:AA$73)</f>
        <v>3.6528176739389021E-3</v>
      </c>
      <c r="AB61">
        <f>'Total exports'!AB61/SUM('Total exports'!AB$3:AB$73)</f>
        <v>3.7185397559857704E-3</v>
      </c>
      <c r="AC61">
        <f>'Total exports'!AC61/SUM('Total exports'!AC$3:AC$73)</f>
        <v>3.7844835085311178E-3</v>
      </c>
      <c r="AD61">
        <f>'Total exports'!AD61/SUM('Total exports'!AD$3:AD$73)</f>
        <v>3.8509463529457105E-3</v>
      </c>
      <c r="AE61">
        <f>'Total exports'!AE61/SUM('Total exports'!AE$3:AE$73)</f>
        <v>3.9177604992108725E-3</v>
      </c>
      <c r="AF61">
        <f>'Total exports'!AF61/SUM('Total exports'!AF$3:AF$73)</f>
        <v>3.985215809610595E-3</v>
      </c>
      <c r="AG61">
        <f>'Total exports'!AG61/SUM('Total exports'!AG$3:AG$73)</f>
        <v>4.053817997100511E-3</v>
      </c>
      <c r="AH61">
        <f>'Total exports'!AH61/SUM('Total exports'!AH$3:AH$73)</f>
        <v>4.1234743093478106E-3</v>
      </c>
      <c r="AI61">
        <f>'Total exports'!AI61/SUM('Total exports'!AI$3:AI$73)</f>
        <v>4.1941102765648778E-3</v>
      </c>
      <c r="AJ61">
        <f>'Total exports'!AJ61/SUM('Total exports'!AJ$3:AJ$73)</f>
        <v>4.2654603340281849E-3</v>
      </c>
      <c r="AK61">
        <f>'Total exports'!AK61/SUM('Total exports'!AK$3:AK$73)</f>
        <v>4.3381920645710727E-3</v>
      </c>
      <c r="AL61">
        <f>'Total exports'!AL61/SUM('Total exports'!AL$3:AL$73)</f>
        <v>4.4121737424259403E-3</v>
      </c>
      <c r="AM61">
        <f>'Total exports'!AM61/SUM('Total exports'!AM$3:AM$73)</f>
        <v>4.4872686338398027E-3</v>
      </c>
      <c r="AN61">
        <f>'Total exports'!AN61/SUM('Total exports'!AN$3:AN$73)</f>
        <v>4.5635030782485769E-3</v>
      </c>
      <c r="AO61">
        <f>'Total exports'!AO61/SUM('Total exports'!AO$3:AO$73)</f>
        <v>4.6408615830818168E-3</v>
      </c>
      <c r="AP61">
        <f>'Total exports'!AP61/SUM('Total exports'!AP$3:AP$73)</f>
        <v>4.7191511720726196E-3</v>
      </c>
    </row>
    <row r="62" spans="1:42" x14ac:dyDescent="0.3">
      <c r="A62" t="s">
        <v>209</v>
      </c>
      <c r="B62">
        <f>'Total exports'!B62/SUM('Total exports'!B$3:B$73)</f>
        <v>1.5251729998813714E-2</v>
      </c>
      <c r="C62">
        <f>'Total exports'!C62/SUM('Total exports'!C$3:C$73)</f>
        <v>1.461850401900411E-2</v>
      </c>
      <c r="D62">
        <f>'Total exports'!D62/SUM('Total exports'!D$3:D$73)</f>
        <v>1.3882889579003573E-2</v>
      </c>
      <c r="E62">
        <f>'Total exports'!E62/SUM('Total exports'!E$3:E$73)</f>
        <v>1.3457655251983457E-2</v>
      </c>
      <c r="F62">
        <f>'Total exports'!F62/SUM('Total exports'!F$3:F$73)</f>
        <v>1.3498885504875649E-2</v>
      </c>
      <c r="G62">
        <f>'Total exports'!G62/SUM('Total exports'!G$3:G$73)</f>
        <v>1.2670906160641255E-2</v>
      </c>
      <c r="H62">
        <f>'Total exports'!H62/SUM('Total exports'!H$3:H$73)</f>
        <v>1.2520924282601797E-2</v>
      </c>
      <c r="I62">
        <f>'Total exports'!I62/SUM('Total exports'!I$3:I$73)</f>
        <v>1.3033940275926633E-2</v>
      </c>
      <c r="J62">
        <f>'Total exports'!J62/SUM('Total exports'!J$3:J$73)</f>
        <v>1.2859791376340702E-2</v>
      </c>
      <c r="K62">
        <f>'Total exports'!K62/SUM('Total exports'!K$3:K$73)</f>
        <v>1.3043641881721281E-2</v>
      </c>
      <c r="L62">
        <f>'Total exports'!L62/SUM('Total exports'!L$3:L$73)</f>
        <v>1.2882959407265179E-2</v>
      </c>
      <c r="M62">
        <f>'Total exports'!M62/SUM('Total exports'!M$3:M$73)</f>
        <v>1.237302816827922E-2</v>
      </c>
      <c r="N62">
        <f>'Total exports'!N62/SUM('Total exports'!N$3:N$73)</f>
        <v>1.2265040416955598E-2</v>
      </c>
      <c r="O62">
        <f>'Total exports'!O62/SUM('Total exports'!O$3:O$73)</f>
        <v>1.2506910121960237E-2</v>
      </c>
      <c r="P62">
        <f>'Total exports'!P62/SUM('Total exports'!P$3:P$73)</f>
        <v>1.2788015074563792E-2</v>
      </c>
      <c r="Q62">
        <f>'Total exports'!Q62/SUM('Total exports'!Q$3:Q$73)</f>
        <v>1.2875303152753198E-2</v>
      </c>
      <c r="R62">
        <f>'Total exports'!R62/SUM('Total exports'!R$3:R$73)</f>
        <v>1.3074370189393668E-2</v>
      </c>
      <c r="S62">
        <f>'Total exports'!S62/SUM('Total exports'!S$3:S$73)</f>
        <v>1.3160185885705571E-2</v>
      </c>
      <c r="T62">
        <f>'Total exports'!T62/SUM('Total exports'!T$3:T$73)</f>
        <v>1.3474920915114243E-2</v>
      </c>
      <c r="U62">
        <f>'Total exports'!U62/SUM('Total exports'!U$3:U$73)</f>
        <v>1.3711060952494834E-2</v>
      </c>
      <c r="V62">
        <f>'Total exports'!V62/SUM('Total exports'!V$3:V$73)</f>
        <v>1.3679378338356332E-2</v>
      </c>
      <c r="W62">
        <f>'Total exports'!W62/SUM('Total exports'!W$3:W$73)</f>
        <v>1.3784681693680243E-2</v>
      </c>
      <c r="X62">
        <f>'Total exports'!X62/SUM('Total exports'!X$3:X$73)</f>
        <v>1.3892090267508622E-2</v>
      </c>
      <c r="Y62">
        <f>'Total exports'!Y62/SUM('Total exports'!Y$3:Y$73)</f>
        <v>1.3998323863037218E-2</v>
      </c>
      <c r="Z62">
        <f>'Total exports'!Z62/SUM('Total exports'!Z$3:Z$73)</f>
        <v>1.4101820757054897E-2</v>
      </c>
      <c r="AA62">
        <f>'Total exports'!AA62/SUM('Total exports'!AA$3:AA$73)</f>
        <v>1.4204180010822898E-2</v>
      </c>
      <c r="AB62">
        <f>'Total exports'!AB62/SUM('Total exports'!AB$3:AB$73)</f>
        <v>1.430460272541114E-2</v>
      </c>
      <c r="AC62">
        <f>'Total exports'!AC62/SUM('Total exports'!AC$3:AC$73)</f>
        <v>1.4402376365296484E-2</v>
      </c>
      <c r="AD62">
        <f>'Total exports'!AD62/SUM('Total exports'!AD$3:AD$73)</f>
        <v>1.4498820424882803E-2</v>
      </c>
      <c r="AE62">
        <f>'Total exports'!AE62/SUM('Total exports'!AE$3:AE$73)</f>
        <v>1.4593183603451661E-2</v>
      </c>
      <c r="AF62">
        <f>'Total exports'!AF62/SUM('Total exports'!AF$3:AF$73)</f>
        <v>1.4688164737219424E-2</v>
      </c>
      <c r="AG62">
        <f>'Total exports'!AG62/SUM('Total exports'!AG$3:AG$73)</f>
        <v>1.4785278988845157E-2</v>
      </c>
      <c r="AH62">
        <f>'Total exports'!AH62/SUM('Total exports'!AH$3:AH$73)</f>
        <v>1.4880974318956656E-2</v>
      </c>
      <c r="AI62">
        <f>'Total exports'!AI62/SUM('Total exports'!AI$3:AI$73)</f>
        <v>1.4976635523896817E-2</v>
      </c>
      <c r="AJ62">
        <f>'Total exports'!AJ62/SUM('Total exports'!AJ$3:AJ$73)</f>
        <v>1.5072381603846776E-2</v>
      </c>
      <c r="AK62">
        <f>'Total exports'!AK62/SUM('Total exports'!AK$3:AK$73)</f>
        <v>1.5168991722390567E-2</v>
      </c>
      <c r="AL62">
        <f>'Total exports'!AL62/SUM('Total exports'!AL$3:AL$73)</f>
        <v>1.5266636511134156E-2</v>
      </c>
      <c r="AM62">
        <f>'Total exports'!AM62/SUM('Total exports'!AM$3:AM$73)</f>
        <v>1.536508041013431E-2</v>
      </c>
      <c r="AN62">
        <f>'Total exports'!AN62/SUM('Total exports'!AN$3:AN$73)</f>
        <v>1.5463999172429223E-2</v>
      </c>
      <c r="AO62">
        <f>'Total exports'!AO62/SUM('Total exports'!AO$3:AO$73)</f>
        <v>1.5563420608038879E-2</v>
      </c>
      <c r="AP62">
        <f>'Total exports'!AP62/SUM('Total exports'!AP$3:AP$73)</f>
        <v>1.5663454307503186E-2</v>
      </c>
    </row>
    <row r="63" spans="1:42" x14ac:dyDescent="0.3">
      <c r="A63" t="s">
        <v>210</v>
      </c>
      <c r="B63">
        <f>'Total exports'!B63/SUM('Total exports'!B$3:B$73)</f>
        <v>3.6080291664318457E-3</v>
      </c>
      <c r="C63">
        <f>'Total exports'!C63/SUM('Total exports'!C$3:C$73)</f>
        <v>3.3760357367333509E-3</v>
      </c>
      <c r="D63">
        <f>'Total exports'!D63/SUM('Total exports'!D$3:D$73)</f>
        <v>3.6710126090151816E-3</v>
      </c>
      <c r="E63">
        <f>'Total exports'!E63/SUM('Total exports'!E$3:E$73)</f>
        <v>4.1252485178148428E-3</v>
      </c>
      <c r="F63">
        <f>'Total exports'!F63/SUM('Total exports'!F$3:F$73)</f>
        <v>3.5344165137374873E-3</v>
      </c>
      <c r="G63">
        <f>'Total exports'!G63/SUM('Total exports'!G$3:G$73)</f>
        <v>3.643005990040324E-3</v>
      </c>
      <c r="H63">
        <f>'Total exports'!H63/SUM('Total exports'!H$3:H$73)</f>
        <v>2.6890746441396865E-3</v>
      </c>
      <c r="I63">
        <f>'Total exports'!I63/SUM('Total exports'!I$3:I$73)</f>
        <v>2.9286370041471219E-3</v>
      </c>
      <c r="J63">
        <f>'Total exports'!J63/SUM('Total exports'!J$3:J$73)</f>
        <v>3.237760656013354E-3</v>
      </c>
      <c r="K63">
        <f>'Total exports'!K63/SUM('Total exports'!K$3:K$73)</f>
        <v>3.286788699507966E-3</v>
      </c>
      <c r="L63">
        <f>'Total exports'!L63/SUM('Total exports'!L$3:L$73)</f>
        <v>3.3471306429776288E-3</v>
      </c>
      <c r="M63">
        <f>'Total exports'!M63/SUM('Total exports'!M$3:M$73)</f>
        <v>3.2460812819416576E-3</v>
      </c>
      <c r="N63">
        <f>'Total exports'!N63/SUM('Total exports'!N$3:N$73)</f>
        <v>3.129427266356101E-3</v>
      </c>
      <c r="O63">
        <f>'Total exports'!O63/SUM('Total exports'!O$3:O$73)</f>
        <v>3.1913277026393576E-3</v>
      </c>
      <c r="P63">
        <f>'Total exports'!P63/SUM('Total exports'!P$3:P$73)</f>
        <v>3.2417985143656913E-3</v>
      </c>
      <c r="Q63">
        <f>'Total exports'!Q63/SUM('Total exports'!Q$3:Q$73)</f>
        <v>3.2148973066853203E-3</v>
      </c>
      <c r="R63">
        <f>'Total exports'!R63/SUM('Total exports'!R$3:R$73)</f>
        <v>3.1876154922620961E-3</v>
      </c>
      <c r="S63">
        <f>'Total exports'!S63/SUM('Total exports'!S$3:S$73)</f>
        <v>3.1863062230250046E-3</v>
      </c>
      <c r="T63">
        <f>'Total exports'!T63/SUM('Total exports'!T$3:T$73)</f>
        <v>3.3427686758324346E-3</v>
      </c>
      <c r="U63">
        <f>'Total exports'!U63/SUM('Total exports'!U$3:U$73)</f>
        <v>3.3992800791156465E-3</v>
      </c>
      <c r="V63">
        <f>'Total exports'!V63/SUM('Total exports'!V$3:V$73)</f>
        <v>3.4440569598121599E-3</v>
      </c>
      <c r="W63">
        <f>'Total exports'!W63/SUM('Total exports'!W$3:W$73)</f>
        <v>3.4956819988717519E-3</v>
      </c>
      <c r="X63">
        <f>'Total exports'!X63/SUM('Total exports'!X$3:X$73)</f>
        <v>3.5456995083941582E-3</v>
      </c>
      <c r="Y63">
        <f>'Total exports'!Y63/SUM('Total exports'!Y$3:Y$73)</f>
        <v>3.593026742759142E-3</v>
      </c>
      <c r="Z63">
        <f>'Total exports'!Z63/SUM('Total exports'!Z$3:Z$73)</f>
        <v>3.6375989790039961E-3</v>
      </c>
      <c r="AA63">
        <f>'Total exports'!AA63/SUM('Total exports'!AA$3:AA$73)</f>
        <v>3.6794930423053886E-3</v>
      </c>
      <c r="AB63">
        <f>'Total exports'!AB63/SUM('Total exports'!AB$3:AB$73)</f>
        <v>3.7187945142114201E-3</v>
      </c>
      <c r="AC63">
        <f>'Total exports'!AC63/SUM('Total exports'!AC$3:AC$73)</f>
        <v>3.7552275583695991E-3</v>
      </c>
      <c r="AD63">
        <f>'Total exports'!AD63/SUM('Total exports'!AD$3:AD$73)</f>
        <v>3.7893075146056619E-3</v>
      </c>
      <c r="AE63">
        <f>'Total exports'!AE63/SUM('Total exports'!AE$3:AE$73)</f>
        <v>3.8208985079230249E-3</v>
      </c>
      <c r="AF63">
        <f>'Total exports'!AF63/SUM('Total exports'!AF$3:AF$73)</f>
        <v>3.8502687573156217E-3</v>
      </c>
      <c r="AG63">
        <f>'Total exports'!AG63/SUM('Total exports'!AG$3:AG$73)</f>
        <v>3.8781419245749005E-3</v>
      </c>
      <c r="AH63">
        <f>'Total exports'!AH63/SUM('Total exports'!AH$3:AH$73)</f>
        <v>3.9041979690378039E-3</v>
      </c>
      <c r="AI63">
        <f>'Total exports'!AI63/SUM('Total exports'!AI$3:AI$73)</f>
        <v>3.9284818692165669E-3</v>
      </c>
      <c r="AJ63">
        <f>'Total exports'!AJ63/SUM('Total exports'!AJ$3:AJ$73)</f>
        <v>3.9507781863589346E-3</v>
      </c>
      <c r="AK63">
        <f>'Total exports'!AK63/SUM('Total exports'!AK$3:AK$73)</f>
        <v>3.9717270264382478E-3</v>
      </c>
      <c r="AL63">
        <f>'Total exports'!AL63/SUM('Total exports'!AL$3:AL$73)</f>
        <v>3.9910967170535558E-3</v>
      </c>
      <c r="AM63">
        <f>'Total exports'!AM63/SUM('Total exports'!AM$3:AM$73)</f>
        <v>4.0090342217729254E-3</v>
      </c>
      <c r="AN63">
        <f>'Total exports'!AN63/SUM('Total exports'!AN$3:AN$73)</f>
        <v>4.0255432487449503E-3</v>
      </c>
      <c r="AO63">
        <f>'Total exports'!AO63/SUM('Total exports'!AO$3:AO$73)</f>
        <v>4.0406724697061216E-3</v>
      </c>
      <c r="AP63">
        <f>'Total exports'!AP63/SUM('Total exports'!AP$3:AP$73)</f>
        <v>4.0542623702814777E-3</v>
      </c>
    </row>
    <row r="64" spans="1:42" x14ac:dyDescent="0.3">
      <c r="A64" t="s">
        <v>211</v>
      </c>
      <c r="B64">
        <f>'Total exports'!B64/SUM('Total exports'!B$3:B$73)</f>
        <v>4.931297131490305E-3</v>
      </c>
      <c r="C64">
        <f>'Total exports'!C64/SUM('Total exports'!C$3:C$73)</f>
        <v>4.3469835403604504E-3</v>
      </c>
      <c r="D64">
        <f>'Total exports'!D64/SUM('Total exports'!D$3:D$73)</f>
        <v>3.9196778101577828E-3</v>
      </c>
      <c r="E64">
        <f>'Total exports'!E64/SUM('Total exports'!E$3:E$73)</f>
        <v>3.8989416741110148E-3</v>
      </c>
      <c r="F64">
        <f>'Total exports'!F64/SUM('Total exports'!F$3:F$73)</f>
        <v>3.8737466276934297E-3</v>
      </c>
      <c r="G64">
        <f>'Total exports'!G64/SUM('Total exports'!G$3:G$73)</f>
        <v>4.0015056877962859E-3</v>
      </c>
      <c r="H64">
        <f>'Total exports'!H64/SUM('Total exports'!H$3:H$73)</f>
        <v>3.9277834362862101E-3</v>
      </c>
      <c r="I64">
        <f>'Total exports'!I64/SUM('Total exports'!I$3:I$73)</f>
        <v>3.8628891391282306E-3</v>
      </c>
      <c r="J64">
        <f>'Total exports'!J64/SUM('Total exports'!J$3:J$73)</f>
        <v>3.7352232644653322E-3</v>
      </c>
      <c r="K64">
        <f>'Total exports'!K64/SUM('Total exports'!K$3:K$73)</f>
        <v>3.6735841892084993E-3</v>
      </c>
      <c r="L64">
        <f>'Total exports'!L64/SUM('Total exports'!L$3:L$73)</f>
        <v>3.5844275685581956E-3</v>
      </c>
      <c r="M64">
        <f>'Total exports'!M64/SUM('Total exports'!M$3:M$73)</f>
        <v>3.5110309667206012E-3</v>
      </c>
      <c r="N64">
        <f>'Total exports'!N64/SUM('Total exports'!N$3:N$73)</f>
        <v>3.3289830703054661E-3</v>
      </c>
      <c r="O64">
        <f>'Total exports'!O64/SUM('Total exports'!O$3:O$73)</f>
        <v>3.3395589271669472E-3</v>
      </c>
      <c r="P64">
        <f>'Total exports'!P64/SUM('Total exports'!P$3:P$73)</f>
        <v>3.3695786027478133E-3</v>
      </c>
      <c r="Q64">
        <f>'Total exports'!Q64/SUM('Total exports'!Q$3:Q$73)</f>
        <v>3.3997083369033841E-3</v>
      </c>
      <c r="R64">
        <f>'Total exports'!R64/SUM('Total exports'!R$3:R$73)</f>
        <v>3.4366953945153202E-3</v>
      </c>
      <c r="S64">
        <f>'Total exports'!S64/SUM('Total exports'!S$3:S$73)</f>
        <v>3.4703166078648385E-3</v>
      </c>
      <c r="T64">
        <f>'Total exports'!T64/SUM('Total exports'!T$3:T$73)</f>
        <v>3.5262704641874278E-3</v>
      </c>
      <c r="U64">
        <f>'Total exports'!U64/SUM('Total exports'!U$3:U$73)</f>
        <v>3.5719931354586359E-3</v>
      </c>
      <c r="V64">
        <f>'Total exports'!V64/SUM('Total exports'!V$3:V$73)</f>
        <v>3.6585905060653825E-3</v>
      </c>
      <c r="W64">
        <f>'Total exports'!W64/SUM('Total exports'!W$3:W$73)</f>
        <v>3.7256583487935029E-3</v>
      </c>
      <c r="X64">
        <f>'Total exports'!X64/SUM('Total exports'!X$3:X$73)</f>
        <v>3.7942437787972477E-3</v>
      </c>
      <c r="Y64">
        <f>'Total exports'!Y64/SUM('Total exports'!Y$3:Y$73)</f>
        <v>3.8626409803004906E-3</v>
      </c>
      <c r="Z64">
        <f>'Total exports'!Z64/SUM('Total exports'!Z$3:Z$73)</f>
        <v>3.9327031763108471E-3</v>
      </c>
      <c r="AA64">
        <f>'Total exports'!AA64/SUM('Total exports'!AA$3:AA$73)</f>
        <v>4.0024986822116068E-3</v>
      </c>
      <c r="AB64">
        <f>'Total exports'!AB64/SUM('Total exports'!AB$3:AB$73)</f>
        <v>4.0733159666582024E-3</v>
      </c>
      <c r="AC64">
        <f>'Total exports'!AC64/SUM('Total exports'!AC$3:AC$73)</f>
        <v>4.1442926283705873E-3</v>
      </c>
      <c r="AD64">
        <f>'Total exports'!AD64/SUM('Total exports'!AD$3:AD$73)</f>
        <v>4.2154633089266759E-3</v>
      </c>
      <c r="AE64">
        <f>'Total exports'!AE64/SUM('Total exports'!AE$3:AE$73)</f>
        <v>4.2877846442733415E-3</v>
      </c>
      <c r="AF64">
        <f>'Total exports'!AF64/SUM('Total exports'!AF$3:AF$73)</f>
        <v>4.3589386879445266E-3</v>
      </c>
      <c r="AG64">
        <f>'Total exports'!AG64/SUM('Total exports'!AG$3:AG$73)</f>
        <v>4.4312944436824247E-3</v>
      </c>
      <c r="AH64">
        <f>'Total exports'!AH64/SUM('Total exports'!AH$3:AH$73)</f>
        <v>4.5050703661610051E-3</v>
      </c>
      <c r="AI64">
        <f>'Total exports'!AI64/SUM('Total exports'!AI$3:AI$73)</f>
        <v>4.5801578700408905E-3</v>
      </c>
      <c r="AJ64">
        <f>'Total exports'!AJ64/SUM('Total exports'!AJ$3:AJ$73)</f>
        <v>4.6563396840410146E-3</v>
      </c>
      <c r="AK64">
        <f>'Total exports'!AK64/SUM('Total exports'!AK$3:AK$73)</f>
        <v>4.7343298927507368E-3</v>
      </c>
      <c r="AL64">
        <f>'Total exports'!AL64/SUM('Total exports'!AL$3:AL$73)</f>
        <v>4.8136268718823811E-3</v>
      </c>
      <c r="AM64">
        <f>'Total exports'!AM64/SUM('Total exports'!AM$3:AM$73)</f>
        <v>4.8939165509412907E-3</v>
      </c>
      <c r="AN64">
        <f>'Total exports'!AN64/SUM('Total exports'!AN$3:AN$73)</f>
        <v>4.9752847426318171E-3</v>
      </c>
      <c r="AO64">
        <f>'Total exports'!AO64/SUM('Total exports'!AO$3:AO$73)</f>
        <v>5.0579839056932403E-3</v>
      </c>
      <c r="AP64">
        <f>'Total exports'!AP64/SUM('Total exports'!AP$3:AP$73)</f>
        <v>5.1419639544659362E-3</v>
      </c>
    </row>
    <row r="65" spans="1:42" x14ac:dyDescent="0.3">
      <c r="A65" t="s">
        <v>212</v>
      </c>
      <c r="B65">
        <f>'Total exports'!B65/SUM('Total exports'!B$3:B$73)</f>
        <v>7.1213327698171035E-4</v>
      </c>
      <c r="C65">
        <f>'Total exports'!C65/SUM('Total exports'!C$3:C$73)</f>
        <v>6.5127476915192962E-4</v>
      </c>
      <c r="D65">
        <f>'Total exports'!D65/SUM('Total exports'!D$3:D$73)</f>
        <v>6.6977135689899863E-4</v>
      </c>
      <c r="E65">
        <f>'Total exports'!E65/SUM('Total exports'!E$3:E$73)</f>
        <v>6.7272580123125083E-4</v>
      </c>
      <c r="F65">
        <f>'Total exports'!F65/SUM('Total exports'!F$3:F$73)</f>
        <v>7.0172651816290045E-4</v>
      </c>
      <c r="G65">
        <f>'Total exports'!G65/SUM('Total exports'!G$3:G$73)</f>
        <v>7.5249506797658318E-4</v>
      </c>
      <c r="H65">
        <f>'Total exports'!H65/SUM('Total exports'!H$3:H$73)</f>
        <v>7.4617743755961386E-4</v>
      </c>
      <c r="I65">
        <f>'Total exports'!I65/SUM('Total exports'!I$3:I$73)</f>
        <v>6.804563116014769E-4</v>
      </c>
      <c r="J65">
        <f>'Total exports'!J65/SUM('Total exports'!J$3:J$73)</f>
        <v>6.5110898926162744E-4</v>
      </c>
      <c r="K65">
        <f>'Total exports'!K65/SUM('Total exports'!K$3:K$73)</f>
        <v>6.5401072760494093E-4</v>
      </c>
      <c r="L65">
        <f>'Total exports'!L65/SUM('Total exports'!L$3:L$73)</f>
        <v>6.8334375777423235E-4</v>
      </c>
      <c r="M65">
        <f>'Total exports'!M65/SUM('Total exports'!M$3:M$73)</f>
        <v>6.5226134207713583E-4</v>
      </c>
      <c r="N65">
        <f>'Total exports'!N65/SUM('Total exports'!N$3:N$73)</f>
        <v>6.3579849705703423E-4</v>
      </c>
      <c r="O65">
        <f>'Total exports'!O65/SUM('Total exports'!O$3:O$73)</f>
        <v>6.4760717716916131E-4</v>
      </c>
      <c r="P65">
        <f>'Total exports'!P65/SUM('Total exports'!P$3:P$73)</f>
        <v>6.5613155752627993E-4</v>
      </c>
      <c r="Q65">
        <f>'Total exports'!Q65/SUM('Total exports'!Q$3:Q$73)</f>
        <v>6.6624083680919054E-4</v>
      </c>
      <c r="R65">
        <f>'Total exports'!R65/SUM('Total exports'!R$3:R$73)</f>
        <v>6.7752278448702076E-4</v>
      </c>
      <c r="S65">
        <f>'Total exports'!S65/SUM('Total exports'!S$3:S$73)</f>
        <v>6.8896783764121861E-4</v>
      </c>
      <c r="T65">
        <f>'Total exports'!T65/SUM('Total exports'!T$3:T$73)</f>
        <v>6.9550440013527561E-4</v>
      </c>
      <c r="U65">
        <f>'Total exports'!U65/SUM('Total exports'!U$3:U$73)</f>
        <v>7.045561378666305E-4</v>
      </c>
      <c r="V65">
        <f>'Total exports'!V65/SUM('Total exports'!V$3:V$73)</f>
        <v>7.2171066284405739E-4</v>
      </c>
      <c r="W65">
        <f>'Total exports'!W65/SUM('Total exports'!W$3:W$73)</f>
        <v>7.3525256833004821E-4</v>
      </c>
      <c r="X65">
        <f>'Total exports'!X65/SUM('Total exports'!X$3:X$73)</f>
        <v>7.4912808613409893E-4</v>
      </c>
      <c r="Y65">
        <f>'Total exports'!Y65/SUM('Total exports'!Y$3:Y$73)</f>
        <v>7.6312399116009702E-4</v>
      </c>
      <c r="Z65">
        <f>'Total exports'!Z65/SUM('Total exports'!Z$3:Z$73)</f>
        <v>7.7720556662382175E-4</v>
      </c>
      <c r="AA65">
        <f>'Total exports'!AA65/SUM('Total exports'!AA$3:AA$73)</f>
        <v>7.9143144631861758E-4</v>
      </c>
      <c r="AB65">
        <f>'Total exports'!AB65/SUM('Total exports'!AB$3:AB$73)</f>
        <v>8.0566596378323725E-4</v>
      </c>
      <c r="AC65">
        <f>'Total exports'!AC65/SUM('Total exports'!AC$3:AC$73)</f>
        <v>8.199509449980213E-4</v>
      </c>
      <c r="AD65">
        <f>'Total exports'!AD65/SUM('Total exports'!AD$3:AD$73)</f>
        <v>8.3436631149478376E-4</v>
      </c>
      <c r="AE65">
        <f>'Total exports'!AE65/SUM('Total exports'!AE$3:AE$73)</f>
        <v>8.4888410263372915E-4</v>
      </c>
      <c r="AF65">
        <f>'Total exports'!AF65/SUM('Total exports'!AF$3:AF$73)</f>
        <v>8.6344385467829546E-4</v>
      </c>
      <c r="AG65">
        <f>'Total exports'!AG65/SUM('Total exports'!AG$3:AG$73)</f>
        <v>8.782123050669724E-4</v>
      </c>
      <c r="AH65">
        <f>'Total exports'!AH65/SUM('Total exports'!AH$3:AH$73)</f>
        <v>8.9326838814269259E-4</v>
      </c>
      <c r="AI65">
        <f>'Total exports'!AI65/SUM('Total exports'!AI$3:AI$73)</f>
        <v>9.0854915225935273E-4</v>
      </c>
      <c r="AJ65">
        <f>'Total exports'!AJ65/SUM('Total exports'!AJ$3:AJ$73)</f>
        <v>9.2404393510778194E-4</v>
      </c>
      <c r="AK65">
        <f>'Total exports'!AK65/SUM('Total exports'!AK$3:AK$73)</f>
        <v>9.3980355212237973E-4</v>
      </c>
      <c r="AL65">
        <f>'Total exports'!AL65/SUM('Total exports'!AL$3:AL$73)</f>
        <v>9.5582581828630481E-4</v>
      </c>
      <c r="AM65">
        <f>'Total exports'!AM65/SUM('Total exports'!AM$3:AM$73)</f>
        <v>9.7206511612747681E-4</v>
      </c>
      <c r="AN65">
        <f>'Total exports'!AN65/SUM('Total exports'!AN$3:AN$73)</f>
        <v>9.8856404657108221E-4</v>
      </c>
      <c r="AO65">
        <f>'Total exports'!AO65/SUM('Total exports'!AO$3:AO$73)</f>
        <v>1.0053088182155642E-3</v>
      </c>
      <c r="AP65">
        <f>'Total exports'!AP65/SUM('Total exports'!AP$3:AP$73)</f>
        <v>1.0222779174256589E-3</v>
      </c>
    </row>
    <row r="66" spans="1:42" x14ac:dyDescent="0.3">
      <c r="A66" t="s">
        <v>213</v>
      </c>
      <c r="B66">
        <f>'Total exports'!B66/SUM('Total exports'!B$3:B$73)</f>
        <v>2.8743823806431494E-3</v>
      </c>
      <c r="C66">
        <f>'Total exports'!C66/SUM('Total exports'!C$3:C$73)</f>
        <v>3.1366936006858087E-3</v>
      </c>
      <c r="D66">
        <f>'Total exports'!D66/SUM('Total exports'!D$3:D$73)</f>
        <v>3.1466204550904611E-3</v>
      </c>
      <c r="E66">
        <f>'Total exports'!E66/SUM('Total exports'!E$3:E$73)</f>
        <v>3.1170002264171845E-3</v>
      </c>
      <c r="F66">
        <f>'Total exports'!F66/SUM('Total exports'!F$3:F$73)</f>
        <v>3.2193149725734636E-3</v>
      </c>
      <c r="G66">
        <f>'Total exports'!G66/SUM('Total exports'!G$3:G$73)</f>
        <v>3.2775508229084538E-3</v>
      </c>
      <c r="H66">
        <f>'Total exports'!H66/SUM('Total exports'!H$3:H$73)</f>
        <v>3.2818554412919363E-3</v>
      </c>
      <c r="I66">
        <f>'Total exports'!I66/SUM('Total exports'!I$3:I$73)</f>
        <v>3.3948712695603799E-3</v>
      </c>
      <c r="J66">
        <f>'Total exports'!J66/SUM('Total exports'!J$3:J$73)</f>
        <v>3.5395187530856756E-3</v>
      </c>
      <c r="K66">
        <f>'Total exports'!K66/SUM('Total exports'!K$3:K$73)</f>
        <v>3.6398266662335216E-3</v>
      </c>
      <c r="L66">
        <f>'Total exports'!L66/SUM('Total exports'!L$3:L$73)</f>
        <v>3.8529588653128332E-3</v>
      </c>
      <c r="M66">
        <f>'Total exports'!M66/SUM('Total exports'!M$3:M$73)</f>
        <v>3.7865734120831351E-3</v>
      </c>
      <c r="N66">
        <f>'Total exports'!N66/SUM('Total exports'!N$3:N$73)</f>
        <v>3.7210768486553559E-3</v>
      </c>
      <c r="O66">
        <f>'Total exports'!O66/SUM('Total exports'!O$3:O$73)</f>
        <v>3.8254624520984563E-3</v>
      </c>
      <c r="P66">
        <f>'Total exports'!P66/SUM('Total exports'!P$3:P$73)</f>
        <v>3.9802727754388494E-3</v>
      </c>
      <c r="Q66">
        <f>'Total exports'!Q66/SUM('Total exports'!Q$3:Q$73)</f>
        <v>4.0593272873341016E-3</v>
      </c>
      <c r="R66">
        <f>'Total exports'!R66/SUM('Total exports'!R$3:R$73)</f>
        <v>4.1549286983050366E-3</v>
      </c>
      <c r="S66">
        <f>'Total exports'!S66/SUM('Total exports'!S$3:S$73)</f>
        <v>4.2975324639278386E-3</v>
      </c>
      <c r="T66">
        <f>'Total exports'!T66/SUM('Total exports'!T$3:T$73)</f>
        <v>4.2830428557221129E-3</v>
      </c>
      <c r="U66">
        <f>'Total exports'!U66/SUM('Total exports'!U$3:U$73)</f>
        <v>4.3388882412448452E-3</v>
      </c>
      <c r="V66">
        <f>'Total exports'!V66/SUM('Total exports'!V$3:V$73)</f>
        <v>4.4445658343711626E-3</v>
      </c>
      <c r="W66">
        <f>'Total exports'!W66/SUM('Total exports'!W$3:W$73)</f>
        <v>4.5281225782720239E-3</v>
      </c>
      <c r="X66">
        <f>'Total exports'!X66/SUM('Total exports'!X$3:X$73)</f>
        <v>4.6137172118833492E-3</v>
      </c>
      <c r="Y66">
        <f>'Total exports'!Y66/SUM('Total exports'!Y$3:Y$73)</f>
        <v>4.7000307934080303E-3</v>
      </c>
      <c r="Z66">
        <f>'Total exports'!Z66/SUM('Total exports'!Z$3:Z$73)</f>
        <v>4.7866570730502765E-3</v>
      </c>
      <c r="AA66">
        <f>'Total exports'!AA66/SUM('Total exports'!AA$3:AA$73)</f>
        <v>4.8740402062215282E-3</v>
      </c>
      <c r="AB66">
        <f>'Total exports'!AB66/SUM('Total exports'!AB$3:AB$73)</f>
        <v>4.9618397626474383E-3</v>
      </c>
      <c r="AC66">
        <f>'Total exports'!AC66/SUM('Total exports'!AC$3:AC$73)</f>
        <v>5.0497806274562062E-3</v>
      </c>
      <c r="AD66">
        <f>'Total exports'!AD66/SUM('Total exports'!AD$3:AD$73)</f>
        <v>5.1385644082365253E-3</v>
      </c>
      <c r="AE66">
        <f>'Total exports'!AE66/SUM('Total exports'!AE$3:AE$73)</f>
        <v>5.227675527615808E-3</v>
      </c>
      <c r="AF66">
        <f>'Total exports'!AF66/SUM('Total exports'!AF$3:AF$73)</f>
        <v>5.3175382252559902E-3</v>
      </c>
      <c r="AG66">
        <f>'Total exports'!AG66/SUM('Total exports'!AG$3:AG$73)</f>
        <v>5.408865117200342E-3</v>
      </c>
      <c r="AH66">
        <f>'Total exports'!AH66/SUM('Total exports'!AH$3:AH$73)</f>
        <v>5.5017150286920113E-3</v>
      </c>
      <c r="AI66">
        <f>'Total exports'!AI66/SUM('Total exports'!AI$3:AI$73)</f>
        <v>5.5959064920846902E-3</v>
      </c>
      <c r="AJ66">
        <f>'Total exports'!AJ66/SUM('Total exports'!AJ$3:AJ$73)</f>
        <v>5.6911413720241166E-3</v>
      </c>
      <c r="AK66">
        <f>'Total exports'!AK66/SUM('Total exports'!AK$3:AK$73)</f>
        <v>5.7880832697269164E-3</v>
      </c>
      <c r="AL66">
        <f>'Total exports'!AL66/SUM('Total exports'!AL$3:AL$73)</f>
        <v>5.8868012831188631E-3</v>
      </c>
      <c r="AM66">
        <f>'Total exports'!AM66/SUM('Total exports'!AM$3:AM$73)</f>
        <v>5.9869349348710965E-3</v>
      </c>
      <c r="AN66">
        <f>'Total exports'!AN66/SUM('Total exports'!AN$3:AN$73)</f>
        <v>6.0886077300030192E-3</v>
      </c>
      <c r="AO66">
        <f>'Total exports'!AO66/SUM('Total exports'!AO$3:AO$73)</f>
        <v>6.1917653169914722E-3</v>
      </c>
      <c r="AP66">
        <f>'Total exports'!AP66/SUM('Total exports'!AP$3:AP$73)</f>
        <v>6.2964207552567578E-3</v>
      </c>
    </row>
    <row r="67" spans="1:42" x14ac:dyDescent="0.3">
      <c r="A67" t="s">
        <v>214</v>
      </c>
      <c r="B67">
        <f>'Total exports'!B67/SUM('Total exports'!B$3:B$73)</f>
        <v>2.43396365106141E-3</v>
      </c>
      <c r="C67">
        <f>'Total exports'!C67/SUM('Total exports'!C$3:C$73)</f>
        <v>2.3830356886099312E-3</v>
      </c>
      <c r="D67">
        <f>'Total exports'!D67/SUM('Total exports'!D$3:D$73)</f>
        <v>2.2817408492387383E-3</v>
      </c>
      <c r="E67">
        <f>'Total exports'!E67/SUM('Total exports'!E$3:E$73)</f>
        <v>2.3928220857048397E-3</v>
      </c>
      <c r="F67">
        <f>'Total exports'!F67/SUM('Total exports'!F$3:F$73)</f>
        <v>2.481117547341058E-3</v>
      </c>
      <c r="G67">
        <f>'Total exports'!G67/SUM('Total exports'!G$3:G$73)</f>
        <v>2.6410903483813841E-3</v>
      </c>
      <c r="H67">
        <f>'Total exports'!H67/SUM('Total exports'!H$3:H$73)</f>
        <v>2.6512642875239508E-3</v>
      </c>
      <c r="I67">
        <f>'Total exports'!I67/SUM('Total exports'!I$3:I$73)</f>
        <v>2.6227983482773982E-3</v>
      </c>
      <c r="J67">
        <f>'Total exports'!J67/SUM('Total exports'!J$3:J$73)</f>
        <v>2.6871600848899658E-3</v>
      </c>
      <c r="K67">
        <f>'Total exports'!K67/SUM('Total exports'!K$3:K$73)</f>
        <v>2.8048284690503147E-3</v>
      </c>
      <c r="L67">
        <f>'Total exports'!L67/SUM('Total exports'!L$3:L$73)</f>
        <v>2.983580275813929E-3</v>
      </c>
      <c r="M67">
        <f>'Total exports'!M67/SUM('Total exports'!M$3:M$73)</f>
        <v>2.9452665726795828E-3</v>
      </c>
      <c r="N67">
        <f>'Total exports'!N67/SUM('Total exports'!N$3:N$73)</f>
        <v>2.8926895109865074E-3</v>
      </c>
      <c r="O67">
        <f>'Total exports'!O67/SUM('Total exports'!O$3:O$73)</f>
        <v>2.9788684068172339E-3</v>
      </c>
      <c r="P67">
        <f>'Total exports'!P67/SUM('Total exports'!P$3:P$73)</f>
        <v>3.0791150505443928E-3</v>
      </c>
      <c r="Q67">
        <f>'Total exports'!Q67/SUM('Total exports'!Q$3:Q$73)</f>
        <v>3.194510002410356E-3</v>
      </c>
      <c r="R67">
        <f>'Total exports'!R67/SUM('Total exports'!R$3:R$73)</f>
        <v>3.3061391482150627E-3</v>
      </c>
      <c r="S67">
        <f>'Total exports'!S67/SUM('Total exports'!S$3:S$73)</f>
        <v>3.4306709507569968E-3</v>
      </c>
      <c r="T67">
        <f>'Total exports'!T67/SUM('Total exports'!T$3:T$73)</f>
        <v>3.3979481394044455E-3</v>
      </c>
      <c r="U67">
        <f>'Total exports'!U67/SUM('Total exports'!U$3:U$73)</f>
        <v>3.442785687536371E-3</v>
      </c>
      <c r="V67">
        <f>'Total exports'!V67/SUM('Total exports'!V$3:V$73)</f>
        <v>3.5268738536150526E-3</v>
      </c>
      <c r="W67">
        <f>'Total exports'!W67/SUM('Total exports'!W$3:W$73)</f>
        <v>3.5930507256955865E-3</v>
      </c>
      <c r="X67">
        <f>'Total exports'!X67/SUM('Total exports'!X$3:X$73)</f>
        <v>3.6607220238048404E-3</v>
      </c>
      <c r="Y67">
        <f>'Total exports'!Y67/SUM('Total exports'!Y$3:Y$73)</f>
        <v>3.7288966105479544E-3</v>
      </c>
      <c r="Z67">
        <f>'Total exports'!Z67/SUM('Total exports'!Z$3:Z$73)</f>
        <v>3.7975241108537052E-3</v>
      </c>
      <c r="AA67">
        <f>'Total exports'!AA67/SUM('Total exports'!AA$3:AA$73)</f>
        <v>3.866577353661917E-3</v>
      </c>
      <c r="AB67">
        <f>'Total exports'!AB67/SUM('Total exports'!AB$3:AB$73)</f>
        <v>3.9361220849871608E-3</v>
      </c>
      <c r="AC67">
        <f>'Total exports'!AC67/SUM('Total exports'!AC$3:AC$73)</f>
        <v>4.0059995304060902E-3</v>
      </c>
      <c r="AD67">
        <f>'Total exports'!AD67/SUM('Total exports'!AD$3:AD$73)</f>
        <v>4.0763469581117122E-3</v>
      </c>
      <c r="AE67">
        <f>'Total exports'!AE67/SUM('Total exports'!AE$3:AE$73)</f>
        <v>4.1471438210710556E-3</v>
      </c>
      <c r="AF67">
        <f>'Total exports'!AF67/SUM('Total exports'!AF$3:AF$73)</f>
        <v>4.2183752170953355E-3</v>
      </c>
      <c r="AG67">
        <f>'Total exports'!AG67/SUM('Total exports'!AG$3:AG$73)</f>
        <v>4.2907767620778466E-3</v>
      </c>
      <c r="AH67">
        <f>'Total exports'!AH67/SUM('Total exports'!AH$3:AH$73)</f>
        <v>4.3643874597599237E-3</v>
      </c>
      <c r="AI67">
        <f>'Total exports'!AI67/SUM('Total exports'!AI$3:AI$73)</f>
        <v>4.4391121201555975E-3</v>
      </c>
      <c r="AJ67">
        <f>'Total exports'!AJ67/SUM('Total exports'!AJ$3:AJ$73)</f>
        <v>4.5148819508357141E-3</v>
      </c>
      <c r="AK67">
        <f>'Total exports'!AK67/SUM('Total exports'!AK$3:AK$73)</f>
        <v>4.5920149133941495E-3</v>
      </c>
      <c r="AL67">
        <f>'Total exports'!AL67/SUM('Total exports'!AL$3:AL$73)</f>
        <v>4.6703388517828834E-3</v>
      </c>
      <c r="AM67">
        <f>'Total exports'!AM67/SUM('Total exports'!AM$3:AM$73)</f>
        <v>4.7497235160988294E-3</v>
      </c>
      <c r="AN67">
        <f>'Total exports'!AN67/SUM('Total exports'!AN$3:AN$73)</f>
        <v>4.8234131882062608E-3</v>
      </c>
      <c r="AO67">
        <f>'Total exports'!AO67/SUM('Total exports'!AO$3:AO$73)</f>
        <v>4.9077046365824861E-3</v>
      </c>
      <c r="AP67">
        <f>'Total exports'!AP67/SUM('Total exports'!AP$3:AP$73)</f>
        <v>4.9937910123970287E-3</v>
      </c>
    </row>
    <row r="68" spans="1:42" x14ac:dyDescent="0.3">
      <c r="A68" t="s">
        <v>215</v>
      </c>
      <c r="B68">
        <f>'Total exports'!B68/SUM('Total exports'!B$3:B$73)</f>
        <v>1.7223025431122251E-3</v>
      </c>
      <c r="C68">
        <f>'Total exports'!C68/SUM('Total exports'!C$3:C$73)</f>
        <v>1.6928794041752091E-3</v>
      </c>
      <c r="D68">
        <f>'Total exports'!D68/SUM('Total exports'!D$3:D$73)</f>
        <v>1.7554453852205026E-3</v>
      </c>
      <c r="E68">
        <f>'Total exports'!E68/SUM('Total exports'!E$3:E$73)</f>
        <v>1.8300417328321421E-3</v>
      </c>
      <c r="F68">
        <f>'Total exports'!F68/SUM('Total exports'!F$3:F$73)</f>
        <v>1.9855671011464039E-3</v>
      </c>
      <c r="G68">
        <f>'Total exports'!G68/SUM('Total exports'!G$3:G$73)</f>
        <v>1.9737690771585905E-3</v>
      </c>
      <c r="H68">
        <f>'Total exports'!H68/SUM('Total exports'!H$3:H$73)</f>
        <v>2.0771504866709755E-3</v>
      </c>
      <c r="I68">
        <f>'Total exports'!I68/SUM('Total exports'!I$3:I$73)</f>
        <v>2.08687076636391E-3</v>
      </c>
      <c r="J68">
        <f>'Total exports'!J68/SUM('Total exports'!J$3:J$73)</f>
        <v>2.0763133882136116E-3</v>
      </c>
      <c r="K68">
        <f>'Total exports'!K68/SUM('Total exports'!K$3:K$73)</f>
        <v>2.0400788750492361E-3</v>
      </c>
      <c r="L68">
        <f>'Total exports'!L68/SUM('Total exports'!L$3:L$73)</f>
        <v>2.0408331764691905E-3</v>
      </c>
      <c r="M68">
        <f>'Total exports'!M68/SUM('Total exports'!M$3:M$73)</f>
        <v>1.9979685855560075E-3</v>
      </c>
      <c r="N68">
        <f>'Total exports'!N68/SUM('Total exports'!N$3:N$73)</f>
        <v>1.9369449645712711E-3</v>
      </c>
      <c r="O68">
        <f>'Total exports'!O68/SUM('Total exports'!O$3:O$73)</f>
        <v>1.9624650718679335E-3</v>
      </c>
      <c r="P68">
        <f>'Total exports'!P68/SUM('Total exports'!P$3:P$73)</f>
        <v>1.9946889359442094E-3</v>
      </c>
      <c r="Q68">
        <f>'Total exports'!Q68/SUM('Total exports'!Q$3:Q$73)</f>
        <v>2.0044964549816211E-3</v>
      </c>
      <c r="R68">
        <f>'Total exports'!R68/SUM('Total exports'!R$3:R$73)</f>
        <v>2.0789878512446963E-3</v>
      </c>
      <c r="S68">
        <f>'Total exports'!S68/SUM('Total exports'!S$3:S$73)</f>
        <v>2.1340249402582259E-3</v>
      </c>
      <c r="T68">
        <f>'Total exports'!T68/SUM('Total exports'!T$3:T$73)</f>
        <v>2.1369632975505844E-3</v>
      </c>
      <c r="U68">
        <f>'Total exports'!U68/SUM('Total exports'!U$3:U$73)</f>
        <v>2.1651137662994035E-3</v>
      </c>
      <c r="V68">
        <f>'Total exports'!V68/SUM('Total exports'!V$3:V$73)</f>
        <v>2.2171892120649737E-3</v>
      </c>
      <c r="W68">
        <f>'Total exports'!W68/SUM('Total exports'!W$3:W$73)</f>
        <v>2.2583082752670601E-3</v>
      </c>
      <c r="X68">
        <f>'Total exports'!X68/SUM('Total exports'!X$3:X$73)</f>
        <v>2.3008907974669999E-3</v>
      </c>
      <c r="Y68">
        <f>'Total exports'!Y68/SUM('Total exports'!Y$3:Y$73)</f>
        <v>2.343758019924765E-3</v>
      </c>
      <c r="Z68">
        <f>'Total exports'!Z68/SUM('Total exports'!Z$3:Z$73)</f>
        <v>2.3868853694310366E-3</v>
      </c>
      <c r="AA68">
        <f>'Total exports'!AA68/SUM('Total exports'!AA$3:AA$73)</f>
        <v>2.4303767790831965E-3</v>
      </c>
      <c r="AB68">
        <f>'Total exports'!AB68/SUM('Total exports'!AB$3:AB$73)</f>
        <v>2.4739093424973406E-3</v>
      </c>
      <c r="AC68">
        <f>'Total exports'!AC68/SUM('Total exports'!AC$3:AC$73)</f>
        <v>2.517719511744297E-3</v>
      </c>
      <c r="AD68">
        <f>'Total exports'!AD68/SUM('Total exports'!AD$3:AD$73)</f>
        <v>2.5617586385003402E-3</v>
      </c>
      <c r="AE68">
        <f>'Total exports'!AE68/SUM('Total exports'!AE$3:AE$73)</f>
        <v>2.6061916745321752E-3</v>
      </c>
      <c r="AF68">
        <f>'Total exports'!AF68/SUM('Total exports'!AF$3:AF$73)</f>
        <v>2.6511084915124519E-3</v>
      </c>
      <c r="AG68">
        <f>'Total exports'!AG68/SUM('Total exports'!AG$3:AG$73)</f>
        <v>2.6968481915888324E-3</v>
      </c>
      <c r="AH68">
        <f>'Total exports'!AH68/SUM('Total exports'!AH$3:AH$73)</f>
        <v>2.7431509799669741E-3</v>
      </c>
      <c r="AI68">
        <f>'Total exports'!AI68/SUM('Total exports'!AI$3:AI$73)</f>
        <v>2.7900492783610072E-3</v>
      </c>
      <c r="AJ68">
        <f>'Total exports'!AJ68/SUM('Total exports'!AJ$3:AJ$73)</f>
        <v>2.8371981710658238E-3</v>
      </c>
      <c r="AK68">
        <f>'Total exports'!AK68/SUM('Total exports'!AK$3:AK$73)</f>
        <v>2.885567338413996E-3</v>
      </c>
      <c r="AL68">
        <f>'Total exports'!AL68/SUM('Total exports'!AL$3:AL$73)</f>
        <v>2.9344826040199373E-3</v>
      </c>
      <c r="AM68">
        <f>'Total exports'!AM68/SUM('Total exports'!AM$3:AM$73)</f>
        <v>2.9843598731584546E-3</v>
      </c>
      <c r="AN68">
        <f>'Total exports'!AN68/SUM('Total exports'!AN$3:AN$73)</f>
        <v>3.034903740254424E-3</v>
      </c>
      <c r="AO68">
        <f>'Total exports'!AO68/SUM('Total exports'!AO$3:AO$73)</f>
        <v>3.0865811857733066E-3</v>
      </c>
      <c r="AP68">
        <f>'Total exports'!AP68/SUM('Total exports'!AP$3:AP$73)</f>
        <v>3.1389176156162955E-3</v>
      </c>
    </row>
    <row r="69" spans="1:42" x14ac:dyDescent="0.3">
      <c r="A69" t="s">
        <v>216</v>
      </c>
      <c r="B69">
        <f>'Total exports'!B69/SUM('Total exports'!B$3:B$73)</f>
        <v>3.3567885325733664E-3</v>
      </c>
      <c r="C69">
        <f>'Total exports'!C69/SUM('Total exports'!C$3:C$73)</f>
        <v>3.2224762183359614E-3</v>
      </c>
      <c r="D69">
        <f>'Total exports'!D69/SUM('Total exports'!D$3:D$73)</f>
        <v>3.2230086322998452E-3</v>
      </c>
      <c r="E69">
        <f>'Total exports'!E69/SUM('Total exports'!E$3:E$73)</f>
        <v>3.1021456049941439E-3</v>
      </c>
      <c r="F69">
        <f>'Total exports'!F69/SUM('Total exports'!F$3:F$73)</f>
        <v>2.5846071685298026E-3</v>
      </c>
      <c r="G69">
        <f>'Total exports'!G69/SUM('Total exports'!G$3:G$73)</f>
        <v>2.4596502126700477E-3</v>
      </c>
      <c r="H69">
        <f>'Total exports'!H69/SUM('Total exports'!H$3:H$73)</f>
        <v>2.1616326444778254E-3</v>
      </c>
      <c r="I69">
        <f>'Total exports'!I69/SUM('Total exports'!I$3:I$73)</f>
        <v>4.2689133590743155E-3</v>
      </c>
      <c r="J69">
        <f>'Total exports'!J69/SUM('Total exports'!J$3:J$73)</f>
        <v>5.2663853727215734E-3</v>
      </c>
      <c r="K69">
        <f>'Total exports'!K69/SUM('Total exports'!K$3:K$73)</f>
        <v>5.3972468590165338E-3</v>
      </c>
      <c r="L69">
        <f>'Total exports'!L69/SUM('Total exports'!L$3:L$73)</f>
        <v>5.8397383645790229E-3</v>
      </c>
      <c r="M69">
        <f>'Total exports'!M69/SUM('Total exports'!M$3:M$73)</f>
        <v>5.6189057307956007E-3</v>
      </c>
      <c r="N69">
        <f>'Total exports'!N69/SUM('Total exports'!N$3:N$73)</f>
        <v>5.6335409073718645E-3</v>
      </c>
      <c r="O69">
        <f>'Total exports'!O69/SUM('Total exports'!O$3:O$73)</f>
        <v>5.7448590192985607E-3</v>
      </c>
      <c r="P69">
        <f>'Total exports'!P69/SUM('Total exports'!P$3:P$73)</f>
        <v>5.9028860107004427E-3</v>
      </c>
      <c r="Q69">
        <f>'Total exports'!Q69/SUM('Total exports'!Q$3:Q$73)</f>
        <v>6.0594989910199041E-3</v>
      </c>
      <c r="R69">
        <f>'Total exports'!R69/SUM('Total exports'!R$3:R$73)</f>
        <v>6.2435599610359115E-3</v>
      </c>
      <c r="S69">
        <f>'Total exports'!S69/SUM('Total exports'!S$3:S$73)</f>
        <v>6.4342365816906361E-3</v>
      </c>
      <c r="T69">
        <f>'Total exports'!T69/SUM('Total exports'!T$3:T$73)</f>
        <v>6.4164490909785332E-3</v>
      </c>
      <c r="U69">
        <f>'Total exports'!U69/SUM('Total exports'!U$3:U$73)</f>
        <v>6.4998901122044327E-3</v>
      </c>
      <c r="V69">
        <f>'Total exports'!V69/SUM('Total exports'!V$3:V$73)</f>
        <v>6.6580806692068221E-3</v>
      </c>
      <c r="W69">
        <f>'Total exports'!W69/SUM('Total exports'!W$3:W$73)</f>
        <v>6.7830035338139489E-3</v>
      </c>
      <c r="X69">
        <f>'Total exports'!X69/SUM('Total exports'!X$3:X$73)</f>
        <v>6.910812904952119E-3</v>
      </c>
      <c r="Y69">
        <f>'Total exports'!Y69/SUM('Total exports'!Y$3:Y$73)</f>
        <v>7.0395008662867634E-3</v>
      </c>
      <c r="Z69">
        <f>'Total exports'!Z69/SUM('Total exports'!Z$3:Z$73)</f>
        <v>7.1690407414892084E-3</v>
      </c>
      <c r="AA69">
        <f>'Total exports'!AA69/SUM('Total exports'!AA$3:AA$73)</f>
        <v>7.2994179709801495E-3</v>
      </c>
      <c r="AB69">
        <f>'Total exports'!AB69/SUM('Total exports'!AB$3:AB$73)</f>
        <v>7.4302764557310861E-3</v>
      </c>
      <c r="AC69">
        <f>'Total exports'!AC69/SUM('Total exports'!AC$3:AC$73)</f>
        <v>7.5616560552932725E-3</v>
      </c>
      <c r="AD69">
        <f>'Total exports'!AD69/SUM('Total exports'!AD$3:AD$73)</f>
        <v>7.6939460869852585E-3</v>
      </c>
      <c r="AE69">
        <f>'Total exports'!AE69/SUM('Total exports'!AE$3:AE$73)</f>
        <v>7.8273514438051695E-3</v>
      </c>
      <c r="AF69">
        <f>'Total exports'!AF69/SUM('Total exports'!AF$3:AF$73)</f>
        <v>7.9615377419470536E-3</v>
      </c>
      <c r="AG69">
        <f>'Total exports'!AG69/SUM('Total exports'!AG$3:AG$73)</f>
        <v>8.0980598187192169E-3</v>
      </c>
      <c r="AH69">
        <f>'Total exports'!AH69/SUM('Total exports'!AH$3:AH$73)</f>
        <v>8.2370994348290733E-3</v>
      </c>
      <c r="AI69">
        <f>'Total exports'!AI69/SUM('Total exports'!AI$3:AI$73)</f>
        <v>8.3781349728474265E-3</v>
      </c>
      <c r="AJ69">
        <f>'Total exports'!AJ69/SUM('Total exports'!AJ$3:AJ$73)</f>
        <v>8.5207430194335302E-3</v>
      </c>
      <c r="AK69">
        <f>'Total exports'!AK69/SUM('Total exports'!AK$3:AK$73)</f>
        <v>8.6657525629719751E-3</v>
      </c>
      <c r="AL69">
        <f>'Total exports'!AL69/SUM('Total exports'!AL$3:AL$73)</f>
        <v>8.8132686287561487E-3</v>
      </c>
      <c r="AM69">
        <f>'Total exports'!AM69/SUM('Total exports'!AM$3:AM$73)</f>
        <v>8.9631883541430903E-3</v>
      </c>
      <c r="AN69">
        <f>'Total exports'!AN69/SUM('Total exports'!AN$3:AN$73)</f>
        <v>9.115492600313543E-3</v>
      </c>
      <c r="AO69">
        <f>'Total exports'!AO69/SUM('Total exports'!AO$3:AO$73)</f>
        <v>9.2697451636818192E-3</v>
      </c>
      <c r="AP69">
        <f>'Total exports'!AP69/SUM('Total exports'!AP$3:AP$73)</f>
        <v>9.4263845657896281E-3</v>
      </c>
    </row>
    <row r="70" spans="1:42" x14ac:dyDescent="0.3">
      <c r="A70" t="s">
        <v>217</v>
      </c>
      <c r="B70">
        <f>'Total exports'!B70/SUM('Total exports'!B$3:B$73)</f>
        <v>4.3259760228840221E-4</v>
      </c>
      <c r="C70">
        <f>'Total exports'!C70/SUM('Total exports'!C$3:C$73)</f>
        <v>4.295639866833509E-4</v>
      </c>
      <c r="D70">
        <f>'Total exports'!D70/SUM('Total exports'!D$3:D$73)</f>
        <v>4.3806034937874836E-4</v>
      </c>
      <c r="E70">
        <f>'Total exports'!E70/SUM('Total exports'!E$3:E$73)</f>
        <v>4.6562366239736837E-4</v>
      </c>
      <c r="F70">
        <f>'Total exports'!F70/SUM('Total exports'!F$3:F$73)</f>
        <v>4.9456089259477837E-4</v>
      </c>
      <c r="G70">
        <f>'Total exports'!G70/SUM('Total exports'!G$3:G$73)</f>
        <v>5.3023688248570627E-4</v>
      </c>
      <c r="H70">
        <f>'Total exports'!H70/SUM('Total exports'!H$3:H$73)</f>
        <v>5.3917633941631639E-4</v>
      </c>
      <c r="I70">
        <f>'Total exports'!I70/SUM('Total exports'!I$3:I$73)</f>
        <v>5.1851121946428088E-4</v>
      </c>
      <c r="J70">
        <f>'Total exports'!J70/SUM('Total exports'!J$3:J$73)</f>
        <v>5.3269007522621105E-4</v>
      </c>
      <c r="K70">
        <f>'Total exports'!K70/SUM('Total exports'!K$3:K$73)</f>
        <v>5.401856028501127E-4</v>
      </c>
      <c r="L70">
        <f>'Total exports'!L70/SUM('Total exports'!L$3:L$73)</f>
        <v>5.7459067303073134E-4</v>
      </c>
      <c r="M70">
        <f>'Total exports'!M70/SUM('Total exports'!M$3:M$73)</f>
        <v>5.6828299184857661E-4</v>
      </c>
      <c r="N70">
        <f>'Total exports'!N70/SUM('Total exports'!N$3:N$73)</f>
        <v>5.6724874094717006E-4</v>
      </c>
      <c r="O70">
        <f>'Total exports'!O70/SUM('Total exports'!O$3:O$73)</f>
        <v>5.9137991088630752E-4</v>
      </c>
      <c r="P70">
        <f>'Total exports'!P70/SUM('Total exports'!P$3:P$73)</f>
        <v>6.1425986932282155E-4</v>
      </c>
      <c r="Q70">
        <f>'Total exports'!Q70/SUM('Total exports'!Q$3:Q$73)</f>
        <v>6.3838916788828493E-4</v>
      </c>
      <c r="R70">
        <f>'Total exports'!R70/SUM('Total exports'!R$3:R$73)</f>
        <v>6.6176190912245925E-4</v>
      </c>
      <c r="S70">
        <f>'Total exports'!S70/SUM('Total exports'!S$3:S$73)</f>
        <v>6.8028516676306883E-4</v>
      </c>
      <c r="T70">
        <f>'Total exports'!T70/SUM('Total exports'!T$3:T$73)</f>
        <v>6.7580969878791933E-4</v>
      </c>
      <c r="U70">
        <f>'Total exports'!U70/SUM('Total exports'!U$3:U$73)</f>
        <v>6.8468997677766064E-4</v>
      </c>
      <c r="V70">
        <f>'Total exports'!V70/SUM('Total exports'!V$3:V$73)</f>
        <v>7.0136255366755177E-4</v>
      </c>
      <c r="W70">
        <f>'Total exports'!W70/SUM('Total exports'!W$3:W$73)</f>
        <v>7.1455758623529088E-4</v>
      </c>
      <c r="X70">
        <f>'Total exports'!X70/SUM('Total exports'!X$3:X$73)</f>
        <v>7.280423699299707E-4</v>
      </c>
      <c r="Y70">
        <f>'Total exports'!Y70/SUM('Total exports'!Y$3:Y$73)</f>
        <v>7.4164917572255753E-4</v>
      </c>
      <c r="Z70">
        <f>'Total exports'!Z70/SUM('Total exports'!Z$3:Z$73)</f>
        <v>7.5531563886582179E-4</v>
      </c>
      <c r="AA70">
        <f>'Total exports'!AA70/SUM('Total exports'!AA$3:AA$73)</f>
        <v>7.6908804131542181E-4</v>
      </c>
      <c r="AB70">
        <f>'Total exports'!AB70/SUM('Total exports'!AB$3:AB$73)</f>
        <v>7.8293302238516499E-4</v>
      </c>
      <c r="AC70">
        <f>'Total exports'!AC70/SUM('Total exports'!AC$3:AC$73)</f>
        <v>7.9682232726071731E-4</v>
      </c>
      <c r="AD70">
        <f>'Total exports'!AD70/SUM('Total exports'!AD$3:AD$73)</f>
        <v>8.1081797217259419E-4</v>
      </c>
      <c r="AE70">
        <f>'Total exports'!AE70/SUM('Total exports'!AE$3:AE$73)</f>
        <v>8.2487716577580206E-4</v>
      </c>
      <c r="AF70">
        <f>'Total exports'!AF70/SUM('Total exports'!AF$3:AF$73)</f>
        <v>8.3905958210542264E-4</v>
      </c>
      <c r="AG70">
        <f>'Total exports'!AG70/SUM('Total exports'!AG$3:AG$73)</f>
        <v>8.5348650863267524E-4</v>
      </c>
      <c r="AH70">
        <f>'Total exports'!AH70/SUM('Total exports'!AH$3:AH$73)</f>
        <v>8.6815043781915846E-4</v>
      </c>
      <c r="AI70">
        <f>'Total exports'!AI70/SUM('Total exports'!AI$3:AI$73)</f>
        <v>8.8301127505832102E-4</v>
      </c>
      <c r="AJ70">
        <f>'Total exports'!AJ70/SUM('Total exports'!AJ$3:AJ$73)</f>
        <v>8.9804293225113202E-4</v>
      </c>
      <c r="AK70">
        <f>'Total exports'!AK70/SUM('Total exports'!AK$3:AK$73)</f>
        <v>9.1331215454084746E-4</v>
      </c>
      <c r="AL70">
        <f>'Total exports'!AL70/SUM('Total exports'!AL$3:AL$73)</f>
        <v>9.2881201138810302E-4</v>
      </c>
      <c r="AM70">
        <f>'Total exports'!AM70/SUM('Total exports'!AM$3:AM$73)</f>
        <v>9.4455580392095815E-4</v>
      </c>
      <c r="AN70">
        <f>'Total exports'!AN70/SUM('Total exports'!AN$3:AN$73)</f>
        <v>9.6059548877523021E-4</v>
      </c>
      <c r="AO70">
        <f>'Total exports'!AO70/SUM('Total exports'!AO$3:AO$73)</f>
        <v>9.7691789902230289E-4</v>
      </c>
      <c r="AP70">
        <f>'Total exports'!AP70/SUM('Total exports'!AP$3:AP$73)</f>
        <v>9.930185264520725E-4</v>
      </c>
    </row>
    <row r="71" spans="1:42" x14ac:dyDescent="0.3">
      <c r="A71" t="s">
        <v>218</v>
      </c>
      <c r="B71">
        <f>'Total exports'!B71/SUM('Total exports'!B$3:B$73)</f>
        <v>5.5652245257021822E-4</v>
      </c>
      <c r="C71">
        <f>'Total exports'!C71/SUM('Total exports'!C$3:C$73)</f>
        <v>5.5772470494479373E-4</v>
      </c>
      <c r="D71">
        <f>'Total exports'!D71/SUM('Total exports'!D$3:D$73)</f>
        <v>5.728944408818059E-4</v>
      </c>
      <c r="E71">
        <f>'Total exports'!E71/SUM('Total exports'!E$3:E$73)</f>
        <v>5.4338346418500319E-4</v>
      </c>
      <c r="F71">
        <f>'Total exports'!F71/SUM('Total exports'!F$3:F$73)</f>
        <v>5.5859999031488479E-4</v>
      </c>
      <c r="G71">
        <f>'Total exports'!G71/SUM('Total exports'!G$3:G$73)</f>
        <v>6.1163551298207513E-4</v>
      </c>
      <c r="H71">
        <f>'Total exports'!H71/SUM('Total exports'!H$3:H$73)</f>
        <v>5.8465461350987917E-4</v>
      </c>
      <c r="I71">
        <f>'Total exports'!I71/SUM('Total exports'!I$3:I$73)</f>
        <v>5.1016581748252864E-4</v>
      </c>
      <c r="J71">
        <f>'Total exports'!J71/SUM('Total exports'!J$3:J$73)</f>
        <v>5.0235924072184108E-4</v>
      </c>
      <c r="K71">
        <f>'Total exports'!K71/SUM('Total exports'!K$3:K$73)</f>
        <v>5.1296190002487856E-4</v>
      </c>
      <c r="L71">
        <f>'Total exports'!L71/SUM('Total exports'!L$3:L$73)</f>
        <v>5.3498383822030517E-4</v>
      </c>
      <c r="M71">
        <f>'Total exports'!M71/SUM('Total exports'!M$3:M$73)</f>
        <v>5.3586286264438888E-4</v>
      </c>
      <c r="N71">
        <f>'Total exports'!N71/SUM('Total exports'!N$3:N$73)</f>
        <v>5.3093043504144448E-4</v>
      </c>
      <c r="O71">
        <f>'Total exports'!O71/SUM('Total exports'!O$3:O$73)</f>
        <v>5.4488661527507044E-4</v>
      </c>
      <c r="P71">
        <f>'Total exports'!P71/SUM('Total exports'!P$3:P$73)</f>
        <v>5.5960671912773157E-4</v>
      </c>
      <c r="Q71">
        <f>'Total exports'!Q71/SUM('Total exports'!Q$3:Q$73)</f>
        <v>5.7229057431819525E-4</v>
      </c>
      <c r="R71">
        <f>'Total exports'!R71/SUM('Total exports'!R$3:R$73)</f>
        <v>5.8696796696896278E-4</v>
      </c>
      <c r="S71">
        <f>'Total exports'!S71/SUM('Total exports'!S$3:S$73)</f>
        <v>6.0263532263095734E-4</v>
      </c>
      <c r="T71">
        <f>'Total exports'!T71/SUM('Total exports'!T$3:T$73)</f>
        <v>6.0290464810393318E-4</v>
      </c>
      <c r="U71">
        <f>'Total exports'!U71/SUM('Total exports'!U$3:U$73)</f>
        <v>6.1079679703022148E-4</v>
      </c>
      <c r="V71">
        <f>'Total exports'!V71/SUM('Total exports'!V$3:V$73)</f>
        <v>6.2570744961012537E-4</v>
      </c>
      <c r="W71">
        <f>'Total exports'!W71/SUM('Total exports'!W$3:W$73)</f>
        <v>6.3747826921624698E-4</v>
      </c>
      <c r="X71">
        <f>'Total exports'!X71/SUM('Total exports'!X$3:X$73)</f>
        <v>6.4953049402022322E-4</v>
      </c>
      <c r="Y71">
        <f>'Total exports'!Y71/SUM('Total exports'!Y$3:Y$73)</f>
        <v>6.6166052935115861E-4</v>
      </c>
      <c r="Z71">
        <f>'Total exports'!Z71/SUM('Total exports'!Z$3:Z$73)</f>
        <v>6.738583950193981E-4</v>
      </c>
      <c r="AA71">
        <f>'Total exports'!AA71/SUM('Total exports'!AA$3:AA$73)</f>
        <v>6.8610461326790162E-4</v>
      </c>
      <c r="AB71">
        <f>'Total exports'!AB71/SUM('Total exports'!AB$3:AB$73)</f>
        <v>6.9842638524049633E-4</v>
      </c>
      <c r="AC71">
        <f>'Total exports'!AC71/SUM('Total exports'!AC$3:AC$73)</f>
        <v>7.1080523251536754E-4</v>
      </c>
      <c r="AD71">
        <f>'Total exports'!AD71/SUM('Total exports'!AD$3:AD$73)</f>
        <v>7.2329157440808906E-4</v>
      </c>
      <c r="AE71">
        <f>'Total exports'!AE71/SUM('Total exports'!AE$3:AE$73)</f>
        <v>7.3587217880565772E-4</v>
      </c>
      <c r="AF71">
        <f>'Total exports'!AF71/SUM('Total exports'!AF$3:AF$73)</f>
        <v>7.4853297036524876E-4</v>
      </c>
      <c r="AG71">
        <f>'Total exports'!AG71/SUM('Total exports'!AG$3:AG$73)</f>
        <v>7.6139321600882733E-4</v>
      </c>
      <c r="AH71">
        <f>'Total exports'!AH71/SUM('Total exports'!AH$3:AH$73)</f>
        <v>7.7449677410123933E-4</v>
      </c>
      <c r="AI71">
        <f>'Total exports'!AI71/SUM('Total exports'!AI$3:AI$73)</f>
        <v>7.8778838698537537E-4</v>
      </c>
      <c r="AJ71">
        <f>'Total exports'!AJ71/SUM('Total exports'!AJ$3:AJ$73)</f>
        <v>8.0127165894650987E-4</v>
      </c>
      <c r="AK71">
        <f>'Total exports'!AK71/SUM('Total exports'!AK$3:AK$73)</f>
        <v>8.1498270944718059E-4</v>
      </c>
      <c r="AL71">
        <f>'Total exports'!AL71/SUM('Total exports'!AL$3:AL$73)</f>
        <v>8.2892076311664434E-4</v>
      </c>
      <c r="AM71">
        <f>'Total exports'!AM71/SUM('Total exports'!AM$3:AM$73)</f>
        <v>8.4305407847818075E-4</v>
      </c>
      <c r="AN71">
        <f>'Total exports'!AN71/SUM('Total exports'!AN$3:AN$73)</f>
        <v>8.5738513970711676E-4</v>
      </c>
      <c r="AO71">
        <f>'Total exports'!AO71/SUM('Total exports'!AO$3:AO$73)</f>
        <v>8.7197597617141615E-4</v>
      </c>
      <c r="AP71">
        <f>'Total exports'!AP71/SUM('Total exports'!AP$3:AP$73)</f>
        <v>8.8677187919559562E-4</v>
      </c>
    </row>
    <row r="72" spans="1:42" x14ac:dyDescent="0.3">
      <c r="A72" t="s">
        <v>219</v>
      </c>
      <c r="B72">
        <f>'Total exports'!B72/SUM('Total exports'!B$3:B$73)</f>
        <v>1.0941805585556998E-2</v>
      </c>
      <c r="C72">
        <f>'Total exports'!C72/SUM('Total exports'!C$3:C$73)</f>
        <v>1.1808696278082559E-2</v>
      </c>
      <c r="D72">
        <f>'Total exports'!D72/SUM('Total exports'!D$3:D$73)</f>
        <v>1.3835423575266922E-2</v>
      </c>
      <c r="E72">
        <f>'Total exports'!E72/SUM('Total exports'!E$3:E$73)</f>
        <v>1.3785532577307672E-2</v>
      </c>
      <c r="F72">
        <f>'Total exports'!F72/SUM('Total exports'!F$3:F$73)</f>
        <v>1.6773634775923845E-2</v>
      </c>
      <c r="G72">
        <f>'Total exports'!G72/SUM('Total exports'!G$3:G$73)</f>
        <v>2.1533818840105703E-2</v>
      </c>
      <c r="H72">
        <f>'Total exports'!H72/SUM('Total exports'!H$3:H$73)</f>
        <v>2.2377549010210239E-2</v>
      </c>
      <c r="I72">
        <f>'Total exports'!I72/SUM('Total exports'!I$3:I$73)</f>
        <v>2.2162442242603921E-2</v>
      </c>
      <c r="J72">
        <f>'Total exports'!J72/SUM('Total exports'!J$3:J$73)</f>
        <v>2.4060016916488371E-2</v>
      </c>
      <c r="K72">
        <f>'Total exports'!K72/SUM('Total exports'!K$3:K$73)</f>
        <v>2.4169878149974962E-2</v>
      </c>
      <c r="L72">
        <f>'Total exports'!L72/SUM('Total exports'!L$3:L$73)</f>
        <v>2.4057737453218573E-2</v>
      </c>
      <c r="M72">
        <f>'Total exports'!M72/SUM('Total exports'!M$3:M$73)</f>
        <v>2.3264117378489636E-2</v>
      </c>
      <c r="N72">
        <f>'Total exports'!N72/SUM('Total exports'!N$3:N$73)</f>
        <v>2.2985104612146499E-2</v>
      </c>
      <c r="O72">
        <f>'Total exports'!O72/SUM('Total exports'!O$3:O$73)</f>
        <v>2.3398437744150794E-2</v>
      </c>
      <c r="P72">
        <f>'Total exports'!P72/SUM('Total exports'!P$3:P$73)</f>
        <v>2.349102545093874E-2</v>
      </c>
      <c r="Q72">
        <f>'Total exports'!Q72/SUM('Total exports'!Q$3:Q$73)</f>
        <v>2.3638611771377101E-2</v>
      </c>
      <c r="R72">
        <f>'Total exports'!R72/SUM('Total exports'!R$3:R$73)</f>
        <v>2.3939937600214449E-2</v>
      </c>
      <c r="S72">
        <f>'Total exports'!S72/SUM('Total exports'!S$3:S$73)</f>
        <v>2.4333606918380137E-2</v>
      </c>
      <c r="T72">
        <f>'Total exports'!T72/SUM('Total exports'!T$3:T$73)</f>
        <v>2.4000078049737476E-2</v>
      </c>
      <c r="U72">
        <f>'Total exports'!U72/SUM('Total exports'!U$3:U$73)</f>
        <v>2.4000918076021394E-2</v>
      </c>
      <c r="V72">
        <f>'Total exports'!V72/SUM('Total exports'!V$3:V$73)</f>
        <v>2.4316806512196362E-2</v>
      </c>
      <c r="W72">
        <f>'Total exports'!W72/SUM('Total exports'!W$3:W$73)</f>
        <v>2.4479597720787959E-2</v>
      </c>
      <c r="X72">
        <f>'Total exports'!X72/SUM('Total exports'!X$3:X$73)</f>
        <v>2.464594539954813E-2</v>
      </c>
      <c r="Y72">
        <f>'Total exports'!Y72/SUM('Total exports'!Y$3:Y$73)</f>
        <v>2.4809589179437003E-2</v>
      </c>
      <c r="Z72">
        <f>'Total exports'!Z72/SUM('Total exports'!Z$3:Z$73)</f>
        <v>2.4968629158627277E-2</v>
      </c>
      <c r="AA72">
        <f>'Total exports'!AA72/SUM('Total exports'!AA$3:AA$73)</f>
        <v>2.5124419194132525E-2</v>
      </c>
      <c r="AB72">
        <f>'Total exports'!AB72/SUM('Total exports'!AB$3:AB$73)</f>
        <v>2.5276733883863325E-2</v>
      </c>
      <c r="AC72">
        <f>'Total exports'!AC72/SUM('Total exports'!AC$3:AC$73)</f>
        <v>2.5424097055175846E-2</v>
      </c>
      <c r="AD72">
        <f>'Total exports'!AD72/SUM('Total exports'!AD$3:AD$73)</f>
        <v>2.5569382749390565E-2</v>
      </c>
      <c r="AE72">
        <f>'Total exports'!AE72/SUM('Total exports'!AE$3:AE$73)</f>
        <v>2.5711363610057398E-2</v>
      </c>
      <c r="AF72">
        <f>'Total exports'!AF72/SUM('Total exports'!AF$3:AF$73)</f>
        <v>2.5850695864918533E-2</v>
      </c>
      <c r="AG72">
        <f>'Total exports'!AG72/SUM('Total exports'!AG$3:AG$73)</f>
        <v>2.5991738606308452E-2</v>
      </c>
      <c r="AH72">
        <f>'Total exports'!AH72/SUM('Total exports'!AH$3:AH$73)</f>
        <v>2.6134239730692451E-2</v>
      </c>
      <c r="AI72">
        <f>'Total exports'!AI72/SUM('Total exports'!AI$3:AI$73)</f>
        <v>2.627697553040147E-2</v>
      </c>
      <c r="AJ72">
        <f>'Total exports'!AJ72/SUM('Total exports'!AJ$3:AJ$73)</f>
        <v>2.6418436311085858E-2</v>
      </c>
      <c r="AK72">
        <f>'Total exports'!AK72/SUM('Total exports'!AK$3:AK$73)</f>
        <v>2.6561668085475724E-2</v>
      </c>
      <c r="AL72">
        <f>'Total exports'!AL72/SUM('Total exports'!AL$3:AL$73)</f>
        <v>2.6705798741715168E-2</v>
      </c>
      <c r="AM72">
        <f>'Total exports'!AM72/SUM('Total exports'!AM$3:AM$73)</f>
        <v>2.6851749670268668E-2</v>
      </c>
      <c r="AN72">
        <f>'Total exports'!AN72/SUM('Total exports'!AN$3:AN$73)</f>
        <v>2.699830033748608E-2</v>
      </c>
      <c r="AO72">
        <f>'Total exports'!AO72/SUM('Total exports'!AO$3:AO$73)</f>
        <v>2.7146161517800485E-2</v>
      </c>
      <c r="AP72">
        <f>'Total exports'!AP72/SUM('Total exports'!AP$3:AP$73)</f>
        <v>2.7294391054902743E-2</v>
      </c>
    </row>
    <row r="73" spans="1:42" x14ac:dyDescent="0.3">
      <c r="A73" t="s">
        <v>220</v>
      </c>
      <c r="B73">
        <f>'Total exports'!B73/SUM('Total exports'!B$3:B$73)</f>
        <v>1.6770730396230141E-3</v>
      </c>
      <c r="C73">
        <f>'Total exports'!C73/SUM('Total exports'!C$3:C$73)</f>
        <v>1.5930799067458722E-3</v>
      </c>
      <c r="D73">
        <f>'Total exports'!D73/SUM('Total exports'!D$3:D$73)</f>
        <v>1.3049966112418164E-3</v>
      </c>
      <c r="E73">
        <f>'Total exports'!E73/SUM('Total exports'!E$3:E$73)</f>
        <v>1.4367154996175614E-3</v>
      </c>
      <c r="F73">
        <f>'Total exports'!F73/SUM('Total exports'!F$3:F$73)</f>
        <v>1.3490558014930128E-3</v>
      </c>
      <c r="G73">
        <f>'Total exports'!G73/SUM('Total exports'!G$3:G$73)</f>
        <v>1.2471464740719043E-3</v>
      </c>
      <c r="H73">
        <f>'Total exports'!H73/SUM('Total exports'!H$3:H$73)</f>
        <v>1.2195057239353735E-3</v>
      </c>
      <c r="I73">
        <f>'Total exports'!I73/SUM('Total exports'!I$3:I$73)</f>
        <v>1.1444504582206571E-3</v>
      </c>
      <c r="J73">
        <f>'Total exports'!J73/SUM('Total exports'!J$3:J$73)</f>
        <v>1.2293332904815451E-3</v>
      </c>
      <c r="K73">
        <f>'Total exports'!K73/SUM('Total exports'!K$3:K$73)</f>
        <v>1.2314648061793364E-3</v>
      </c>
      <c r="L73">
        <f>'Total exports'!L73/SUM('Total exports'!L$3:L$73)</f>
        <v>1.2754077777646449E-3</v>
      </c>
      <c r="M73">
        <f>'Total exports'!M73/SUM('Total exports'!M$3:M$73)</f>
        <v>1.2564092621721451E-3</v>
      </c>
      <c r="N73">
        <f>'Total exports'!N73/SUM('Total exports'!N$3:N$73)</f>
        <v>1.2521486210462557E-3</v>
      </c>
      <c r="O73">
        <f>'Total exports'!O73/SUM('Total exports'!O$3:O$73)</f>
        <v>1.2660782926917739E-3</v>
      </c>
      <c r="P73">
        <f>'Total exports'!P73/SUM('Total exports'!P$3:P$73)</f>
        <v>1.2876397025173105E-3</v>
      </c>
      <c r="Q73">
        <f>'Total exports'!Q73/SUM('Total exports'!Q$3:Q$73)</f>
        <v>1.3096850569744003E-3</v>
      </c>
      <c r="R73">
        <f>'Total exports'!R73/SUM('Total exports'!R$3:R$73)</f>
        <v>1.3421261687557801E-3</v>
      </c>
      <c r="S73">
        <f>'Total exports'!S73/SUM('Total exports'!S$3:S$73)</f>
        <v>1.3711481801743639E-3</v>
      </c>
      <c r="T73">
        <f>'Total exports'!T73/SUM('Total exports'!T$3:T$73)</f>
        <v>1.4316399226368631E-3</v>
      </c>
      <c r="U73">
        <f>'Total exports'!U73/SUM('Total exports'!U$3:U$73)</f>
        <v>1.4726089937192473E-3</v>
      </c>
      <c r="V73">
        <f>'Total exports'!V73/SUM('Total exports'!V$3:V$73)</f>
        <v>1.4977326535154454E-3</v>
      </c>
      <c r="W73">
        <f>'Total exports'!W73/SUM('Total exports'!W$3:W$73)</f>
        <v>1.5308106355190899E-3</v>
      </c>
      <c r="X73">
        <f>'Total exports'!X73/SUM('Total exports'!X$3:X$73)</f>
        <v>1.5634496848529501E-3</v>
      </c>
      <c r="Y73">
        <f>'Total exports'!Y73/SUM('Total exports'!Y$3:Y$73)</f>
        <v>1.5952050441650609E-3</v>
      </c>
      <c r="Z73">
        <f>'Total exports'!Z73/SUM('Total exports'!Z$3:Z$73)</f>
        <v>1.6259699313784966E-3</v>
      </c>
      <c r="AA73">
        <f>'Total exports'!AA73/SUM('Total exports'!AA$3:AA$73)</f>
        <v>1.6558780972532807E-3</v>
      </c>
      <c r="AB73">
        <f>'Total exports'!AB73/SUM('Total exports'!AB$3:AB$73)</f>
        <v>1.6848642253997179E-3</v>
      </c>
      <c r="AC73">
        <f>'Total exports'!AC73/SUM('Total exports'!AC$3:AC$73)</f>
        <v>1.7127659360744295E-3</v>
      </c>
      <c r="AD73">
        <f>'Total exports'!AD73/SUM('Total exports'!AD$3:AD$73)</f>
        <v>1.7398760977237297E-3</v>
      </c>
      <c r="AE73">
        <f>'Total exports'!AE73/SUM('Total exports'!AE$3:AE$73)</f>
        <v>1.7659852817297852E-3</v>
      </c>
      <c r="AF73">
        <f>'Total exports'!AF73/SUM('Total exports'!AF$3:AF$73)</f>
        <v>1.7911814388776998E-3</v>
      </c>
      <c r="AG73">
        <f>'Total exports'!AG73/SUM('Total exports'!AG$3:AG$73)</f>
        <v>1.8158845607853936E-3</v>
      </c>
      <c r="AH73">
        <f>'Total exports'!AH73/SUM('Total exports'!AH$3:AH$73)</f>
        <v>1.839931773844292E-3</v>
      </c>
      <c r="AI73">
        <f>'Total exports'!AI73/SUM('Total exports'!AI$3:AI$73)</f>
        <v>1.863300812242651E-3</v>
      </c>
      <c r="AJ73">
        <f>'Total exports'!AJ73/SUM('Total exports'!AJ$3:AJ$73)</f>
        <v>1.8858419022812355E-3</v>
      </c>
      <c r="AK73">
        <f>'Total exports'!AK73/SUM('Total exports'!AK$3:AK$73)</f>
        <v>1.9078151305798928E-3</v>
      </c>
      <c r="AL73">
        <f>'Total exports'!AL73/SUM('Total exports'!AL$3:AL$73)</f>
        <v>1.9292696750666954E-3</v>
      </c>
      <c r="AM73">
        <f>'Total exports'!AM73/SUM('Total exports'!AM$3:AM$73)</f>
        <v>1.9500904896796506E-3</v>
      </c>
      <c r="AN73">
        <f>'Total exports'!AN73/SUM('Total exports'!AN$3:AN$73)</f>
        <v>1.9702679357892698E-3</v>
      </c>
      <c r="AO73">
        <f>'Total exports'!AO73/SUM('Total exports'!AO$3:AO$73)</f>
        <v>1.9898063402593426E-3</v>
      </c>
      <c r="AP73">
        <f>'Total exports'!AP73/SUM('Total exports'!AP$3:AP$73)</f>
        <v>2.0086201281968199E-3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8D8A-5893-4A88-955A-A733A88F9975}">
  <sheetPr>
    <tabColor theme="6"/>
  </sheetPr>
  <dimension ref="A1:AP73"/>
  <sheetViews>
    <sheetView topLeftCell="U50" workbookViewId="0">
      <selection activeCell="AP82" sqref="AP82"/>
    </sheetView>
  </sheetViews>
  <sheetFormatPr defaultRowHeight="15.75" x14ac:dyDescent="0.3"/>
  <sheetData>
    <row r="1" spans="1:42" x14ac:dyDescent="0.3">
      <c r="A1" t="s">
        <v>0</v>
      </c>
    </row>
    <row r="2" spans="1:42" x14ac:dyDescent="0.3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3">
      <c r="A3" t="s">
        <v>2</v>
      </c>
      <c r="B3">
        <f>'Export shares'!B3*'Indirect NH3 demand sources'!B$3</f>
        <v>0</v>
      </c>
      <c r="C3">
        <f>'Export shares'!C3*'Indirect NH3 demand sources'!C$3</f>
        <v>0</v>
      </c>
      <c r="D3">
        <f>'Export shares'!D3*'Indirect NH3 demand sources'!D$3</f>
        <v>0</v>
      </c>
      <c r="E3">
        <f>'Export shares'!E3*'Indirect NH3 demand sources'!E$3</f>
        <v>0</v>
      </c>
      <c r="F3">
        <f>'Export shares'!F3*'Indirect NH3 demand sources'!F$3</f>
        <v>0</v>
      </c>
      <c r="G3">
        <f>'Export shares'!G3*'Indirect NH3 demand sources'!G$3</f>
        <v>0</v>
      </c>
      <c r="H3">
        <f>'Export shares'!H3*'Indirect NH3 demand sources'!H$3</f>
        <v>0</v>
      </c>
      <c r="I3">
        <f>'Export shares'!I3*'Indirect NH3 demand sources'!I$3</f>
        <v>0</v>
      </c>
      <c r="J3">
        <f>'Export shares'!J3*'Indirect NH3 demand sources'!J$3</f>
        <v>0</v>
      </c>
      <c r="K3">
        <f>'Export shares'!K3*'Indirect NH3 demand sources'!K$3</f>
        <v>0</v>
      </c>
      <c r="L3">
        <f>'Export shares'!L3*'Indirect NH3 demand sources'!L$3</f>
        <v>0</v>
      </c>
      <c r="M3">
        <f>'Export shares'!M3*'Indirect NH3 demand sources'!M$3</f>
        <v>0</v>
      </c>
      <c r="N3">
        <f>'Export shares'!N3*'Indirect NH3 demand sources'!N$3</f>
        <v>0</v>
      </c>
      <c r="O3">
        <f>'Export shares'!O3*'Indirect NH3 demand sources'!O$3</f>
        <v>0</v>
      </c>
      <c r="P3">
        <f>'Export shares'!P3*'Indirect NH3 demand sources'!P$3</f>
        <v>0</v>
      </c>
      <c r="Q3">
        <f>'Export shares'!Q3*'Indirect NH3 demand sources'!Q$3</f>
        <v>0</v>
      </c>
      <c r="R3">
        <f>'Export shares'!R3*'Indirect NH3 demand sources'!R$3</f>
        <v>5.3742298807554403E-3</v>
      </c>
      <c r="S3">
        <f>'Export shares'!S3*'Indirect NH3 demand sources'!S$3</f>
        <v>1.0584815372144894E-2</v>
      </c>
      <c r="T3">
        <f>'Export shares'!T3*'Indirect NH3 demand sources'!T$3</f>
        <v>1.5493987051253325E-2</v>
      </c>
      <c r="U3">
        <f>'Export shares'!U3*'Indirect NH3 demand sources'!U$3</f>
        <v>2.0218031740930228E-2</v>
      </c>
      <c r="V3">
        <f>'Export shares'!V3*'Indirect NH3 demand sources'!V$3</f>
        <v>2.509728706420964E-2</v>
      </c>
      <c r="W3">
        <f>'Export shares'!W3*'Indirect NH3 demand sources'!W$3</f>
        <v>6.5996451736813344E-2</v>
      </c>
      <c r="X3">
        <f>'Export shares'!X3*'Indirect NH3 demand sources'!X$3</f>
        <v>0.10574486571093965</v>
      </c>
      <c r="Y3">
        <f>'Export shares'!Y3*'Indirect NH3 demand sources'!Y$3</f>
        <v>0.1443838421666587</v>
      </c>
      <c r="Z3">
        <f>'Export shares'!Z3*'Indirect NH3 demand sources'!Z$3</f>
        <v>0.18201693511068334</v>
      </c>
      <c r="AA3">
        <f>'Export shares'!AA3*'Indirect NH3 demand sources'!AA$3</f>
        <v>0.21874920625709446</v>
      </c>
      <c r="AB3">
        <f>'Export shares'!AB3*'Indirect NH3 demand sources'!AB$3</f>
        <v>0.2546579664334313</v>
      </c>
      <c r="AC3">
        <f>'Export shares'!AC3*'Indirect NH3 demand sources'!AC$3</f>
        <v>0.28981385842557927</v>
      </c>
      <c r="AD3">
        <f>'Export shares'!AD3*'Indirect NH3 demand sources'!AD$3</f>
        <v>0.32430013281419129</v>
      </c>
      <c r="AE3">
        <f>'Export shares'!AE3*'Indirect NH3 demand sources'!AE$3</f>
        <v>0.3581869737268617</v>
      </c>
      <c r="AF3">
        <f>'Export shares'!AF3*'Indirect NH3 demand sources'!AF$3</f>
        <v>0.39169394638424476</v>
      </c>
      <c r="AG3">
        <f>'Export shares'!AG3*'Indirect NH3 demand sources'!AG$3</f>
        <v>0.48219252690701808</v>
      </c>
      <c r="AH3">
        <f>'Export shares'!AH3*'Indirect NH3 demand sources'!AH$3</f>
        <v>0.57071659950180975</v>
      </c>
      <c r="AI3">
        <f>'Export shares'!AI3*'Indirect NH3 demand sources'!AI$3</f>
        <v>0.65699931269066325</v>
      </c>
      <c r="AJ3">
        <f>'Export shares'!AJ3*'Indirect NH3 demand sources'!AJ$3</f>
        <v>0.74098871206065908</v>
      </c>
      <c r="AK3">
        <f>'Export shares'!AK3*'Indirect NH3 demand sources'!AK$3</f>
        <v>0.82275240411310202</v>
      </c>
      <c r="AL3">
        <f>'Export shares'!AL3*'Indirect NH3 demand sources'!AL$3</f>
        <v>0.90215002862466387</v>
      </c>
      <c r="AM3">
        <f>'Export shares'!AM3*'Indirect NH3 demand sources'!AM$3</f>
        <v>0.97912168145771761</v>
      </c>
      <c r="AN3">
        <f>'Export shares'!AN3*'Indirect NH3 demand sources'!AN$3</f>
        <v>1.0537518854579702</v>
      </c>
      <c r="AO3">
        <f>'Export shares'!AO3*'Indirect NH3 demand sources'!AO$3</f>
        <v>1.1262373399310319</v>
      </c>
      <c r="AP3">
        <f>'Export shares'!AP3*'Indirect NH3 demand sources'!AP$3</f>
        <v>1.1964710897462305</v>
      </c>
    </row>
    <row r="4" spans="1:42" x14ac:dyDescent="0.3">
      <c r="A4" t="s">
        <v>3</v>
      </c>
      <c r="B4">
        <f>'Export shares'!B4*'Indirect NH3 demand sources'!B$3</f>
        <v>0</v>
      </c>
      <c r="C4">
        <f>'Export shares'!C4*'Indirect NH3 demand sources'!C$3</f>
        <v>0</v>
      </c>
      <c r="D4">
        <f>'Export shares'!D4*'Indirect NH3 demand sources'!D$3</f>
        <v>0</v>
      </c>
      <c r="E4">
        <f>'Export shares'!E4*'Indirect NH3 demand sources'!E$3</f>
        <v>0</v>
      </c>
      <c r="F4">
        <f>'Export shares'!F4*'Indirect NH3 demand sources'!F$3</f>
        <v>0</v>
      </c>
      <c r="G4">
        <f>'Export shares'!G4*'Indirect NH3 demand sources'!G$3</f>
        <v>0</v>
      </c>
      <c r="H4">
        <f>'Export shares'!H4*'Indirect NH3 demand sources'!H$3</f>
        <v>0</v>
      </c>
      <c r="I4">
        <f>'Export shares'!I4*'Indirect NH3 demand sources'!I$3</f>
        <v>0</v>
      </c>
      <c r="J4">
        <f>'Export shares'!J4*'Indirect NH3 demand sources'!J$3</f>
        <v>0</v>
      </c>
      <c r="K4">
        <f>'Export shares'!K4*'Indirect NH3 demand sources'!K$3</f>
        <v>0</v>
      </c>
      <c r="L4">
        <f>'Export shares'!L4*'Indirect NH3 demand sources'!L$3</f>
        <v>0</v>
      </c>
      <c r="M4">
        <f>'Export shares'!M4*'Indirect NH3 demand sources'!M$3</f>
        <v>0</v>
      </c>
      <c r="N4">
        <f>'Export shares'!N4*'Indirect NH3 demand sources'!N$3</f>
        <v>0</v>
      </c>
      <c r="O4">
        <f>'Export shares'!O4*'Indirect NH3 demand sources'!O$3</f>
        <v>0</v>
      </c>
      <c r="P4">
        <f>'Export shares'!P4*'Indirect NH3 demand sources'!P$3</f>
        <v>0</v>
      </c>
      <c r="Q4">
        <f>'Export shares'!Q4*'Indirect NH3 demand sources'!Q$3</f>
        <v>0</v>
      </c>
      <c r="R4">
        <f>'Export shares'!R4*'Indirect NH3 demand sources'!R$3</f>
        <v>4.424364286477714E-3</v>
      </c>
      <c r="S4">
        <f>'Export shares'!S4*'Indirect NH3 demand sources'!S$3</f>
        <v>8.6587909554359729E-3</v>
      </c>
      <c r="T4">
        <f>'Export shares'!T4*'Indirect NH3 demand sources'!T$3</f>
        <v>1.261423142614961E-2</v>
      </c>
      <c r="U4">
        <f>'Export shares'!U4*'Indirect NH3 demand sources'!U$3</f>
        <v>1.6414140209032271E-2</v>
      </c>
      <c r="V4">
        <f>'Export shares'!V4*'Indirect NH3 demand sources'!V$3</f>
        <v>2.0319759968343065E-2</v>
      </c>
      <c r="W4">
        <f>'Export shares'!W4*'Indirect NH3 demand sources'!W$3</f>
        <v>5.3411181661804467E-2</v>
      </c>
      <c r="X4">
        <f>'Export shares'!X4*'Indirect NH3 demand sources'!X$3</f>
        <v>8.5614191958148081E-2</v>
      </c>
      <c r="Y4">
        <f>'Export shares'!Y4*'Indirect NH3 demand sources'!Y$3</f>
        <v>0.11692968408463698</v>
      </c>
      <c r="Z4">
        <f>'Export shares'!Z4*'Indirect NH3 demand sources'!Z$3</f>
        <v>0.14741982962307842</v>
      </c>
      <c r="AA4">
        <f>'Export shares'!AA4*'Indirect NH3 demand sources'!AA$3</f>
        <v>0.17715028205018746</v>
      </c>
      <c r="AB4">
        <f>'Export shares'!AB4*'Indirect NH3 demand sources'!AB$3</f>
        <v>0.20618628333020125</v>
      </c>
      <c r="AC4">
        <f>'Export shares'!AC4*'Indirect NH3 demand sources'!AC$3</f>
        <v>0.23454944031755545</v>
      </c>
      <c r="AD4">
        <f>'Export shares'!AD4*'Indirect NH3 demand sources'!AD$3</f>
        <v>0.26233472822674714</v>
      </c>
      <c r="AE4">
        <f>'Export shares'!AE4*'Indirect NH3 demand sources'!AE$3</f>
        <v>0.28961179555321714</v>
      </c>
      <c r="AF4">
        <f>'Export shares'!AF4*'Indirect NH3 demand sources'!AF$3</f>
        <v>0.31653044782616635</v>
      </c>
      <c r="AG4">
        <f>'Export shares'!AG4*'Indirect NH3 demand sources'!AG$3</f>
        <v>0.3896547110381513</v>
      </c>
      <c r="AH4">
        <f>'Export shares'!AH4*'Indirect NH3 demand sources'!AH$3</f>
        <v>0.46130443551079148</v>
      </c>
      <c r="AI4">
        <f>'Export shares'!AI4*'Indirect NH3 demand sources'!AI$3</f>
        <v>0.53148846225992419</v>
      </c>
      <c r="AJ4">
        <f>'Export shares'!AJ4*'Indirect NH3 demand sources'!AJ$3</f>
        <v>0.60028379669425413</v>
      </c>
      <c r="AK4">
        <f>'Export shares'!AK4*'Indirect NH3 demand sources'!AK$3</f>
        <v>0.66764677554911966</v>
      </c>
      <c r="AL4">
        <f>'Export shares'!AL4*'Indirect NH3 demand sources'!AL$3</f>
        <v>0.73360734888305112</v>
      </c>
      <c r="AM4">
        <f>'Export shares'!AM4*'Indirect NH3 demand sources'!AM$3</f>
        <v>0.79821253508066148</v>
      </c>
      <c r="AN4">
        <f>'Export shares'!AN4*'Indirect NH3 demand sources'!AN$3</f>
        <v>0.86140639869757651</v>
      </c>
      <c r="AO4">
        <f>'Export shares'!AO4*'Indirect NH3 demand sources'!AO$3</f>
        <v>0.92322171096303374</v>
      </c>
      <c r="AP4">
        <f>'Export shares'!AP4*'Indirect NH3 demand sources'!AP$3</f>
        <v>0.98362172557169925</v>
      </c>
    </row>
    <row r="5" spans="1:42" x14ac:dyDescent="0.3">
      <c r="A5" t="s">
        <v>4</v>
      </c>
      <c r="B5">
        <f>'Export shares'!B5*'Indirect NH3 demand sources'!B$3</f>
        <v>0</v>
      </c>
      <c r="C5">
        <f>'Export shares'!C5*'Indirect NH3 demand sources'!C$3</f>
        <v>0</v>
      </c>
      <c r="D5">
        <f>'Export shares'!D5*'Indirect NH3 demand sources'!D$3</f>
        <v>0</v>
      </c>
      <c r="E5">
        <f>'Export shares'!E5*'Indirect NH3 demand sources'!E$3</f>
        <v>0</v>
      </c>
      <c r="F5">
        <f>'Export shares'!F5*'Indirect NH3 demand sources'!F$3</f>
        <v>0</v>
      </c>
      <c r="G5">
        <f>'Export shares'!G5*'Indirect NH3 demand sources'!G$3</f>
        <v>0</v>
      </c>
      <c r="H5">
        <f>'Export shares'!H5*'Indirect NH3 demand sources'!H$3</f>
        <v>0</v>
      </c>
      <c r="I5">
        <f>'Export shares'!I5*'Indirect NH3 demand sources'!I$3</f>
        <v>0</v>
      </c>
      <c r="J5">
        <f>'Export shares'!J5*'Indirect NH3 demand sources'!J$3</f>
        <v>0</v>
      </c>
      <c r="K5">
        <f>'Export shares'!K5*'Indirect NH3 demand sources'!K$3</f>
        <v>0</v>
      </c>
      <c r="L5">
        <f>'Export shares'!L5*'Indirect NH3 demand sources'!L$3</f>
        <v>0</v>
      </c>
      <c r="M5">
        <f>'Export shares'!M5*'Indirect NH3 demand sources'!M$3</f>
        <v>0</v>
      </c>
      <c r="N5">
        <f>'Export shares'!N5*'Indirect NH3 demand sources'!N$3</f>
        <v>0</v>
      </c>
      <c r="O5">
        <f>'Export shares'!O5*'Indirect NH3 demand sources'!O$3</f>
        <v>0</v>
      </c>
      <c r="P5">
        <f>'Export shares'!P5*'Indirect NH3 demand sources'!P$3</f>
        <v>0</v>
      </c>
      <c r="Q5">
        <f>'Export shares'!Q5*'Indirect NH3 demand sources'!Q$3</f>
        <v>0</v>
      </c>
      <c r="R5">
        <f>'Export shares'!R5*'Indirect NH3 demand sources'!R$3</f>
        <v>2.8632594235669863E-2</v>
      </c>
      <c r="S5">
        <f>'Export shares'!S5*'Indirect NH3 demand sources'!S$3</f>
        <v>5.6258267528799782E-2</v>
      </c>
      <c r="T5">
        <f>'Export shares'!T5*'Indirect NH3 demand sources'!T$3</f>
        <v>8.2182082979994006E-2</v>
      </c>
      <c r="U5">
        <f>'Export shares'!U5*'Indirect NH3 demand sources'!U$3</f>
        <v>0.10702788684206854</v>
      </c>
      <c r="V5">
        <f>'Export shares'!V5*'Indirect NH3 demand sources'!V$3</f>
        <v>0.13230542836457207</v>
      </c>
      <c r="W5">
        <f>'Export shares'!W5*'Indirect NH3 demand sources'!W$3</f>
        <v>0.34648900747945804</v>
      </c>
      <c r="X5">
        <f>'Export shares'!X5*'Indirect NH3 demand sources'!X$3</f>
        <v>0.5532659304642672</v>
      </c>
      <c r="Y5">
        <f>'Export shares'!Y5*'Indirect NH3 demand sources'!Y$3</f>
        <v>0.75325200150092253</v>
      </c>
      <c r="Z5">
        <f>'Export shares'!Z5*'Indirect NH3 demand sources'!Z$3</f>
        <v>0.94716282297059817</v>
      </c>
      <c r="AA5">
        <f>'Export shares'!AA5*'Indirect NH3 demand sources'!AA$3</f>
        <v>1.1359583556692516</v>
      </c>
      <c r="AB5">
        <f>'Export shares'!AB5*'Indirect NH3 demand sources'!AB$3</f>
        <v>1.3206163418920183</v>
      </c>
      <c r="AC5">
        <f>'Export shares'!AC5*'Indirect NH3 demand sources'!AC$3</f>
        <v>1.5017253644596753</v>
      </c>
      <c r="AD5">
        <f>'Export shares'!AD5*'Indirect NH3 demand sources'!AD$3</f>
        <v>1.6794430281720574</v>
      </c>
      <c r="AE5">
        <f>'Export shares'!AE5*'Indirect NH3 demand sources'!AE$3</f>
        <v>1.8537610246134062</v>
      </c>
      <c r="AF5">
        <f>'Export shares'!AF5*'Indirect NH3 demand sources'!AF$3</f>
        <v>2.0257542725102846</v>
      </c>
      <c r="AG5">
        <f>'Export shares'!AG5*'Indirect NH3 demand sources'!AG$3</f>
        <v>2.4931719799617365</v>
      </c>
      <c r="AH5">
        <f>'Export shares'!AH5*'Indirect NH3 demand sources'!AH$3</f>
        <v>2.9507944900366607</v>
      </c>
      <c r="AI5">
        <f>'Export shares'!AI5*'Indirect NH3 demand sources'!AI$3</f>
        <v>3.3973401922533313</v>
      </c>
      <c r="AJ5">
        <f>'Export shares'!AJ5*'Indirect NH3 demand sources'!AJ$3</f>
        <v>3.8325884444923273</v>
      </c>
      <c r="AK5">
        <f>'Export shares'!AK5*'Indirect NH3 demand sources'!AK$3</f>
        <v>4.2562349645685131</v>
      </c>
      <c r="AL5">
        <f>'Export shares'!AL5*'Indirect NH3 demand sources'!AL$3</f>
        <v>4.6679293476479993</v>
      </c>
      <c r="AM5">
        <f>'Export shares'!AM5*'Indirect NH3 demand sources'!AM$3</f>
        <v>5.0669339776462285</v>
      </c>
      <c r="AN5">
        <f>'Export shares'!AN5*'Indirect NH3 demand sources'!AN$3</f>
        <v>5.4531631260297262</v>
      </c>
      <c r="AO5">
        <f>'Export shares'!AO5*'Indirect NH3 demand sources'!AO$3</f>
        <v>5.8267255836973435</v>
      </c>
      <c r="AP5">
        <f>'Export shares'!AP5*'Indirect NH3 demand sources'!AP$3</f>
        <v>6.1872344834616939</v>
      </c>
    </row>
    <row r="6" spans="1:42" x14ac:dyDescent="0.3">
      <c r="A6" t="s">
        <v>5</v>
      </c>
      <c r="B6">
        <f>'Export shares'!B6*'Indirect NH3 demand sources'!B$3</f>
        <v>0</v>
      </c>
      <c r="C6">
        <f>'Export shares'!C6*'Indirect NH3 demand sources'!C$3</f>
        <v>0</v>
      </c>
      <c r="D6">
        <f>'Export shares'!D6*'Indirect NH3 demand sources'!D$3</f>
        <v>0</v>
      </c>
      <c r="E6">
        <f>'Export shares'!E6*'Indirect NH3 demand sources'!E$3</f>
        <v>0</v>
      </c>
      <c r="F6">
        <f>'Export shares'!F6*'Indirect NH3 demand sources'!F$3</f>
        <v>0</v>
      </c>
      <c r="G6">
        <f>'Export shares'!G6*'Indirect NH3 demand sources'!G$3</f>
        <v>0</v>
      </c>
      <c r="H6">
        <f>'Export shares'!H6*'Indirect NH3 demand sources'!H$3</f>
        <v>0</v>
      </c>
      <c r="I6">
        <f>'Export shares'!I6*'Indirect NH3 demand sources'!I$3</f>
        <v>0</v>
      </c>
      <c r="J6">
        <f>'Export shares'!J6*'Indirect NH3 demand sources'!J$3</f>
        <v>0</v>
      </c>
      <c r="K6">
        <f>'Export shares'!K6*'Indirect NH3 demand sources'!K$3</f>
        <v>0</v>
      </c>
      <c r="L6">
        <f>'Export shares'!L6*'Indirect NH3 demand sources'!L$3</f>
        <v>0</v>
      </c>
      <c r="M6">
        <f>'Export shares'!M6*'Indirect NH3 demand sources'!M$3</f>
        <v>0</v>
      </c>
      <c r="N6">
        <f>'Export shares'!N6*'Indirect NH3 demand sources'!N$3</f>
        <v>0</v>
      </c>
      <c r="O6">
        <f>'Export shares'!O6*'Indirect NH3 demand sources'!O$3</f>
        <v>0</v>
      </c>
      <c r="P6">
        <f>'Export shares'!P6*'Indirect NH3 demand sources'!P$3</f>
        <v>0</v>
      </c>
      <c r="Q6">
        <f>'Export shares'!Q6*'Indirect NH3 demand sources'!Q$3</f>
        <v>0</v>
      </c>
      <c r="R6">
        <f>'Export shares'!R6*'Indirect NH3 demand sources'!R$3</f>
        <v>1.8821989496558863E-3</v>
      </c>
      <c r="S6">
        <f>'Export shares'!S6*'Indirect NH3 demand sources'!S$3</f>
        <v>3.7043724734286592E-3</v>
      </c>
      <c r="T6">
        <f>'Export shares'!T6*'Indirect NH3 demand sources'!T$3</f>
        <v>5.4158726222304689E-3</v>
      </c>
      <c r="U6">
        <f>'Export shares'!U6*'Indirect NH3 demand sources'!U$3</f>
        <v>7.0532819364919671E-3</v>
      </c>
      <c r="V6">
        <f>'Export shares'!V6*'Indirect NH3 demand sources'!V$3</f>
        <v>8.7128001570230332E-3</v>
      </c>
      <c r="W6">
        <f>'Export shares'!W6*'Indirect NH3 demand sources'!W$3</f>
        <v>2.2762091581170527E-2</v>
      </c>
      <c r="X6">
        <f>'Export shares'!X6*'Indirect NH3 demand sources'!X$3</f>
        <v>3.6234372529452212E-2</v>
      </c>
      <c r="Y6">
        <f>'Export shares'!Y6*'Indirect NH3 demand sources'!Y$3</f>
        <v>4.918233919161899E-2</v>
      </c>
      <c r="Z6">
        <f>'Export shares'!Z6*'Indirect NH3 demand sources'!Z$3</f>
        <v>6.1641914700770017E-2</v>
      </c>
      <c r="AA6">
        <f>'Export shares'!AA6*'Indirect NH3 demand sources'!AA$3</f>
        <v>7.3678742348859905E-2</v>
      </c>
      <c r="AB6">
        <f>'Export shares'!AB6*'Indirect NH3 demand sources'!AB$3</f>
        <v>8.531184416863602E-2</v>
      </c>
      <c r="AC6">
        <f>'Export shares'!AC6*'Indirect NH3 demand sources'!AC$3</f>
        <v>9.6601829617091073E-2</v>
      </c>
      <c r="AD6">
        <f>'Export shares'!AD6*'Indirect NH3 demand sources'!AD$3</f>
        <v>0.10756546010717553</v>
      </c>
      <c r="AE6">
        <f>'Export shares'!AE6*'Indirect NH3 demand sources'!AE$3</f>
        <v>0.11822754709329408</v>
      </c>
      <c r="AF6">
        <f>'Export shares'!AF6*'Indirect NH3 demand sources'!AF$3</f>
        <v>0.12867970899902598</v>
      </c>
      <c r="AG6">
        <f>'Export shares'!AG6*'Indirect NH3 demand sources'!AG$3</f>
        <v>0.15767293796368112</v>
      </c>
      <c r="AH6">
        <f>'Export shares'!AH6*'Indirect NH3 demand sources'!AH$3</f>
        <v>0.18585896661138793</v>
      </c>
      <c r="AI6">
        <f>'Export shares'!AI6*'Indirect NH3 demand sources'!AI$3</f>
        <v>0.21320809429736956</v>
      </c>
      <c r="AJ6">
        <f>'Export shares'!AJ6*'Indirect NH3 demand sources'!AJ$3</f>
        <v>0.23977502954661684</v>
      </c>
      <c r="AK6">
        <f>'Export shares'!AK6*'Indirect NH3 demand sources'!AK$3</f>
        <v>0.26559869295408683</v>
      </c>
      <c r="AL6">
        <f>'Export shares'!AL6*'Indirect NH3 demand sources'!AL$3</f>
        <v>0.29064376053231283</v>
      </c>
      <c r="AM6">
        <f>'Export shares'!AM6*'Indirect NH3 demand sources'!AM$3</f>
        <v>0.31501232656216049</v>
      </c>
      <c r="AN6">
        <f>'Export shares'!AN6*'Indirect NH3 demand sources'!AN$3</f>
        <v>0.33875267186639085</v>
      </c>
      <c r="AO6">
        <f>'Export shares'!AO6*'Indirect NH3 demand sources'!AO$3</f>
        <v>0.36167827229827582</v>
      </c>
      <c r="AP6">
        <f>'Export shares'!AP6*'Indirect NH3 demand sources'!AP$3</f>
        <v>0.38380340634915938</v>
      </c>
    </row>
    <row r="7" spans="1:42" x14ac:dyDescent="0.3">
      <c r="A7" t="s">
        <v>6</v>
      </c>
      <c r="B7">
        <f>'Export shares'!B7*'Indirect NH3 demand sources'!B$3</f>
        <v>0</v>
      </c>
      <c r="C7">
        <f>'Export shares'!C7*'Indirect NH3 demand sources'!C$3</f>
        <v>0</v>
      </c>
      <c r="D7">
        <f>'Export shares'!D7*'Indirect NH3 demand sources'!D$3</f>
        <v>0</v>
      </c>
      <c r="E7">
        <f>'Export shares'!E7*'Indirect NH3 demand sources'!E$3</f>
        <v>0</v>
      </c>
      <c r="F7">
        <f>'Export shares'!F7*'Indirect NH3 demand sources'!F$3</f>
        <v>0</v>
      </c>
      <c r="G7">
        <f>'Export shares'!G7*'Indirect NH3 demand sources'!G$3</f>
        <v>0</v>
      </c>
      <c r="H7">
        <f>'Export shares'!H7*'Indirect NH3 demand sources'!H$3</f>
        <v>0</v>
      </c>
      <c r="I7">
        <f>'Export shares'!I7*'Indirect NH3 demand sources'!I$3</f>
        <v>0</v>
      </c>
      <c r="J7">
        <f>'Export shares'!J7*'Indirect NH3 demand sources'!J$3</f>
        <v>0</v>
      </c>
      <c r="K7">
        <f>'Export shares'!K7*'Indirect NH3 demand sources'!K$3</f>
        <v>0</v>
      </c>
      <c r="L7">
        <f>'Export shares'!L7*'Indirect NH3 demand sources'!L$3</f>
        <v>0</v>
      </c>
      <c r="M7">
        <f>'Export shares'!M7*'Indirect NH3 demand sources'!M$3</f>
        <v>0</v>
      </c>
      <c r="N7">
        <f>'Export shares'!N7*'Indirect NH3 demand sources'!N$3</f>
        <v>0</v>
      </c>
      <c r="O7">
        <f>'Export shares'!O7*'Indirect NH3 demand sources'!O$3</f>
        <v>0</v>
      </c>
      <c r="P7">
        <f>'Export shares'!P7*'Indirect NH3 demand sources'!P$3</f>
        <v>0</v>
      </c>
      <c r="Q7">
        <f>'Export shares'!Q7*'Indirect NH3 demand sources'!Q$3</f>
        <v>0</v>
      </c>
      <c r="R7">
        <f>'Export shares'!R7*'Indirect NH3 demand sources'!R$3</f>
        <v>1.2244304741025036E-2</v>
      </c>
      <c r="S7">
        <f>'Export shares'!S7*'Indirect NH3 demand sources'!S$3</f>
        <v>2.4148067113688859E-2</v>
      </c>
      <c r="T7">
        <f>'Export shares'!T7*'Indirect NH3 demand sources'!T$3</f>
        <v>3.5360416397627437E-2</v>
      </c>
      <c r="U7">
        <f>'Export shares'!U7*'Indirect NH3 demand sources'!U$3</f>
        <v>4.6155599788516105E-2</v>
      </c>
      <c r="V7">
        <f>'Export shares'!V7*'Indirect NH3 demand sources'!V$3</f>
        <v>5.7159325949249072E-2</v>
      </c>
      <c r="W7">
        <f>'Export shares'!W7*'Indirect NH3 demand sources'!W$3</f>
        <v>0.14985643004132215</v>
      </c>
      <c r="X7">
        <f>'Export shares'!X7*'Indirect NH3 demand sources'!X$3</f>
        <v>0.2392339170550466</v>
      </c>
      <c r="Y7">
        <f>'Export shares'!Y7*'Indirect NH3 demand sources'!Y$3</f>
        <v>0.32568898489573683</v>
      </c>
      <c r="Z7">
        <f>'Export shares'!Z7*'Indirect NH3 demand sources'!Z$3</f>
        <v>0.40973608412001</v>
      </c>
      <c r="AA7">
        <f>'Export shares'!AA7*'Indirect NH3 demand sources'!AA$3</f>
        <v>0.49147911647170084</v>
      </c>
      <c r="AB7">
        <f>'Export shares'!AB7*'Indirect NH3 demand sources'!AB$3</f>
        <v>0.57137049718135369</v>
      </c>
      <c r="AC7">
        <f>'Export shares'!AC7*'Indirect NH3 demand sources'!AC$3</f>
        <v>0.65003051701726677</v>
      </c>
      <c r="AD7">
        <f>'Export shares'!AD7*'Indirect NH3 demand sources'!AD$3</f>
        <v>0.72729258526379181</v>
      </c>
      <c r="AE7">
        <f>'Export shares'!AE7*'Indirect NH3 demand sources'!AE$3</f>
        <v>0.80362800419666125</v>
      </c>
      <c r="AF7">
        <f>'Export shares'!AF7*'Indirect NH3 demand sources'!AF$3</f>
        <v>0.8789488553950664</v>
      </c>
      <c r="AG7">
        <f>'Export shares'!AG7*'Indirect NH3 demand sources'!AG$3</f>
        <v>1.0815062569460139</v>
      </c>
      <c r="AH7">
        <f>'Export shares'!AH7*'Indirect NH3 demand sources'!AH$3</f>
        <v>1.2789190441089213</v>
      </c>
      <c r="AI7">
        <f>'Export shares'!AI7*'Indirect NH3 demand sources'!AI$3</f>
        <v>1.4709662528226266</v>
      </c>
      <c r="AJ7">
        <f>'Export shares'!AJ7*'Indirect NH3 demand sources'!AJ$3</f>
        <v>1.6577120570361141</v>
      </c>
      <c r="AK7">
        <f>'Export shares'!AK7*'Indirect NH3 demand sources'!AK$3</f>
        <v>1.8393114418649921</v>
      </c>
      <c r="AL7">
        <f>'Export shares'!AL7*'Indirect NH3 demand sources'!AL$3</f>
        <v>2.0160808408871493</v>
      </c>
      <c r="AM7">
        <f>'Export shares'!AM7*'Indirect NH3 demand sources'!AM$3</f>
        <v>2.1884693076711854</v>
      </c>
      <c r="AN7">
        <f>'Export shares'!AN7*'Indirect NH3 demand sources'!AN$3</f>
        <v>2.3569099971115204</v>
      </c>
      <c r="AO7">
        <f>'Export shares'!AO7*'Indirect NH3 demand sources'!AO$3</f>
        <v>2.5200856722214429</v>
      </c>
      <c r="AP7">
        <f>'Export shares'!AP7*'Indirect NH3 demand sources'!AP$3</f>
        <v>2.6782906781289815</v>
      </c>
    </row>
    <row r="8" spans="1:42" x14ac:dyDescent="0.3">
      <c r="A8" t="s">
        <v>7</v>
      </c>
      <c r="B8">
        <f>'Export shares'!B8*'Indirect NH3 demand sources'!B$3</f>
        <v>0</v>
      </c>
      <c r="C8">
        <f>'Export shares'!C8*'Indirect NH3 demand sources'!C$3</f>
        <v>0</v>
      </c>
      <c r="D8">
        <f>'Export shares'!D8*'Indirect NH3 demand sources'!D$3</f>
        <v>0</v>
      </c>
      <c r="E8">
        <f>'Export shares'!E8*'Indirect NH3 demand sources'!E$3</f>
        <v>0</v>
      </c>
      <c r="F8">
        <f>'Export shares'!F8*'Indirect NH3 demand sources'!F$3</f>
        <v>0</v>
      </c>
      <c r="G8">
        <f>'Export shares'!G8*'Indirect NH3 demand sources'!G$3</f>
        <v>0</v>
      </c>
      <c r="H8">
        <f>'Export shares'!H8*'Indirect NH3 demand sources'!H$3</f>
        <v>0</v>
      </c>
      <c r="I8">
        <f>'Export shares'!I8*'Indirect NH3 demand sources'!I$3</f>
        <v>0</v>
      </c>
      <c r="J8">
        <f>'Export shares'!J8*'Indirect NH3 demand sources'!J$3</f>
        <v>0</v>
      </c>
      <c r="K8">
        <f>'Export shares'!K8*'Indirect NH3 demand sources'!K$3</f>
        <v>0</v>
      </c>
      <c r="L8">
        <f>'Export shares'!L8*'Indirect NH3 demand sources'!L$3</f>
        <v>0</v>
      </c>
      <c r="M8">
        <f>'Export shares'!M8*'Indirect NH3 demand sources'!M$3</f>
        <v>0</v>
      </c>
      <c r="N8">
        <f>'Export shares'!N8*'Indirect NH3 demand sources'!N$3</f>
        <v>0</v>
      </c>
      <c r="O8">
        <f>'Export shares'!O8*'Indirect NH3 demand sources'!O$3</f>
        <v>0</v>
      </c>
      <c r="P8">
        <f>'Export shares'!P8*'Indirect NH3 demand sources'!P$3</f>
        <v>0</v>
      </c>
      <c r="Q8">
        <f>'Export shares'!Q8*'Indirect NH3 demand sources'!Q$3</f>
        <v>0</v>
      </c>
      <c r="R8">
        <f>'Export shares'!R8*'Indirect NH3 demand sources'!R$3</f>
        <v>1.3561275643154803E-2</v>
      </c>
      <c r="S8">
        <f>'Export shares'!S8*'Indirect NH3 demand sources'!S$3</f>
        <v>2.6517085029671119E-2</v>
      </c>
      <c r="T8">
        <f>'Export shares'!T8*'Indirect NH3 demand sources'!T$3</f>
        <v>3.8585228438436849E-2</v>
      </c>
      <c r="U8">
        <f>'Export shares'!U8*'Indirect NH3 demand sources'!U$3</f>
        <v>5.0108100705616873E-2</v>
      </c>
      <c r="V8">
        <f>'Export shares'!V8*'Indirect NH3 demand sources'!V$3</f>
        <v>6.1822992458197744E-2</v>
      </c>
      <c r="W8">
        <f>'Export shares'!W8*'Indirect NH3 demand sources'!W$3</f>
        <v>0.16174169687833065</v>
      </c>
      <c r="X8">
        <f>'Export shares'!X8*'Indirect NH3 demand sources'!X$3</f>
        <v>0.25791681487244283</v>
      </c>
      <c r="Y8">
        <f>'Export shares'!Y8*'Indirect NH3 demand sources'!Y$3</f>
        <v>0.35059160645980991</v>
      </c>
      <c r="Z8">
        <f>'Export shares'!Z8*'Indirect NH3 demand sources'!Z$3</f>
        <v>0.44051749965073472</v>
      </c>
      <c r="AA8">
        <f>'Export shares'!AA8*'Indirect NH3 demand sources'!AA$3</f>
        <v>0.52698847872719434</v>
      </c>
      <c r="AB8">
        <f>'Export shares'!AB8*'Indirect NH3 demand sources'!AB$3</f>
        <v>0.61059901739457068</v>
      </c>
      <c r="AC8">
        <f>'Export shares'!AC8*'Indirect NH3 demand sources'!AC$3</f>
        <v>0.69211294696351222</v>
      </c>
      <c r="AD8">
        <f>'Export shares'!AD8*'Indirect NH3 demand sources'!AD$3</f>
        <v>0.77206569885937548</v>
      </c>
      <c r="AE8">
        <f>'Export shares'!AE8*'Indirect NH3 demand sources'!AE$3</f>
        <v>0.85229610830393443</v>
      </c>
      <c r="AF8">
        <f>'Export shares'!AF8*'Indirect NH3 demand sources'!AF$3</f>
        <v>0.92985684633041366</v>
      </c>
      <c r="AG8">
        <f>'Export shares'!AG8*'Indirect NH3 demand sources'!AG$3</f>
        <v>1.142527426064238</v>
      </c>
      <c r="AH8">
        <f>'Export shares'!AH8*'Indirect NH3 demand sources'!AH$3</f>
        <v>1.3509987955069491</v>
      </c>
      <c r="AI8">
        <f>'Export shares'!AI8*'Indirect NH3 demand sources'!AI$3</f>
        <v>1.5552000246105833</v>
      </c>
      <c r="AJ8">
        <f>'Export shares'!AJ8*'Indirect NH3 demand sources'!AJ$3</f>
        <v>1.754070416776548</v>
      </c>
      <c r="AK8">
        <f>'Export shares'!AK8*'Indirect NH3 demand sources'!AK$3</f>
        <v>1.9479003877660639</v>
      </c>
      <c r="AL8">
        <f>'Export shares'!AL8*'Indirect NH3 demand sources'!AL$3</f>
        <v>2.1361261839355863</v>
      </c>
      <c r="AM8">
        <f>'Export shares'!AM8*'Indirect NH3 demand sources'!AM$3</f>
        <v>2.3191607456900569</v>
      </c>
      <c r="AN8">
        <f>'Export shares'!AN8*'Indirect NH3 demand sources'!AN$3</f>
        <v>2.4968071271190033</v>
      </c>
      <c r="AO8">
        <f>'Export shares'!AO8*'Indirect NH3 demand sources'!AO$3</f>
        <v>2.6691245049690271</v>
      </c>
      <c r="AP8">
        <f>'Export shares'!AP8*'Indirect NH3 demand sources'!AP$3</f>
        <v>2.8362201638873898</v>
      </c>
    </row>
    <row r="9" spans="1:42" x14ac:dyDescent="0.3">
      <c r="A9" t="s">
        <v>8</v>
      </c>
      <c r="B9">
        <f>'Export shares'!B9*'Indirect NH3 demand sources'!B$3</f>
        <v>0</v>
      </c>
      <c r="C9">
        <f>'Export shares'!C9*'Indirect NH3 demand sources'!C$3</f>
        <v>0</v>
      </c>
      <c r="D9">
        <f>'Export shares'!D9*'Indirect NH3 demand sources'!D$3</f>
        <v>0</v>
      </c>
      <c r="E9">
        <f>'Export shares'!E9*'Indirect NH3 demand sources'!E$3</f>
        <v>0</v>
      </c>
      <c r="F9">
        <f>'Export shares'!F9*'Indirect NH3 demand sources'!F$3</f>
        <v>0</v>
      </c>
      <c r="G9">
        <f>'Export shares'!G9*'Indirect NH3 demand sources'!G$3</f>
        <v>0</v>
      </c>
      <c r="H9">
        <f>'Export shares'!H9*'Indirect NH3 demand sources'!H$3</f>
        <v>0</v>
      </c>
      <c r="I9">
        <f>'Export shares'!I9*'Indirect NH3 demand sources'!I$3</f>
        <v>0</v>
      </c>
      <c r="J9">
        <f>'Export shares'!J9*'Indirect NH3 demand sources'!J$3</f>
        <v>0</v>
      </c>
      <c r="K9">
        <f>'Export shares'!K9*'Indirect NH3 demand sources'!K$3</f>
        <v>0</v>
      </c>
      <c r="L9">
        <f>'Export shares'!L9*'Indirect NH3 demand sources'!L$3</f>
        <v>0</v>
      </c>
      <c r="M9">
        <f>'Export shares'!M9*'Indirect NH3 demand sources'!M$3</f>
        <v>0</v>
      </c>
      <c r="N9">
        <f>'Export shares'!N9*'Indirect NH3 demand sources'!N$3</f>
        <v>0</v>
      </c>
      <c r="O9">
        <f>'Export shares'!O9*'Indirect NH3 demand sources'!O$3</f>
        <v>0</v>
      </c>
      <c r="P9">
        <f>'Export shares'!P9*'Indirect NH3 demand sources'!P$3</f>
        <v>0</v>
      </c>
      <c r="Q9">
        <f>'Export shares'!Q9*'Indirect NH3 demand sources'!Q$3</f>
        <v>0</v>
      </c>
      <c r="R9">
        <f>'Export shares'!R9*'Indirect NH3 demand sources'!R$3</f>
        <v>1.3691594057691476E-2</v>
      </c>
      <c r="S9">
        <f>'Export shares'!S9*'Indirect NH3 demand sources'!S$3</f>
        <v>2.7947272105121129E-2</v>
      </c>
      <c r="T9">
        <f>'Export shares'!T9*'Indirect NH3 demand sources'!T$3</f>
        <v>4.2249404839477783E-2</v>
      </c>
      <c r="U9">
        <f>'Export shares'!U9*'Indirect NH3 demand sources'!U$3</f>
        <v>5.671499501360535E-2</v>
      </c>
      <c r="V9">
        <f>'Export shares'!V9*'Indirect NH3 demand sources'!V$3</f>
        <v>7.1929721868431273E-2</v>
      </c>
      <c r="W9">
        <f>'Export shares'!W9*'Indirect NH3 demand sources'!W$3</f>
        <v>0.19225187019952092</v>
      </c>
      <c r="X9">
        <f>'Export shares'!X9*'Indirect NH3 demand sources'!X$3</f>
        <v>0.31104977242765597</v>
      </c>
      <c r="Y9">
        <f>'Export shares'!Y9*'Indirect NH3 demand sources'!Y$3</f>
        <v>0.42830830980053819</v>
      </c>
      <c r="Z9">
        <f>'Export shares'!Z9*'Indirect NH3 demand sources'!Z$3</f>
        <v>0.54406053290792689</v>
      </c>
      <c r="AA9">
        <f>'Export shares'!AA9*'Indirect NH3 demand sources'!AA$3</f>
        <v>0.65830192959203215</v>
      </c>
      <c r="AB9">
        <f>'Export shares'!AB9*'Indirect NH3 demand sources'!AB$3</f>
        <v>0.77093669696168465</v>
      </c>
      <c r="AC9">
        <f>'Export shares'!AC9*'Indirect NH3 demand sources'!AC$3</f>
        <v>0.88188200449897125</v>
      </c>
      <c r="AD9">
        <f>'Export shares'!AD9*'Indirect NH3 demand sources'!AD$3</f>
        <v>0.99079926366212678</v>
      </c>
      <c r="AE9">
        <f>'Export shares'!AE9*'Indirect NH3 demand sources'!AE$3</f>
        <v>1.0973099391141206</v>
      </c>
      <c r="AF9">
        <f>'Export shares'!AF9*'Indirect NH3 demand sources'!AF$3</f>
        <v>1.2011977558978493</v>
      </c>
      <c r="AG9">
        <f>'Export shares'!AG9*'Indirect NH3 demand sources'!AG$3</f>
        <v>1.4792404529713754</v>
      </c>
      <c r="AH9">
        <f>'Export shares'!AH9*'Indirect NH3 demand sources'!AH$3</f>
        <v>1.7503771919154394</v>
      </c>
      <c r="AI9">
        <f>'Export shares'!AI9*'Indirect NH3 demand sources'!AI$3</f>
        <v>2.013880913921708</v>
      </c>
      <c r="AJ9">
        <f>'Export shares'!AJ9*'Indirect NH3 demand sources'!AJ$3</f>
        <v>2.2692274379678721</v>
      </c>
      <c r="AK9">
        <f>'Export shares'!AK9*'Indirect NH3 demand sources'!AK$3</f>
        <v>2.5166777397922235</v>
      </c>
      <c r="AL9">
        <f>'Export shares'!AL9*'Indirect NH3 demand sources'!AL$3</f>
        <v>2.7557827678424607</v>
      </c>
      <c r="AM9">
        <f>'Export shares'!AM9*'Indirect NH3 demand sources'!AM$3</f>
        <v>2.9872725173791808</v>
      </c>
      <c r="AN9">
        <f>'Export shares'!AN9*'Indirect NH3 demand sources'!AN$3</f>
        <v>3.2122637852676537</v>
      </c>
      <c r="AO9">
        <f>'Export shares'!AO9*'Indirect NH3 demand sources'!AO$3</f>
        <v>3.4310915355815803</v>
      </c>
      <c r="AP9">
        <f>'Export shares'!AP9*'Indirect NH3 demand sources'!AP$3</f>
        <v>3.6442483767107423</v>
      </c>
    </row>
    <row r="10" spans="1:42" x14ac:dyDescent="0.3">
      <c r="A10" t="s">
        <v>9</v>
      </c>
      <c r="B10">
        <f>'Export shares'!B10*'Indirect NH3 demand sources'!B$3</f>
        <v>0</v>
      </c>
      <c r="C10">
        <f>'Export shares'!C10*'Indirect NH3 demand sources'!C$3</f>
        <v>0</v>
      </c>
      <c r="D10">
        <f>'Export shares'!D10*'Indirect NH3 demand sources'!D$3</f>
        <v>0</v>
      </c>
      <c r="E10">
        <f>'Export shares'!E10*'Indirect NH3 demand sources'!E$3</f>
        <v>0</v>
      </c>
      <c r="F10">
        <f>'Export shares'!F10*'Indirect NH3 demand sources'!F$3</f>
        <v>0</v>
      </c>
      <c r="G10">
        <f>'Export shares'!G10*'Indirect NH3 demand sources'!G$3</f>
        <v>0</v>
      </c>
      <c r="H10">
        <f>'Export shares'!H10*'Indirect NH3 demand sources'!H$3</f>
        <v>0</v>
      </c>
      <c r="I10">
        <f>'Export shares'!I10*'Indirect NH3 demand sources'!I$3</f>
        <v>0</v>
      </c>
      <c r="J10">
        <f>'Export shares'!J10*'Indirect NH3 demand sources'!J$3</f>
        <v>0</v>
      </c>
      <c r="K10">
        <f>'Export shares'!K10*'Indirect NH3 demand sources'!K$3</f>
        <v>0</v>
      </c>
      <c r="L10">
        <f>'Export shares'!L10*'Indirect NH3 demand sources'!L$3</f>
        <v>0</v>
      </c>
      <c r="M10">
        <f>'Export shares'!M10*'Indirect NH3 demand sources'!M$3</f>
        <v>0</v>
      </c>
      <c r="N10">
        <f>'Export shares'!N10*'Indirect NH3 demand sources'!N$3</f>
        <v>0</v>
      </c>
      <c r="O10">
        <f>'Export shares'!O10*'Indirect NH3 demand sources'!O$3</f>
        <v>0</v>
      </c>
      <c r="P10">
        <f>'Export shares'!P10*'Indirect NH3 demand sources'!P$3</f>
        <v>0</v>
      </c>
      <c r="Q10">
        <f>'Export shares'!Q10*'Indirect NH3 demand sources'!Q$3</f>
        <v>0</v>
      </c>
      <c r="R10">
        <f>'Export shares'!R10*'Indirect NH3 demand sources'!R$3</f>
        <v>1.0777257126266078E-2</v>
      </c>
      <c r="S10">
        <f>'Export shares'!S10*'Indirect NH3 demand sources'!S$3</f>
        <v>2.1157616497287958E-2</v>
      </c>
      <c r="T10">
        <f>'Export shares'!T10*'Indirect NH3 demand sources'!T$3</f>
        <v>3.0887829956722568E-2</v>
      </c>
      <c r="U10">
        <f>'Export shares'!U10*'Indirect NH3 demand sources'!U$3</f>
        <v>4.0190971840180632E-2</v>
      </c>
      <c r="V10">
        <f>'Export shares'!V10*'Indirect NH3 demand sources'!V$3</f>
        <v>4.9634754626016145E-2</v>
      </c>
      <c r="W10">
        <f>'Export shares'!W10*'Indirect NH3 demand sources'!W$3</f>
        <v>0.12981699602898794</v>
      </c>
      <c r="X10">
        <f>'Export shares'!X10*'Indirect NH3 demand sources'!X$3</f>
        <v>0.20684389825145283</v>
      </c>
      <c r="Y10">
        <f>'Export shares'!Y10*'Indirect NH3 demand sources'!Y$3</f>
        <v>0.28100029307734187</v>
      </c>
      <c r="Z10">
        <f>'Export shares'!Z10*'Indirect NH3 demand sources'!Z$3</f>
        <v>0.35254314950189186</v>
      </c>
      <c r="AA10">
        <f>'Export shares'!AA10*'Indirect NH3 demand sources'!AA$3</f>
        <v>0.42180966028953043</v>
      </c>
      <c r="AB10">
        <f>'Export shares'!AB10*'Indirect NH3 demand sources'!AB$3</f>
        <v>0.48911512395189199</v>
      </c>
      <c r="AC10">
        <f>'Export shares'!AC10*'Indirect NH3 demand sources'!AC$3</f>
        <v>0.55469530045534676</v>
      </c>
      <c r="AD10">
        <f>'Export shares'!AD10*'Indirect NH3 demand sources'!AD$3</f>
        <v>0.61868137057604267</v>
      </c>
      <c r="AE10">
        <f>'Export shares'!AE10*'Indirect NH3 demand sources'!AE$3</f>
        <v>0.68125704170123613</v>
      </c>
      <c r="AF10">
        <f>'Export shares'!AF10*'Indirect NH3 demand sources'!AF$3</f>
        <v>0.74297920568033693</v>
      </c>
      <c r="AG10">
        <f>'Export shares'!AG10*'Indirect NH3 demand sources'!AG$3</f>
        <v>0.91257542163563232</v>
      </c>
      <c r="AH10">
        <f>'Export shares'!AH10*'Indirect NH3 demand sources'!AH$3</f>
        <v>1.0779804624400382</v>
      </c>
      <c r="AI10">
        <f>'Export shares'!AI10*'Indirect NH3 demand sources'!AI$3</f>
        <v>1.2392206399916004</v>
      </c>
      <c r="AJ10">
        <f>'Export shares'!AJ10*'Indirect NH3 demand sources'!AJ$3</f>
        <v>1.3964127648555968</v>
      </c>
      <c r="AK10">
        <f>'Export shares'!AK10*'Indirect NH3 demand sources'!AK$3</f>
        <v>1.5496697455201145</v>
      </c>
      <c r="AL10">
        <f>'Export shares'!AL10*'Indirect NH3 demand sources'!AL$3</f>
        <v>1.6992216600200525</v>
      </c>
      <c r="AM10">
        <f>'Export shares'!AM10*'Indirect NH3 demand sources'!AM$3</f>
        <v>1.8452575063212526</v>
      </c>
      <c r="AN10">
        <f>'Export shares'!AN10*'Indirect NH3 demand sources'!AN$3</f>
        <v>1.9880535873938496</v>
      </c>
      <c r="AO10">
        <f>'Export shares'!AO10*'Indirect NH3 demand sources'!AO$3</f>
        <v>2.1269876275982109</v>
      </c>
      <c r="AP10">
        <f>'Export shares'!AP10*'Indirect NH3 demand sources'!AP$3</f>
        <v>2.2621339958905886</v>
      </c>
    </row>
    <row r="11" spans="1:42" x14ac:dyDescent="0.3">
      <c r="A11" t="s">
        <v>10</v>
      </c>
      <c r="B11">
        <f>'Export shares'!B11*'Indirect NH3 demand sources'!B$3</f>
        <v>0</v>
      </c>
      <c r="C11">
        <f>'Export shares'!C11*'Indirect NH3 demand sources'!C$3</f>
        <v>0</v>
      </c>
      <c r="D11">
        <f>'Export shares'!D11*'Indirect NH3 demand sources'!D$3</f>
        <v>0</v>
      </c>
      <c r="E11">
        <f>'Export shares'!E11*'Indirect NH3 demand sources'!E$3</f>
        <v>0</v>
      </c>
      <c r="F11">
        <f>'Export shares'!F11*'Indirect NH3 demand sources'!F$3</f>
        <v>0</v>
      </c>
      <c r="G11">
        <f>'Export shares'!G11*'Indirect NH3 demand sources'!G$3</f>
        <v>0</v>
      </c>
      <c r="H11">
        <f>'Export shares'!H11*'Indirect NH3 demand sources'!H$3</f>
        <v>0</v>
      </c>
      <c r="I11">
        <f>'Export shares'!I11*'Indirect NH3 demand sources'!I$3</f>
        <v>0</v>
      </c>
      <c r="J11">
        <f>'Export shares'!J11*'Indirect NH3 demand sources'!J$3</f>
        <v>0</v>
      </c>
      <c r="K11">
        <f>'Export shares'!K11*'Indirect NH3 demand sources'!K$3</f>
        <v>0</v>
      </c>
      <c r="L11">
        <f>'Export shares'!L11*'Indirect NH3 demand sources'!L$3</f>
        <v>0</v>
      </c>
      <c r="M11">
        <f>'Export shares'!M11*'Indirect NH3 demand sources'!M$3</f>
        <v>0</v>
      </c>
      <c r="N11">
        <f>'Export shares'!N11*'Indirect NH3 demand sources'!N$3</f>
        <v>0</v>
      </c>
      <c r="O11">
        <f>'Export shares'!O11*'Indirect NH3 demand sources'!O$3</f>
        <v>0</v>
      </c>
      <c r="P11">
        <f>'Export shares'!P11*'Indirect NH3 demand sources'!P$3</f>
        <v>0</v>
      </c>
      <c r="Q11">
        <f>'Export shares'!Q11*'Indirect NH3 demand sources'!Q$3</f>
        <v>0</v>
      </c>
      <c r="R11">
        <f>'Export shares'!R11*'Indirect NH3 demand sources'!R$3</f>
        <v>1.3978448525437312E-3</v>
      </c>
      <c r="S11">
        <f>'Export shares'!S11*'Indirect NH3 demand sources'!S$3</f>
        <v>2.8183523826995518E-3</v>
      </c>
      <c r="T11">
        <f>'Export shares'!T11*'Indirect NH3 demand sources'!T$3</f>
        <v>4.2071277509379097E-3</v>
      </c>
      <c r="U11">
        <f>'Export shares'!U11*'Indirect NH3 demand sources'!U$3</f>
        <v>5.5861175993251093E-3</v>
      </c>
      <c r="V11">
        <f>'Export shares'!V11*'Indirect NH3 demand sources'!V$3</f>
        <v>7.0294733054113885E-3</v>
      </c>
      <c r="W11">
        <f>'Export shares'!W11*'Indirect NH3 demand sources'!W$3</f>
        <v>1.871871104282858E-2</v>
      </c>
      <c r="X11">
        <f>'Export shares'!X11*'Indirect NH3 demand sources'!X$3</f>
        <v>3.0342254226180577E-2</v>
      </c>
      <c r="Y11">
        <f>'Export shares'!Y11*'Indirect NH3 demand sources'!Y$3</f>
        <v>4.1894450011008319E-2</v>
      </c>
      <c r="Z11">
        <f>'Export shares'!Z11*'Indirect NH3 demand sources'!Z$3</f>
        <v>5.3370266422075742E-2</v>
      </c>
      <c r="AA11">
        <f>'Export shares'!AA11*'Indirect NH3 demand sources'!AA$3</f>
        <v>6.4808686676938759E-2</v>
      </c>
      <c r="AB11">
        <f>'Export shares'!AB11*'Indirect NH3 demand sources'!AB$3</f>
        <v>7.6213212029970223E-2</v>
      </c>
      <c r="AC11">
        <f>'Export shares'!AC11*'Indirect NH3 demand sources'!AC$3</f>
        <v>8.75742777484778E-2</v>
      </c>
      <c r="AD11">
        <f>'Export shares'!AD11*'Indirect NH3 demand sources'!AD$3</f>
        <v>9.8930646821602464E-2</v>
      </c>
      <c r="AE11">
        <f>'Export shares'!AE11*'Indirect NH3 demand sources'!AE$3</f>
        <v>0.11031995316895822</v>
      </c>
      <c r="AF11">
        <f>'Export shares'!AF11*'Indirect NH3 demand sources'!AF$3</f>
        <v>0.12175103911689099</v>
      </c>
      <c r="AG11">
        <f>'Export shares'!AG11*'Indirect NH3 demand sources'!AG$3</f>
        <v>0.15118089192613945</v>
      </c>
      <c r="AH11">
        <f>'Export shares'!AH11*'Indirect NH3 demand sources'!AH$3</f>
        <v>0.18034991156461139</v>
      </c>
      <c r="AI11">
        <f>'Export shares'!AI11*'Indirect NH3 demand sources'!AI$3</f>
        <v>0.20914047908586653</v>
      </c>
      <c r="AJ11">
        <f>'Export shares'!AJ11*'Indirect NH3 demand sources'!AJ$3</f>
        <v>0.2374737552346313</v>
      </c>
      <c r="AK11">
        <f>'Export shares'!AK11*'Indirect NH3 demand sources'!AK$3</f>
        <v>0.26524416030160614</v>
      </c>
      <c r="AL11">
        <f>'Export shares'!AL11*'Indirect NH3 demand sources'!AL$3</f>
        <v>0.29238679696047676</v>
      </c>
      <c r="AM11">
        <f>'Export shares'!AM11*'Indirect NH3 demand sources'!AM$3</f>
        <v>0.31883312017481114</v>
      </c>
      <c r="AN11">
        <f>'Export shares'!AN11*'Indirect NH3 demand sources'!AN$3</f>
        <v>0.34437813141188867</v>
      </c>
      <c r="AO11">
        <f>'Export shares'!AO11*'Indirect NH3 demand sources'!AO$3</f>
        <v>0.36901367676764357</v>
      </c>
      <c r="AP11">
        <f>'Export shares'!AP11*'Indirect NH3 demand sources'!AP$3</f>
        <v>0.39267362803334471</v>
      </c>
    </row>
    <row r="12" spans="1:42" x14ac:dyDescent="0.3">
      <c r="A12" t="s">
        <v>11</v>
      </c>
      <c r="B12">
        <f>'Export shares'!B12*'Indirect NH3 demand sources'!B$3</f>
        <v>0</v>
      </c>
      <c r="C12">
        <f>'Export shares'!C12*'Indirect NH3 demand sources'!C$3</f>
        <v>0</v>
      </c>
      <c r="D12">
        <f>'Export shares'!D12*'Indirect NH3 demand sources'!D$3</f>
        <v>0</v>
      </c>
      <c r="E12">
        <f>'Export shares'!E12*'Indirect NH3 demand sources'!E$3</f>
        <v>0</v>
      </c>
      <c r="F12">
        <f>'Export shares'!F12*'Indirect NH3 demand sources'!F$3</f>
        <v>0</v>
      </c>
      <c r="G12">
        <f>'Export shares'!G12*'Indirect NH3 demand sources'!G$3</f>
        <v>0</v>
      </c>
      <c r="H12">
        <f>'Export shares'!H12*'Indirect NH3 demand sources'!H$3</f>
        <v>0</v>
      </c>
      <c r="I12">
        <f>'Export shares'!I12*'Indirect NH3 demand sources'!I$3</f>
        <v>0</v>
      </c>
      <c r="J12">
        <f>'Export shares'!J12*'Indirect NH3 demand sources'!J$3</f>
        <v>0</v>
      </c>
      <c r="K12">
        <f>'Export shares'!K12*'Indirect NH3 demand sources'!K$3</f>
        <v>0</v>
      </c>
      <c r="L12">
        <f>'Export shares'!L12*'Indirect NH3 demand sources'!L$3</f>
        <v>0</v>
      </c>
      <c r="M12">
        <f>'Export shares'!M12*'Indirect NH3 demand sources'!M$3</f>
        <v>0</v>
      </c>
      <c r="N12">
        <f>'Export shares'!N12*'Indirect NH3 demand sources'!N$3</f>
        <v>0</v>
      </c>
      <c r="O12">
        <f>'Export shares'!O12*'Indirect NH3 demand sources'!O$3</f>
        <v>0</v>
      </c>
      <c r="P12">
        <f>'Export shares'!P12*'Indirect NH3 demand sources'!P$3</f>
        <v>0</v>
      </c>
      <c r="Q12">
        <f>'Export shares'!Q12*'Indirect NH3 demand sources'!Q$3</f>
        <v>0</v>
      </c>
      <c r="R12">
        <f>'Export shares'!R12*'Indirect NH3 demand sources'!R$3</f>
        <v>9.8867731902777933E-3</v>
      </c>
      <c r="S12">
        <f>'Export shares'!S12*'Indirect NH3 demand sources'!S$3</f>
        <v>1.9431544719572064E-2</v>
      </c>
      <c r="T12">
        <f>'Export shares'!T12*'Indirect NH3 demand sources'!T$3</f>
        <v>2.8391937479093014E-2</v>
      </c>
      <c r="U12">
        <f>'Export shares'!U12*'Indirect NH3 demand sources'!U$3</f>
        <v>3.700017517555923E-2</v>
      </c>
      <c r="V12">
        <f>'Export shares'!V12*'Indirect NH3 demand sources'!V$3</f>
        <v>4.5775392306791396E-2</v>
      </c>
      <c r="W12">
        <f>'Export shares'!W12*'Indirect NH3 demand sources'!W$3</f>
        <v>0.1199572038704646</v>
      </c>
      <c r="X12">
        <f>'Export shares'!X12*'Indirect NH3 demand sources'!X$3</f>
        <v>0.19160412633707161</v>
      </c>
      <c r="Y12">
        <f>'Export shares'!Y12*'Indirect NH3 demand sources'!Y$3</f>
        <v>0.26086908099673095</v>
      </c>
      <c r="Z12">
        <f>'Export shares'!Z12*'Indirect NH3 demand sources'!Z$3</f>
        <v>0.32796050882539846</v>
      </c>
      <c r="AA12">
        <f>'Export shares'!AA12*'Indirect NH3 demand sources'!AA$3</f>
        <v>0.39310878863488879</v>
      </c>
      <c r="AB12">
        <f>'Export shares'!AB12*'Indirect NH3 demand sources'!AB$3</f>
        <v>0.45652320697368015</v>
      </c>
      <c r="AC12">
        <f>'Export shares'!AC12*'Indirect NH3 demand sources'!AC$3</f>
        <v>0.51845004762900815</v>
      </c>
      <c r="AD12">
        <f>'Export shares'!AD12*'Indirect NH3 demand sources'!AD$3</f>
        <v>0.57913334721253928</v>
      </c>
      <c r="AE12">
        <f>'Export shares'!AE12*'Indirect NH3 demand sources'!AE$3</f>
        <v>0.63905912803625986</v>
      </c>
      <c r="AF12">
        <f>'Export shares'!AF12*'Indirect NH3 demand sources'!AF$3</f>
        <v>0.69858428328459532</v>
      </c>
      <c r="AG12">
        <f>'Export shares'!AG12*'Indirect NH3 demand sources'!AG$3</f>
        <v>0.8603398236237696</v>
      </c>
      <c r="AH12">
        <f>'Export shares'!AH12*'Indirect NH3 demand sources'!AH$3</f>
        <v>1.0193518162728465</v>
      </c>
      <c r="AI12">
        <f>'Export shares'!AI12*'Indirect NH3 demand sources'!AI$3</f>
        <v>1.1754319437016241</v>
      </c>
      <c r="AJ12">
        <f>'Export shares'!AJ12*'Indirect NH3 demand sources'!AJ$3</f>
        <v>1.3285278620830601</v>
      </c>
      <c r="AK12">
        <f>'Export shares'!AK12*'Indirect NH3 demand sources'!AK$3</f>
        <v>1.4786347766460368</v>
      </c>
      <c r="AL12">
        <f>'Export shares'!AL12*'Indirect NH3 demand sources'!AL$3</f>
        <v>1.6257158996467278</v>
      </c>
      <c r="AM12">
        <f>'Export shares'!AM12*'Indirect NH3 demand sources'!AM$3</f>
        <v>1.7695011513499876</v>
      </c>
      <c r="AN12">
        <f>'Export shares'!AN12*'Indirect NH3 demand sources'!AN$3</f>
        <v>1.9097644978735775</v>
      </c>
      <c r="AO12">
        <f>'Export shares'!AO12*'Indirect NH3 demand sources'!AO$3</f>
        <v>2.0465947168623604</v>
      </c>
      <c r="AP12">
        <f>'Export shares'!AP12*'Indirect NH3 demand sources'!AP$3</f>
        <v>2.1799509075610231</v>
      </c>
    </row>
    <row r="13" spans="1:42" x14ac:dyDescent="0.3">
      <c r="A13" t="s">
        <v>12</v>
      </c>
      <c r="B13">
        <f>'Export shares'!B13*'Indirect NH3 demand sources'!B$3</f>
        <v>0</v>
      </c>
      <c r="C13">
        <f>'Export shares'!C13*'Indirect NH3 demand sources'!C$3</f>
        <v>0</v>
      </c>
      <c r="D13">
        <f>'Export shares'!D13*'Indirect NH3 demand sources'!D$3</f>
        <v>0</v>
      </c>
      <c r="E13">
        <f>'Export shares'!E13*'Indirect NH3 demand sources'!E$3</f>
        <v>0</v>
      </c>
      <c r="F13">
        <f>'Export shares'!F13*'Indirect NH3 demand sources'!F$3</f>
        <v>0</v>
      </c>
      <c r="G13">
        <f>'Export shares'!G13*'Indirect NH3 demand sources'!G$3</f>
        <v>0</v>
      </c>
      <c r="H13">
        <f>'Export shares'!H13*'Indirect NH3 demand sources'!H$3</f>
        <v>0</v>
      </c>
      <c r="I13">
        <f>'Export shares'!I13*'Indirect NH3 demand sources'!I$3</f>
        <v>0</v>
      </c>
      <c r="J13">
        <f>'Export shares'!J13*'Indirect NH3 demand sources'!J$3</f>
        <v>0</v>
      </c>
      <c r="K13">
        <f>'Export shares'!K13*'Indirect NH3 demand sources'!K$3</f>
        <v>0</v>
      </c>
      <c r="L13">
        <f>'Export shares'!L13*'Indirect NH3 demand sources'!L$3</f>
        <v>0</v>
      </c>
      <c r="M13">
        <f>'Export shares'!M13*'Indirect NH3 demand sources'!M$3</f>
        <v>0</v>
      </c>
      <c r="N13">
        <f>'Export shares'!N13*'Indirect NH3 demand sources'!N$3</f>
        <v>0</v>
      </c>
      <c r="O13">
        <f>'Export shares'!O13*'Indirect NH3 demand sources'!O$3</f>
        <v>0</v>
      </c>
      <c r="P13">
        <f>'Export shares'!P13*'Indirect NH3 demand sources'!P$3</f>
        <v>0</v>
      </c>
      <c r="Q13">
        <f>'Export shares'!Q13*'Indirect NH3 demand sources'!Q$3</f>
        <v>0</v>
      </c>
      <c r="R13">
        <f>'Export shares'!R13*'Indirect NH3 demand sources'!R$3</f>
        <v>2.3040614882212356E-3</v>
      </c>
      <c r="S13">
        <f>'Export shares'!S13*'Indirect NH3 demand sources'!S$3</f>
        <v>4.5441453653747264E-3</v>
      </c>
      <c r="T13">
        <f>'Export shares'!T13*'Indirect NH3 demand sources'!T$3</f>
        <v>6.6706290668031689E-3</v>
      </c>
      <c r="U13">
        <f>'Export shares'!U13*'Indirect NH3 demand sources'!U$3</f>
        <v>8.7341790986273614E-3</v>
      </c>
      <c r="V13">
        <f>'Export shares'!V13*'Indirect NH3 demand sources'!V$3</f>
        <v>1.0856652074394988E-2</v>
      </c>
      <c r="W13">
        <f>'Export shares'!W13*'Indirect NH3 demand sources'!W$3</f>
        <v>2.8583747928008128E-2</v>
      </c>
      <c r="X13">
        <f>'Export shares'!X13*'Indirect NH3 demand sources'!X$3</f>
        <v>4.5878161860937398E-2</v>
      </c>
      <c r="Y13">
        <f>'Export shares'!Y13*'Indirect NH3 demand sources'!Y$3</f>
        <v>6.2738039845626342E-2</v>
      </c>
      <c r="Z13">
        <f>'Export shares'!Z13*'Indirect NH3 demand sources'!Z$3</f>
        <v>7.9185440893793826E-2</v>
      </c>
      <c r="AA13">
        <f>'Export shares'!AA13*'Indirect NH3 demand sources'!AA$3</f>
        <v>9.5245341453420646E-2</v>
      </c>
      <c r="AB13">
        <f>'Export shares'!AB13*'Indirect NH3 demand sources'!AB$3</f>
        <v>0.11095418049021998</v>
      </c>
      <c r="AC13">
        <f>'Export shares'!AC13*'Indirect NH3 demand sources'!AC$3</f>
        <v>0.1263243577141559</v>
      </c>
      <c r="AD13">
        <f>'Export shares'!AD13*'Indirect NH3 demand sources'!AD$3</f>
        <v>0.14140234240255894</v>
      </c>
      <c r="AE13">
        <f>'Export shares'!AE13*'Indirect NH3 demand sources'!AE$3</f>
        <v>0.15619438805869032</v>
      </c>
      <c r="AF13">
        <f>'Export shares'!AF13*'Indirect NH3 demand sources'!AF$3</f>
        <v>0.17077342164636802</v>
      </c>
      <c r="AG13">
        <f>'Export shares'!AG13*'Indirect NH3 demand sources'!AG$3</f>
        <v>0.21023499006470359</v>
      </c>
      <c r="AH13">
        <f>'Export shares'!AH13*'Indirect NH3 demand sources'!AH$3</f>
        <v>0.24881763454596742</v>
      </c>
      <c r="AI13">
        <f>'Export shares'!AI13*'Indirect NH3 demand sources'!AI$3</f>
        <v>0.28644261253686215</v>
      </c>
      <c r="AJ13">
        <f>'Export shares'!AJ13*'Indirect NH3 demand sources'!AJ$3</f>
        <v>0.32306398168237627</v>
      </c>
      <c r="AK13">
        <f>'Export shares'!AK13*'Indirect NH3 demand sources'!AK$3</f>
        <v>0.35868093376948729</v>
      </c>
      <c r="AL13">
        <f>'Export shares'!AL13*'Indirect NH3 demand sources'!AL$3</f>
        <v>0.39325924667840556</v>
      </c>
      <c r="AM13">
        <f>'Export shares'!AM13*'Indirect NH3 demand sources'!AM$3</f>
        <v>0.42674013736821975</v>
      </c>
      <c r="AN13">
        <f>'Export shares'!AN13*'Indirect NH3 demand sources'!AN$3</f>
        <v>0.45910207311828655</v>
      </c>
      <c r="AO13">
        <f>'Export shares'!AO13*'Indirect NH3 demand sources'!AO$3</f>
        <v>0.49044247545254588</v>
      </c>
      <c r="AP13">
        <f>'Export shares'!AP13*'Indirect NH3 demand sources'!AP$3</f>
        <v>0.52070178934654643</v>
      </c>
    </row>
    <row r="14" spans="1:42" x14ac:dyDescent="0.3">
      <c r="A14" t="s">
        <v>13</v>
      </c>
      <c r="B14">
        <f>'Export shares'!B14*'Indirect NH3 demand sources'!B$3</f>
        <v>0</v>
      </c>
      <c r="C14">
        <f>'Export shares'!C14*'Indirect NH3 demand sources'!C$3</f>
        <v>0</v>
      </c>
      <c r="D14">
        <f>'Export shares'!D14*'Indirect NH3 demand sources'!D$3</f>
        <v>0</v>
      </c>
      <c r="E14">
        <f>'Export shares'!E14*'Indirect NH3 demand sources'!E$3</f>
        <v>0</v>
      </c>
      <c r="F14">
        <f>'Export shares'!F14*'Indirect NH3 demand sources'!F$3</f>
        <v>0</v>
      </c>
      <c r="G14">
        <f>'Export shares'!G14*'Indirect NH3 demand sources'!G$3</f>
        <v>0</v>
      </c>
      <c r="H14">
        <f>'Export shares'!H14*'Indirect NH3 demand sources'!H$3</f>
        <v>0</v>
      </c>
      <c r="I14">
        <f>'Export shares'!I14*'Indirect NH3 demand sources'!I$3</f>
        <v>0</v>
      </c>
      <c r="J14">
        <f>'Export shares'!J14*'Indirect NH3 demand sources'!J$3</f>
        <v>0</v>
      </c>
      <c r="K14">
        <f>'Export shares'!K14*'Indirect NH3 demand sources'!K$3</f>
        <v>0</v>
      </c>
      <c r="L14">
        <f>'Export shares'!L14*'Indirect NH3 demand sources'!L$3</f>
        <v>0</v>
      </c>
      <c r="M14">
        <f>'Export shares'!M14*'Indirect NH3 demand sources'!M$3</f>
        <v>0</v>
      </c>
      <c r="N14">
        <f>'Export shares'!N14*'Indirect NH3 demand sources'!N$3</f>
        <v>0</v>
      </c>
      <c r="O14">
        <f>'Export shares'!O14*'Indirect NH3 demand sources'!O$3</f>
        <v>0</v>
      </c>
      <c r="P14">
        <f>'Export shares'!P14*'Indirect NH3 demand sources'!P$3</f>
        <v>0</v>
      </c>
      <c r="Q14">
        <f>'Export shares'!Q14*'Indirect NH3 demand sources'!Q$3</f>
        <v>0</v>
      </c>
      <c r="R14">
        <f>'Export shares'!R14*'Indirect NH3 demand sources'!R$3</f>
        <v>1.1116511035773155E-3</v>
      </c>
      <c r="S14">
        <f>'Export shares'!S14*'Indirect NH3 demand sources'!S$3</f>
        <v>2.1917602364679174E-3</v>
      </c>
      <c r="T14">
        <f>'Export shares'!T14*'Indirect NH3 demand sources'!T$3</f>
        <v>3.2100325005136117E-3</v>
      </c>
      <c r="U14">
        <f>'Export shares'!U14*'Indirect NH3 demand sources'!U$3</f>
        <v>4.1846449691225777E-3</v>
      </c>
      <c r="V14">
        <f>'Export shares'!V14*'Indirect NH3 demand sources'!V$3</f>
        <v>5.1767763345097265E-3</v>
      </c>
      <c r="W14">
        <f>'Export shares'!W14*'Indirect NH3 demand sources'!W$3</f>
        <v>1.3548479487500206E-2</v>
      </c>
      <c r="X14">
        <f>'Export shares'!X14*'Indirect NH3 demand sources'!X$3</f>
        <v>2.1579886797134754E-2</v>
      </c>
      <c r="Y14">
        <f>'Export shares'!Y14*'Indirect NH3 demand sources'!Y$3</f>
        <v>2.9300523437707029E-2</v>
      </c>
      <c r="Z14">
        <f>'Export shares'!Z14*'Indirect NH3 demand sources'!Z$3</f>
        <v>3.674127462417285E-2</v>
      </c>
      <c r="AA14">
        <f>'Export shares'!AA14*'Indirect NH3 demand sources'!AA$3</f>
        <v>4.3928970483945187E-2</v>
      </c>
      <c r="AB14">
        <f>'Export shares'!AB14*'Indirect NH3 demand sources'!AB$3</f>
        <v>5.0899518699572786E-2</v>
      </c>
      <c r="AC14">
        <f>'Export shares'!AC14*'Indirect NH3 demand sources'!AC$3</f>
        <v>5.7673694217079643E-2</v>
      </c>
      <c r="AD14">
        <f>'Export shares'!AD14*'Indirect NH3 demand sources'!AD$3</f>
        <v>6.4254845595733301E-2</v>
      </c>
      <c r="AE14">
        <f>'Export shares'!AE14*'Indirect NH3 demand sources'!AE$3</f>
        <v>7.0670248686802023E-2</v>
      </c>
      <c r="AF14">
        <f>'Export shares'!AF14*'Indirect NH3 demand sources'!AF$3</f>
        <v>7.697777555836538E-2</v>
      </c>
      <c r="AG14">
        <f>'Export shares'!AG14*'Indirect NH3 demand sources'!AG$3</f>
        <v>9.445103024533455E-2</v>
      </c>
      <c r="AH14">
        <f>'Export shares'!AH14*'Indirect NH3 demand sources'!AH$3</f>
        <v>0.11147760675678962</v>
      </c>
      <c r="AI14">
        <f>'Export shares'!AI14*'Indirect NH3 demand sources'!AI$3</f>
        <v>0.12805667306715882</v>
      </c>
      <c r="AJ14">
        <f>'Export shares'!AJ14*'Indirect NH3 demand sources'!AJ$3</f>
        <v>0.14420418312116687</v>
      </c>
      <c r="AK14">
        <f>'Export shares'!AK14*'Indirect NH3 demand sources'!AK$3</f>
        <v>0.15997878695564141</v>
      </c>
      <c r="AL14">
        <f>'Export shares'!AL14*'Indirect NH3 demand sources'!AL$3</f>
        <v>0.17540668665210246</v>
      </c>
      <c r="AM14">
        <f>'Export shares'!AM14*'Indirect NH3 demand sources'!AM$3</f>
        <v>0.19051543286988001</v>
      </c>
      <c r="AN14">
        <f>'Export shares'!AN14*'Indirect NH3 demand sources'!AN$3</f>
        <v>0.20533307625567387</v>
      </c>
      <c r="AO14">
        <f>'Export shares'!AO14*'Indirect NH3 demand sources'!AO$3</f>
        <v>0.21984727722004818</v>
      </c>
      <c r="AP14">
        <f>'Export shares'!AP14*'Indirect NH3 demand sources'!AP$3</f>
        <v>0.23403034874383558</v>
      </c>
    </row>
    <row r="15" spans="1:42" x14ac:dyDescent="0.3">
      <c r="A15" t="s">
        <v>14</v>
      </c>
      <c r="B15">
        <f>'Export shares'!B15*'Indirect NH3 demand sources'!B$3</f>
        <v>0</v>
      </c>
      <c r="C15">
        <f>'Export shares'!C15*'Indirect NH3 demand sources'!C$3</f>
        <v>0</v>
      </c>
      <c r="D15">
        <f>'Export shares'!D15*'Indirect NH3 demand sources'!D$3</f>
        <v>0</v>
      </c>
      <c r="E15">
        <f>'Export shares'!E15*'Indirect NH3 demand sources'!E$3</f>
        <v>0</v>
      </c>
      <c r="F15">
        <f>'Export shares'!F15*'Indirect NH3 demand sources'!F$3</f>
        <v>0</v>
      </c>
      <c r="G15">
        <f>'Export shares'!G15*'Indirect NH3 demand sources'!G$3</f>
        <v>0</v>
      </c>
      <c r="H15">
        <f>'Export shares'!H15*'Indirect NH3 demand sources'!H$3</f>
        <v>0</v>
      </c>
      <c r="I15">
        <f>'Export shares'!I15*'Indirect NH3 demand sources'!I$3</f>
        <v>0</v>
      </c>
      <c r="J15">
        <f>'Export shares'!J15*'Indirect NH3 demand sources'!J$3</f>
        <v>0</v>
      </c>
      <c r="K15">
        <f>'Export shares'!K15*'Indirect NH3 demand sources'!K$3</f>
        <v>0</v>
      </c>
      <c r="L15">
        <f>'Export shares'!L15*'Indirect NH3 demand sources'!L$3</f>
        <v>0</v>
      </c>
      <c r="M15">
        <f>'Export shares'!M15*'Indirect NH3 demand sources'!M$3</f>
        <v>0</v>
      </c>
      <c r="N15">
        <f>'Export shares'!N15*'Indirect NH3 demand sources'!N$3</f>
        <v>0</v>
      </c>
      <c r="O15">
        <f>'Export shares'!O15*'Indirect NH3 demand sources'!O$3</f>
        <v>0</v>
      </c>
      <c r="P15">
        <f>'Export shares'!P15*'Indirect NH3 demand sources'!P$3</f>
        <v>0</v>
      </c>
      <c r="Q15">
        <f>'Export shares'!Q15*'Indirect NH3 demand sources'!Q$3</f>
        <v>0</v>
      </c>
      <c r="R15">
        <f>'Export shares'!R15*'Indirect NH3 demand sources'!R$3</f>
        <v>2.0580703622729941E-3</v>
      </c>
      <c r="S15">
        <f>'Export shares'!S15*'Indirect NH3 demand sources'!S$3</f>
        <v>4.047790721535916E-3</v>
      </c>
      <c r="T15">
        <f>'Export shares'!T15*'Indirect NH3 demand sources'!T$3</f>
        <v>5.922103355492871E-3</v>
      </c>
      <c r="U15">
        <f>'Export shares'!U15*'Indirect NH3 demand sources'!U$3</f>
        <v>7.730541476341485E-3</v>
      </c>
      <c r="V15">
        <f>'Export shares'!V15*'Indirect NH3 demand sources'!V$3</f>
        <v>9.5885869466758467E-3</v>
      </c>
      <c r="W15">
        <f>'Export shares'!W15*'Indirect NH3 demand sources'!W$3</f>
        <v>2.5219105610239767E-2</v>
      </c>
      <c r="X15">
        <f>'Export shares'!X15*'Indirect NH3 demand sources'!X$3</f>
        <v>4.0440409126483959E-2</v>
      </c>
      <c r="Y15">
        <f>'Export shares'!Y15*'Indirect NH3 demand sources'!Y$3</f>
        <v>5.525357669243245E-2</v>
      </c>
      <c r="Z15">
        <f>'Export shares'!Z15*'Indirect NH3 demand sources'!Z$3</f>
        <v>6.9706159055958644E-2</v>
      </c>
      <c r="AA15">
        <f>'Export shares'!AA15*'Indirect NH3 demand sources'!AA$3</f>
        <v>8.3802584884738976E-2</v>
      </c>
      <c r="AB15">
        <f>'Export shares'!AB15*'Indirect NH3 demand sources'!AB$3</f>
        <v>9.7579938964256832E-2</v>
      </c>
      <c r="AC15">
        <f>'Export shares'!AC15*'Indirect NH3 demand sources'!AC$3</f>
        <v>0.11107751076233541</v>
      </c>
      <c r="AD15">
        <f>'Export shares'!AD15*'Indirect NH3 demand sources'!AD$3</f>
        <v>0.12429662147759973</v>
      </c>
      <c r="AE15">
        <f>'Export shares'!AE15*'Indirect NH3 demand sources'!AE$3</f>
        <v>0.13731812275305685</v>
      </c>
      <c r="AF15">
        <f>'Export shares'!AF15*'Indirect NH3 demand sources'!AF$3</f>
        <v>0.15004951065109093</v>
      </c>
      <c r="AG15">
        <f>'Export shares'!AG15*'Indirect NH3 demand sources'!AG$3</f>
        <v>0.18452247398579991</v>
      </c>
      <c r="AH15">
        <f>'Export shares'!AH15*'Indirect NH3 demand sources'!AH$3</f>
        <v>0.21813702374170427</v>
      </c>
      <c r="AI15">
        <f>'Export shares'!AI15*'Indirect NH3 demand sources'!AI$3</f>
        <v>0.25085910182300336</v>
      </c>
      <c r="AJ15">
        <f>'Export shares'!AJ15*'Indirect NH3 demand sources'!AJ$3</f>
        <v>0.2826623074897916</v>
      </c>
      <c r="AK15">
        <f>'Export shares'!AK15*'Indirect NH3 demand sources'!AK$3</f>
        <v>0.31351978008503734</v>
      </c>
      <c r="AL15">
        <f>'Export shares'!AL15*'Indirect NH3 demand sources'!AL$3</f>
        <v>0.34342491684483833</v>
      </c>
      <c r="AM15">
        <f>'Export shares'!AM15*'Indirect NH3 demand sources'!AM$3</f>
        <v>0.37232065942948406</v>
      </c>
      <c r="AN15">
        <f>'Export shares'!AN15*'Indirect NH3 demand sources'!AN$3</f>
        <v>0.40016739597928508</v>
      </c>
      <c r="AO15">
        <f>'Export shares'!AO15*'Indirect NH3 demand sources'!AO$3</f>
        <v>0.42698090950324319</v>
      </c>
      <c r="AP15">
        <f>'Export shares'!AP15*'Indirect NH3 demand sources'!AP$3</f>
        <v>0.45276640520643918</v>
      </c>
    </row>
    <row r="16" spans="1:42" x14ac:dyDescent="0.3">
      <c r="A16" t="s">
        <v>15</v>
      </c>
      <c r="B16">
        <f>'Export shares'!B16*'Indirect NH3 demand sources'!B$3</f>
        <v>0</v>
      </c>
      <c r="C16">
        <f>'Export shares'!C16*'Indirect NH3 demand sources'!C$3</f>
        <v>0</v>
      </c>
      <c r="D16">
        <f>'Export shares'!D16*'Indirect NH3 demand sources'!D$3</f>
        <v>0</v>
      </c>
      <c r="E16">
        <f>'Export shares'!E16*'Indirect NH3 demand sources'!E$3</f>
        <v>0</v>
      </c>
      <c r="F16">
        <f>'Export shares'!F16*'Indirect NH3 demand sources'!F$3</f>
        <v>0</v>
      </c>
      <c r="G16">
        <f>'Export shares'!G16*'Indirect NH3 demand sources'!G$3</f>
        <v>0</v>
      </c>
      <c r="H16">
        <f>'Export shares'!H16*'Indirect NH3 demand sources'!H$3</f>
        <v>0</v>
      </c>
      <c r="I16">
        <f>'Export shares'!I16*'Indirect NH3 demand sources'!I$3</f>
        <v>0</v>
      </c>
      <c r="J16">
        <f>'Export shares'!J16*'Indirect NH3 demand sources'!J$3</f>
        <v>0</v>
      </c>
      <c r="K16">
        <f>'Export shares'!K16*'Indirect NH3 demand sources'!K$3</f>
        <v>0</v>
      </c>
      <c r="L16">
        <f>'Export shares'!L16*'Indirect NH3 demand sources'!L$3</f>
        <v>0</v>
      </c>
      <c r="M16">
        <f>'Export shares'!M16*'Indirect NH3 demand sources'!M$3</f>
        <v>0</v>
      </c>
      <c r="N16">
        <f>'Export shares'!N16*'Indirect NH3 demand sources'!N$3</f>
        <v>0</v>
      </c>
      <c r="O16">
        <f>'Export shares'!O16*'Indirect NH3 demand sources'!O$3</f>
        <v>0</v>
      </c>
      <c r="P16">
        <f>'Export shares'!P16*'Indirect NH3 demand sources'!P$3</f>
        <v>0</v>
      </c>
      <c r="Q16">
        <f>'Export shares'!Q16*'Indirect NH3 demand sources'!Q$3</f>
        <v>0</v>
      </c>
      <c r="R16">
        <f>'Export shares'!R16*'Indirect NH3 demand sources'!R$3</f>
        <v>4.1598080514260519E-3</v>
      </c>
      <c r="S16">
        <f>'Export shares'!S16*'Indirect NH3 demand sources'!S$3</f>
        <v>8.2109241326760243E-3</v>
      </c>
      <c r="T16">
        <f>'Export shares'!T16*'Indirect NH3 demand sources'!T$3</f>
        <v>1.2064067627392618E-2</v>
      </c>
      <c r="U16">
        <f>'Export shares'!U16*'Indirect NH3 demand sources'!U$3</f>
        <v>1.5822690215387656E-2</v>
      </c>
      <c r="V16">
        <f>'Export shares'!V16*'Indirect NH3 demand sources'!V$3</f>
        <v>1.9716677932661256E-2</v>
      </c>
      <c r="W16">
        <f>'Export shares'!W16*'Indirect NH3 demand sources'!W$3</f>
        <v>5.2079641016637451E-2</v>
      </c>
      <c r="X16">
        <f>'Export shares'!X16*'Indirect NH3 demand sources'!X$3</f>
        <v>8.3861953258049696E-2</v>
      </c>
      <c r="Y16">
        <f>'Export shares'!Y16*'Indirect NH3 demand sources'!Y$3</f>
        <v>0.11507122758999552</v>
      </c>
      <c r="Z16">
        <f>'Export shares'!Z16*'Indirect NH3 demand sources'!Z$3</f>
        <v>0.14578982131401977</v>
      </c>
      <c r="AA16">
        <f>'Export shares'!AA16*'Indirect NH3 demand sources'!AA$3</f>
        <v>0.17608668729017982</v>
      </c>
      <c r="AB16">
        <f>'Export shares'!AB16*'Indirect NH3 demand sources'!AB$3</f>
        <v>0.20603946054954583</v>
      </c>
      <c r="AC16">
        <f>'Export shares'!AC16*'Indirect NH3 demand sources'!AC$3</f>
        <v>0.23569476997171651</v>
      </c>
      <c r="AD16">
        <f>'Export shares'!AD16*'Indirect NH3 demand sources'!AD$3</f>
        <v>0.26500062904296562</v>
      </c>
      <c r="AE16">
        <f>'Export shares'!AE16*'Indirect NH3 demand sources'!AE$3</f>
        <v>0.29414737440107114</v>
      </c>
      <c r="AF16">
        <f>'Export shares'!AF16*'Indirect NH3 demand sources'!AF$3</f>
        <v>0.32286519091792293</v>
      </c>
      <c r="AG16">
        <f>'Export shares'!AG16*'Indirect NH3 demand sources'!AG$3</f>
        <v>0.3989491459143108</v>
      </c>
      <c r="AH16">
        <f>'Export shares'!AH16*'Indirect NH3 demand sources'!AH$3</f>
        <v>0.47404649506608487</v>
      </c>
      <c r="AI16">
        <f>'Export shares'!AI16*'Indirect NH3 demand sources'!AI$3</f>
        <v>0.54798336250072344</v>
      </c>
      <c r="AJ16">
        <f>'Export shares'!AJ16*'Indirect NH3 demand sources'!AJ$3</f>
        <v>0.62073062809102508</v>
      </c>
      <c r="AK16">
        <f>'Export shares'!AK16*'Indirect NH3 demand sources'!AK$3</f>
        <v>0.69210702947857672</v>
      </c>
      <c r="AL16">
        <f>'Export shares'!AL16*'Indirect NH3 demand sources'!AL$3</f>
        <v>0.76202995447679289</v>
      </c>
      <c r="AM16">
        <f>'Export shares'!AM16*'Indirect NH3 demand sources'!AM$3</f>
        <v>0.83036691390239936</v>
      </c>
      <c r="AN16">
        <f>'Export shares'!AN16*'Indirect NH3 demand sources'!AN$3</f>
        <v>0.89701165046533815</v>
      </c>
      <c r="AO16">
        <f>'Export shares'!AO16*'Indirect NH3 demand sources'!AO$3</f>
        <v>0.96220640976386695</v>
      </c>
      <c r="AP16">
        <f>'Export shares'!AP16*'Indirect NH3 demand sources'!AP$3</f>
        <v>1.0258273876014192</v>
      </c>
    </row>
    <row r="17" spans="1:42" x14ac:dyDescent="0.3">
      <c r="A17" t="s">
        <v>16</v>
      </c>
      <c r="B17">
        <f>'Export shares'!B17*'Indirect NH3 demand sources'!B$3</f>
        <v>0</v>
      </c>
      <c r="C17">
        <f>'Export shares'!C17*'Indirect NH3 demand sources'!C$3</f>
        <v>0</v>
      </c>
      <c r="D17">
        <f>'Export shares'!D17*'Indirect NH3 demand sources'!D$3</f>
        <v>0</v>
      </c>
      <c r="E17">
        <f>'Export shares'!E17*'Indirect NH3 demand sources'!E$3</f>
        <v>0</v>
      </c>
      <c r="F17">
        <f>'Export shares'!F17*'Indirect NH3 demand sources'!F$3</f>
        <v>0</v>
      </c>
      <c r="G17">
        <f>'Export shares'!G17*'Indirect NH3 demand sources'!G$3</f>
        <v>0</v>
      </c>
      <c r="H17">
        <f>'Export shares'!H17*'Indirect NH3 demand sources'!H$3</f>
        <v>0</v>
      </c>
      <c r="I17">
        <f>'Export shares'!I17*'Indirect NH3 demand sources'!I$3</f>
        <v>0</v>
      </c>
      <c r="J17">
        <f>'Export shares'!J17*'Indirect NH3 demand sources'!J$3</f>
        <v>0</v>
      </c>
      <c r="K17">
        <f>'Export shares'!K17*'Indirect NH3 demand sources'!K$3</f>
        <v>0</v>
      </c>
      <c r="L17">
        <f>'Export shares'!L17*'Indirect NH3 demand sources'!L$3</f>
        <v>0</v>
      </c>
      <c r="M17">
        <f>'Export shares'!M17*'Indirect NH3 demand sources'!M$3</f>
        <v>0</v>
      </c>
      <c r="N17">
        <f>'Export shares'!N17*'Indirect NH3 demand sources'!N$3</f>
        <v>0</v>
      </c>
      <c r="O17">
        <f>'Export shares'!O17*'Indirect NH3 demand sources'!O$3</f>
        <v>0</v>
      </c>
      <c r="P17">
        <f>'Export shares'!P17*'Indirect NH3 demand sources'!P$3</f>
        <v>0</v>
      </c>
      <c r="Q17">
        <f>'Export shares'!Q17*'Indirect NH3 demand sources'!Q$3</f>
        <v>0</v>
      </c>
      <c r="R17">
        <f>'Export shares'!R17*'Indirect NH3 demand sources'!R$3</f>
        <v>1.3013890244894053E-2</v>
      </c>
      <c r="S17">
        <f>'Export shares'!S17*'Indirect NH3 demand sources'!S$3</f>
        <v>2.5713344239713585E-2</v>
      </c>
      <c r="T17">
        <f>'Export shares'!T17*'Indirect NH3 demand sources'!T$3</f>
        <v>3.7807670737509763E-2</v>
      </c>
      <c r="U17">
        <f>'Export shares'!U17*'Indirect NH3 demand sources'!U$3</f>
        <v>4.9601206917088969E-2</v>
      </c>
      <c r="V17">
        <f>'Export shares'!V17*'Indirect NH3 demand sources'!V$3</f>
        <v>6.1813771344116149E-2</v>
      </c>
      <c r="W17">
        <f>'Export shares'!W17*'Indirect NH3 demand sources'!W$3</f>
        <v>0.16360420835357345</v>
      </c>
      <c r="X17">
        <f>'Export shares'!X17*'Indirect NH3 demand sources'!X$3</f>
        <v>0.26392130323059698</v>
      </c>
      <c r="Y17">
        <f>'Export shares'!Y17*'Indirect NH3 demand sources'!Y$3</f>
        <v>0.36273991586654986</v>
      </c>
      <c r="Z17">
        <f>'Export shares'!Z17*'Indirect NH3 demand sources'!Z$3</f>
        <v>0.4600233272260088</v>
      </c>
      <c r="AA17">
        <f>'Export shares'!AA17*'Indirect NH3 demand sources'!AA$3</f>
        <v>0.55576228935387606</v>
      </c>
      <c r="AB17">
        <f>'Export shares'!AB17*'Indirect NH3 demand sources'!AB$3</f>
        <v>0.64995284590975977</v>
      </c>
      <c r="AC17">
        <f>'Export shares'!AC17*'Indirect NH3 demand sources'!AC$3</f>
        <v>0.74250387818955477</v>
      </c>
      <c r="AD17">
        <f>'Export shares'!AD17*'Indirect NH3 demand sources'!AD$3</f>
        <v>0.83351371043321243</v>
      </c>
      <c r="AE17">
        <f>'Export shares'!AE17*'Indirect NH3 demand sources'!AE$3</f>
        <v>0.9228586657045017</v>
      </c>
      <c r="AF17">
        <f>'Export shares'!AF17*'Indirect NH3 demand sources'!AF$3</f>
        <v>1.0107895211399138</v>
      </c>
      <c r="AG17">
        <f>'Export shares'!AG17*'Indirect NH3 demand sources'!AG$3</f>
        <v>1.2466481049607985</v>
      </c>
      <c r="AH17">
        <f>'Export shares'!AH17*'Indirect NH3 demand sources'!AH$3</f>
        <v>1.4787291647730447</v>
      </c>
      <c r="AI17">
        <f>'Export shares'!AI17*'Indirect NH3 demand sources'!AI$3</f>
        <v>1.7070207214979742</v>
      </c>
      <c r="AJ17">
        <f>'Export shares'!AJ17*'Indirect NH3 demand sources'!AJ$3</f>
        <v>1.9316121064036174</v>
      </c>
      <c r="AK17">
        <f>'Export shares'!AK17*'Indirect NH3 demand sources'!AK$3</f>
        <v>2.1526980344509603</v>
      </c>
      <c r="AL17">
        <f>'Export shares'!AL17*'Indirect NH3 demand sources'!AL$3</f>
        <v>2.3703627189875691</v>
      </c>
      <c r="AM17">
        <f>'Export shares'!AM17*'Indirect NH3 demand sources'!AM$3</f>
        <v>2.5843756208436641</v>
      </c>
      <c r="AN17">
        <f>'Export shares'!AN17*'Indirect NH3 demand sources'!AN$3</f>
        <v>2.7949692670826338</v>
      </c>
      <c r="AO17">
        <f>'Export shares'!AO17*'Indirect NH3 demand sources'!AO$3</f>
        <v>3.0023693122539523</v>
      </c>
      <c r="AP17">
        <f>'Export shares'!AP17*'Indirect NH3 demand sources'!AP$3</f>
        <v>3.2064202976312899</v>
      </c>
    </row>
    <row r="18" spans="1:42" x14ac:dyDescent="0.3">
      <c r="A18" t="s">
        <v>17</v>
      </c>
      <c r="B18">
        <f>'Export shares'!B18*'Indirect NH3 demand sources'!B$3</f>
        <v>0</v>
      </c>
      <c r="C18">
        <f>'Export shares'!C18*'Indirect NH3 demand sources'!C$3</f>
        <v>0</v>
      </c>
      <c r="D18">
        <f>'Export shares'!D18*'Indirect NH3 demand sources'!D$3</f>
        <v>0</v>
      </c>
      <c r="E18">
        <f>'Export shares'!E18*'Indirect NH3 demand sources'!E$3</f>
        <v>0</v>
      </c>
      <c r="F18">
        <f>'Export shares'!F18*'Indirect NH3 demand sources'!F$3</f>
        <v>0</v>
      </c>
      <c r="G18">
        <f>'Export shares'!G18*'Indirect NH3 demand sources'!G$3</f>
        <v>0</v>
      </c>
      <c r="H18">
        <f>'Export shares'!H18*'Indirect NH3 demand sources'!H$3</f>
        <v>0</v>
      </c>
      <c r="I18">
        <f>'Export shares'!I18*'Indirect NH3 demand sources'!I$3</f>
        <v>0</v>
      </c>
      <c r="J18">
        <f>'Export shares'!J18*'Indirect NH3 demand sources'!J$3</f>
        <v>0</v>
      </c>
      <c r="K18">
        <f>'Export shares'!K18*'Indirect NH3 demand sources'!K$3</f>
        <v>0</v>
      </c>
      <c r="L18">
        <f>'Export shares'!L18*'Indirect NH3 demand sources'!L$3</f>
        <v>0</v>
      </c>
      <c r="M18">
        <f>'Export shares'!M18*'Indirect NH3 demand sources'!M$3</f>
        <v>0</v>
      </c>
      <c r="N18">
        <f>'Export shares'!N18*'Indirect NH3 demand sources'!N$3</f>
        <v>0</v>
      </c>
      <c r="O18">
        <f>'Export shares'!O18*'Indirect NH3 demand sources'!O$3</f>
        <v>0</v>
      </c>
      <c r="P18">
        <f>'Export shares'!P18*'Indirect NH3 demand sources'!P$3</f>
        <v>0</v>
      </c>
      <c r="Q18">
        <f>'Export shares'!Q18*'Indirect NH3 demand sources'!Q$3</f>
        <v>0</v>
      </c>
      <c r="R18">
        <f>'Export shares'!R18*'Indirect NH3 demand sources'!R$3</f>
        <v>1.4342042876109623E-3</v>
      </c>
      <c r="S18">
        <f>'Export shares'!S18*'Indirect NH3 demand sources'!S$3</f>
        <v>2.8221746429128456E-3</v>
      </c>
      <c r="T18">
        <f>'Export shares'!T18*'Indirect NH3 demand sources'!T$3</f>
        <v>4.1344077871239473E-3</v>
      </c>
      <c r="U18">
        <f>'Export shares'!U18*'Indirect NH3 demand sources'!U$3</f>
        <v>5.4076457340398515E-3</v>
      </c>
      <c r="V18">
        <f>'Export shares'!V18*'Indirect NH3 demand sources'!V$3</f>
        <v>6.7255364507975684E-3</v>
      </c>
      <c r="W18">
        <f>'Export shares'!W18*'Indirect NH3 demand sources'!W$3</f>
        <v>1.7736053189433384E-2</v>
      </c>
      <c r="X18">
        <f>'Export shares'!X18*'Indirect NH3 demand sources'!X$3</f>
        <v>2.8500835632740914E-2</v>
      </c>
      <c r="Y18">
        <f>'Export shares'!Y18*'Indirect NH3 demand sources'!Y$3</f>
        <v>3.9013990456270416E-2</v>
      </c>
      <c r="Z18">
        <f>'Export shares'!Z18*'Indirect NH3 demand sources'!Z$3</f>
        <v>4.9295213902847274E-2</v>
      </c>
      <c r="AA18">
        <f>'Export shares'!AA18*'Indirect NH3 demand sources'!AA$3</f>
        <v>5.9344849792971749E-2</v>
      </c>
      <c r="AB18">
        <f>'Export shares'!AB18*'Indirect NH3 demand sources'!AB$3</f>
        <v>6.9178591075912996E-2</v>
      </c>
      <c r="AC18">
        <f>'Export shares'!AC18*'Indirect NH3 demand sources'!AC$3</f>
        <v>7.8815557790094984E-2</v>
      </c>
      <c r="AD18">
        <f>'Export shares'!AD18*'Indirect NH3 demand sources'!AD$3</f>
        <v>8.8237334684145963E-2</v>
      </c>
      <c r="AE18">
        <f>'Export shares'!AE18*'Indirect NH3 demand sources'!AE$3</f>
        <v>9.7481070227078706E-2</v>
      </c>
      <c r="AF18">
        <f>'Export shares'!AF18*'Indirect NH3 demand sources'!AF$3</f>
        <v>0.10655716863438543</v>
      </c>
      <c r="AG18">
        <f>'Export shares'!AG18*'Indirect NH3 demand sources'!AG$3</f>
        <v>0.13115723528569098</v>
      </c>
      <c r="AH18">
        <f>'Export shares'!AH18*'Indirect NH3 demand sources'!AH$3</f>
        <v>0.1552795048233796</v>
      </c>
      <c r="AI18">
        <f>'Export shares'!AI18*'Indirect NH3 demand sources'!AI$3</f>
        <v>0.17893984491662124</v>
      </c>
      <c r="AJ18">
        <f>'Export shares'!AJ18*'Indirect NH3 demand sources'!AJ$3</f>
        <v>0.20216572272794564</v>
      </c>
      <c r="AK18">
        <f>'Export shares'!AK18*'Indirect NH3 demand sources'!AK$3</f>
        <v>0.2249800153207604</v>
      </c>
      <c r="AL18">
        <f>'Export shares'!AL18*'Indirect NH3 demand sources'!AL$3</f>
        <v>0.24737561512011788</v>
      </c>
      <c r="AM18">
        <f>'Export shares'!AM18*'Indirect NH3 demand sources'!AM$3</f>
        <v>0.26927280118914926</v>
      </c>
      <c r="AN18">
        <f>'Export shares'!AN18*'Indirect NH3 demand sources'!AN$3</f>
        <v>0.29069035717575548</v>
      </c>
      <c r="AO18">
        <f>'Export shares'!AO18*'Indirect NH3 demand sources'!AO$3</f>
        <v>0.31162985576685825</v>
      </c>
      <c r="AP18">
        <f>'Export shares'!AP18*'Indirect NH3 demand sources'!AP$3</f>
        <v>0.33202501472905993</v>
      </c>
    </row>
    <row r="19" spans="1:42" x14ac:dyDescent="0.3">
      <c r="A19" t="s">
        <v>18</v>
      </c>
      <c r="B19">
        <f>'Export shares'!B19*'Indirect NH3 demand sources'!B$3</f>
        <v>0</v>
      </c>
      <c r="C19">
        <f>'Export shares'!C19*'Indirect NH3 demand sources'!C$3</f>
        <v>0</v>
      </c>
      <c r="D19">
        <f>'Export shares'!D19*'Indirect NH3 demand sources'!D$3</f>
        <v>0</v>
      </c>
      <c r="E19">
        <f>'Export shares'!E19*'Indirect NH3 demand sources'!E$3</f>
        <v>0</v>
      </c>
      <c r="F19">
        <f>'Export shares'!F19*'Indirect NH3 demand sources'!F$3</f>
        <v>0</v>
      </c>
      <c r="G19">
        <f>'Export shares'!G19*'Indirect NH3 demand sources'!G$3</f>
        <v>0</v>
      </c>
      <c r="H19">
        <f>'Export shares'!H19*'Indirect NH3 demand sources'!H$3</f>
        <v>0</v>
      </c>
      <c r="I19">
        <f>'Export shares'!I19*'Indirect NH3 demand sources'!I$3</f>
        <v>0</v>
      </c>
      <c r="J19">
        <f>'Export shares'!J19*'Indirect NH3 demand sources'!J$3</f>
        <v>0</v>
      </c>
      <c r="K19">
        <f>'Export shares'!K19*'Indirect NH3 demand sources'!K$3</f>
        <v>0</v>
      </c>
      <c r="L19">
        <f>'Export shares'!L19*'Indirect NH3 demand sources'!L$3</f>
        <v>0</v>
      </c>
      <c r="M19">
        <f>'Export shares'!M19*'Indirect NH3 demand sources'!M$3</f>
        <v>0</v>
      </c>
      <c r="N19">
        <f>'Export shares'!N19*'Indirect NH3 demand sources'!N$3</f>
        <v>0</v>
      </c>
      <c r="O19">
        <f>'Export shares'!O19*'Indirect NH3 demand sources'!O$3</f>
        <v>0</v>
      </c>
      <c r="P19">
        <f>'Export shares'!P19*'Indirect NH3 demand sources'!P$3</f>
        <v>0</v>
      </c>
      <c r="Q19">
        <f>'Export shares'!Q19*'Indirect NH3 demand sources'!Q$3</f>
        <v>0</v>
      </c>
      <c r="R19">
        <f>'Export shares'!R19*'Indirect NH3 demand sources'!R$3</f>
        <v>2.5728123046836178E-4</v>
      </c>
      <c r="S19">
        <f>'Export shares'!S19*'Indirect NH3 demand sources'!S$3</f>
        <v>5.0634091692503957E-4</v>
      </c>
      <c r="T19">
        <f>'Export shares'!T19*'Indirect NH3 demand sources'!T$3</f>
        <v>7.4189583429075173E-4</v>
      </c>
      <c r="U19">
        <f>'Export shares'!U19*'Indirect NH3 demand sources'!U$3</f>
        <v>9.709071764013019E-4</v>
      </c>
      <c r="V19">
        <f>'Export shares'!V19*'Indirect NH3 demand sources'!V$3</f>
        <v>1.2088533044664893E-3</v>
      </c>
      <c r="W19">
        <f>'Export shares'!W19*'Indirect NH3 demand sources'!W$3</f>
        <v>3.1903279508749926E-3</v>
      </c>
      <c r="X19">
        <f>'Export shares'!X19*'Indirect NH3 demand sources'!X$3</f>
        <v>5.1358917843353311E-3</v>
      </c>
      <c r="Y19">
        <f>'Export shares'!Y19*'Indirect NH3 demand sources'!Y$3</f>
        <v>7.0452821800476148E-3</v>
      </c>
      <c r="Z19">
        <f>'Export shares'!Z19*'Indirect NH3 demand sources'!Z$3</f>
        <v>8.9248235819619458E-3</v>
      </c>
      <c r="AA19">
        <f>'Export shares'!AA19*'Indirect NH3 demand sources'!AA$3</f>
        <v>1.0774533370730158E-2</v>
      </c>
      <c r="AB19">
        <f>'Export shares'!AB19*'Indirect NH3 demand sources'!AB$3</f>
        <v>1.2602746099869553E-2</v>
      </c>
      <c r="AC19">
        <f>'Export shares'!AC19*'Indirect NH3 demand sources'!AC$3</f>
        <v>1.4414887442086334E-2</v>
      </c>
      <c r="AD19">
        <f>'Export shares'!AD19*'Indirect NH3 demand sources'!AD$3</f>
        <v>1.6211585939466186E-2</v>
      </c>
      <c r="AE19">
        <f>'Export shares'!AE19*'Indirect NH3 demand sources'!AE$3</f>
        <v>1.7999356377976471E-2</v>
      </c>
      <c r="AF19">
        <f>'Export shares'!AF19*'Indirect NH3 demand sources'!AF$3</f>
        <v>1.9751399335695669E-2</v>
      </c>
      <c r="AG19">
        <f>'Export shares'!AG19*'Indirect NH3 demand sources'!AG$3</f>
        <v>2.4393153075158644E-2</v>
      </c>
      <c r="AH19">
        <f>'Export shares'!AH19*'Indirect NH3 demand sources'!AH$3</f>
        <v>2.89703110909449E-2</v>
      </c>
      <c r="AI19">
        <f>'Export shares'!AI19*'Indirect NH3 demand sources'!AI$3</f>
        <v>3.3475429664728149E-2</v>
      </c>
      <c r="AJ19">
        <f>'Export shares'!AJ19*'Indirect NH3 demand sources'!AJ$3</f>
        <v>3.7907689097141768E-2</v>
      </c>
      <c r="AK19">
        <f>'Export shares'!AK19*'Indirect NH3 demand sources'!AK$3</f>
        <v>4.2260494274151864E-2</v>
      </c>
      <c r="AL19">
        <f>'Export shares'!AL19*'Indirect NH3 demand sources'!AL$3</f>
        <v>4.6537107796291506E-2</v>
      </c>
      <c r="AM19">
        <f>'Export shares'!AM19*'Indirect NH3 demand sources'!AM$3</f>
        <v>5.0722858413940683E-2</v>
      </c>
      <c r="AN19">
        <f>'Export shares'!AN19*'Indirect NH3 demand sources'!AN$3</f>
        <v>5.4816227490115041E-2</v>
      </c>
      <c r="AO19">
        <f>'Export shares'!AO19*'Indirect NH3 demand sources'!AO$3</f>
        <v>5.8794298525948273E-2</v>
      </c>
      <c r="AP19">
        <f>'Export shares'!AP19*'Indirect NH3 demand sources'!AP$3</f>
        <v>6.2654105280204958E-2</v>
      </c>
    </row>
    <row r="20" spans="1:42" x14ac:dyDescent="0.3">
      <c r="A20" t="s">
        <v>19</v>
      </c>
      <c r="B20">
        <f>'Export shares'!B20*'Indirect NH3 demand sources'!B$3</f>
        <v>0</v>
      </c>
      <c r="C20">
        <f>'Export shares'!C20*'Indirect NH3 demand sources'!C$3</f>
        <v>0</v>
      </c>
      <c r="D20">
        <f>'Export shares'!D20*'Indirect NH3 demand sources'!D$3</f>
        <v>0</v>
      </c>
      <c r="E20">
        <f>'Export shares'!E20*'Indirect NH3 demand sources'!E$3</f>
        <v>0</v>
      </c>
      <c r="F20">
        <f>'Export shares'!F20*'Indirect NH3 demand sources'!F$3</f>
        <v>0</v>
      </c>
      <c r="G20">
        <f>'Export shares'!G20*'Indirect NH3 demand sources'!G$3</f>
        <v>0</v>
      </c>
      <c r="H20">
        <f>'Export shares'!H20*'Indirect NH3 demand sources'!H$3</f>
        <v>0</v>
      </c>
      <c r="I20">
        <f>'Export shares'!I20*'Indirect NH3 demand sources'!I$3</f>
        <v>0</v>
      </c>
      <c r="J20">
        <f>'Export shares'!J20*'Indirect NH3 demand sources'!J$3</f>
        <v>0</v>
      </c>
      <c r="K20">
        <f>'Export shares'!K20*'Indirect NH3 demand sources'!K$3</f>
        <v>0</v>
      </c>
      <c r="L20">
        <f>'Export shares'!L20*'Indirect NH3 demand sources'!L$3</f>
        <v>0</v>
      </c>
      <c r="M20">
        <f>'Export shares'!M20*'Indirect NH3 demand sources'!M$3</f>
        <v>0</v>
      </c>
      <c r="N20">
        <f>'Export shares'!N20*'Indirect NH3 demand sources'!N$3</f>
        <v>0</v>
      </c>
      <c r="O20">
        <f>'Export shares'!O20*'Indirect NH3 demand sources'!O$3</f>
        <v>0</v>
      </c>
      <c r="P20">
        <f>'Export shares'!P20*'Indirect NH3 demand sources'!P$3</f>
        <v>0</v>
      </c>
      <c r="Q20">
        <f>'Export shares'!Q20*'Indirect NH3 demand sources'!Q$3</f>
        <v>0</v>
      </c>
      <c r="R20">
        <f>'Export shares'!R20*'Indirect NH3 demand sources'!R$3</f>
        <v>4.6796192838407386E-4</v>
      </c>
      <c r="S20">
        <f>'Export shares'!S20*'Indirect NH3 demand sources'!S$3</f>
        <v>9.2641652123280681E-4</v>
      </c>
      <c r="T20">
        <f>'Export shares'!T20*'Indirect NH3 demand sources'!T$3</f>
        <v>1.3628380486483398E-3</v>
      </c>
      <c r="U20">
        <f>'Export shares'!U20*'Indirect NH3 demand sources'!U$3</f>
        <v>1.7880322946736884E-3</v>
      </c>
      <c r="V20">
        <f>'Export shares'!V20*'Indirect NH3 demand sources'!V$3</f>
        <v>2.227571777396355E-3</v>
      </c>
      <c r="W20">
        <f>'Export shares'!W20*'Indirect NH3 demand sources'!W$3</f>
        <v>5.877243813634323E-3</v>
      </c>
      <c r="X20">
        <f>'Export shares'!X20*'Indirect NH3 demand sources'!X$3</f>
        <v>9.4522773679113249E-3</v>
      </c>
      <c r="Y20">
        <f>'Export shares'!Y20*'Indirect NH3 demand sources'!Y$3</f>
        <v>1.2948943658857081E-2</v>
      </c>
      <c r="Z20">
        <f>'Export shares'!Z20*'Indirect NH3 demand sources'!Z$3</f>
        <v>1.6374907580463064E-2</v>
      </c>
      <c r="AA20">
        <f>'Export shares'!AA20*'Indirect NH3 demand sources'!AA$3</f>
        <v>1.9736319924212629E-2</v>
      </c>
      <c r="AB20">
        <f>'Export shares'!AB20*'Indirect NH3 demand sources'!AB$3</f>
        <v>2.303676887759629E-2</v>
      </c>
      <c r="AC20">
        <f>'Export shares'!AC20*'Indirect NH3 demand sources'!AC$3</f>
        <v>2.6290567856472942E-2</v>
      </c>
      <c r="AD20">
        <f>'Export shares'!AD20*'Indirect NH3 demand sources'!AD$3</f>
        <v>2.9495743786981277E-2</v>
      </c>
      <c r="AE20">
        <f>'Export shares'!AE20*'Indirect NH3 demand sources'!AE$3</f>
        <v>3.2669527203111635E-2</v>
      </c>
      <c r="AF20">
        <f>'Export shares'!AF20*'Indirect NH3 demand sources'!AF$3</f>
        <v>3.5807118783503948E-2</v>
      </c>
      <c r="AG20">
        <f>'Export shares'!AG20*'Indirect NH3 demand sources'!AG$3</f>
        <v>4.4180017420525956E-2</v>
      </c>
      <c r="AH20">
        <f>'Export shares'!AH20*'Indirect NH3 demand sources'!AH$3</f>
        <v>5.2412934171793379E-2</v>
      </c>
      <c r="AI20">
        <f>'Export shares'!AI20*'Indirect NH3 demand sources'!AI$3</f>
        <v>6.0503148495945479E-2</v>
      </c>
      <c r="AJ20">
        <f>'Export shares'!AJ20*'Indirect NH3 demand sources'!AJ$3</f>
        <v>6.845072796850811E-2</v>
      </c>
      <c r="AK20">
        <f>'Export shares'!AK20*'Indirect NH3 demand sources'!AK$3</f>
        <v>7.6239479033323537E-2</v>
      </c>
      <c r="AL20">
        <f>'Export shares'!AL20*'Indirect NH3 demand sources'!AL$3</f>
        <v>8.3868790590818851E-2</v>
      </c>
      <c r="AM20">
        <f>'Export shares'!AM20*'Indirect NH3 demand sources'!AM$3</f>
        <v>9.133361583684281E-2</v>
      </c>
      <c r="AN20">
        <f>'Export shares'!AN20*'Indirect NH3 demand sources'!AN$3</f>
        <v>9.8620818628779819E-2</v>
      </c>
      <c r="AO20">
        <f>'Export shares'!AO20*'Indirect NH3 demand sources'!AO$3</f>
        <v>0.10569765579828357</v>
      </c>
      <c r="AP20">
        <f>'Export shares'!AP20*'Indirect NH3 demand sources'!AP$3</f>
        <v>0.11255251968564313</v>
      </c>
    </row>
    <row r="21" spans="1:42" x14ac:dyDescent="0.3">
      <c r="A21" t="s">
        <v>20</v>
      </c>
      <c r="B21">
        <f>'Export shares'!B21*'Indirect NH3 demand sources'!B$3</f>
        <v>0</v>
      </c>
      <c r="C21">
        <f>'Export shares'!C21*'Indirect NH3 demand sources'!C$3</f>
        <v>0</v>
      </c>
      <c r="D21">
        <f>'Export shares'!D21*'Indirect NH3 demand sources'!D$3</f>
        <v>0</v>
      </c>
      <c r="E21">
        <f>'Export shares'!E21*'Indirect NH3 demand sources'!E$3</f>
        <v>0</v>
      </c>
      <c r="F21">
        <f>'Export shares'!F21*'Indirect NH3 demand sources'!F$3</f>
        <v>0</v>
      </c>
      <c r="G21">
        <f>'Export shares'!G21*'Indirect NH3 demand sources'!G$3</f>
        <v>0</v>
      </c>
      <c r="H21">
        <f>'Export shares'!H21*'Indirect NH3 demand sources'!H$3</f>
        <v>0</v>
      </c>
      <c r="I21">
        <f>'Export shares'!I21*'Indirect NH3 demand sources'!I$3</f>
        <v>0</v>
      </c>
      <c r="J21">
        <f>'Export shares'!J21*'Indirect NH3 demand sources'!J$3</f>
        <v>0</v>
      </c>
      <c r="K21">
        <f>'Export shares'!K21*'Indirect NH3 demand sources'!K$3</f>
        <v>0</v>
      </c>
      <c r="L21">
        <f>'Export shares'!L21*'Indirect NH3 demand sources'!L$3</f>
        <v>0</v>
      </c>
      <c r="M21">
        <f>'Export shares'!M21*'Indirect NH3 demand sources'!M$3</f>
        <v>0</v>
      </c>
      <c r="N21">
        <f>'Export shares'!N21*'Indirect NH3 demand sources'!N$3</f>
        <v>0</v>
      </c>
      <c r="O21">
        <f>'Export shares'!O21*'Indirect NH3 demand sources'!O$3</f>
        <v>0</v>
      </c>
      <c r="P21">
        <f>'Export shares'!P21*'Indirect NH3 demand sources'!P$3</f>
        <v>0</v>
      </c>
      <c r="Q21">
        <f>'Export shares'!Q21*'Indirect NH3 demand sources'!Q$3</f>
        <v>0</v>
      </c>
      <c r="R21">
        <f>'Export shares'!R21*'Indirect NH3 demand sources'!R$3</f>
        <v>2.7316740927757439E-4</v>
      </c>
      <c r="S21">
        <f>'Export shares'!S21*'Indirect NH3 demand sources'!S$3</f>
        <v>5.3931233764268173E-4</v>
      </c>
      <c r="T21">
        <f>'Export shares'!T21*'Indirect NH3 demand sources'!T$3</f>
        <v>7.9264122577321432E-4</v>
      </c>
      <c r="U21">
        <f>'Export shares'!U21*'Indirect NH3 demand sources'!U$3</f>
        <v>1.039919485384001E-3</v>
      </c>
      <c r="V21">
        <f>'Export shares'!V21*'Indirect NH3 demand sources'!V$3</f>
        <v>1.2955864104475666E-3</v>
      </c>
      <c r="W21">
        <f>'Export shares'!W21*'Indirect NH3 demand sources'!W$3</f>
        <v>3.4215585502394437E-3</v>
      </c>
      <c r="X21">
        <f>'Export shares'!X21*'Indirect NH3 demand sources'!X$3</f>
        <v>5.5104916777725796E-3</v>
      </c>
      <c r="Y21">
        <f>'Export shares'!Y21*'Indirect NH3 demand sources'!Y$3</f>
        <v>7.5586505994300369E-3</v>
      </c>
      <c r="Z21">
        <f>'Export shares'!Z21*'Indirect NH3 demand sources'!Z$3</f>
        <v>9.5649137854798855E-3</v>
      </c>
      <c r="AA21">
        <f>'Export shares'!AA21*'Indirect NH3 demand sources'!AA$3</f>
        <v>1.1529098921633721E-2</v>
      </c>
      <c r="AB21">
        <f>'Export shares'!AB21*'Indirect NH3 demand sources'!AB$3</f>
        <v>1.345121765019287E-2</v>
      </c>
      <c r="AC21">
        <f>'Export shares'!AC21*'Indirect NH3 demand sources'!AC$3</f>
        <v>1.5330575808923589E-2</v>
      </c>
      <c r="AD21">
        <f>'Export shares'!AD21*'Indirect NH3 demand sources'!AD$3</f>
        <v>1.7156493531578488E-2</v>
      </c>
      <c r="AE21">
        <f>'Export shares'!AE21*'Indirect NH3 demand sources'!AE$3</f>
        <v>1.8915972322034326E-2</v>
      </c>
      <c r="AF21">
        <f>'Export shares'!AF21*'Indirect NH3 demand sources'!AF$3</f>
        <v>2.0609923449112701E-2</v>
      </c>
      <c r="AG21">
        <f>'Export shares'!AG21*'Indirect NH3 demand sources'!AG$3</f>
        <v>2.5259350311159622E-2</v>
      </c>
      <c r="AH21">
        <f>'Export shares'!AH21*'Indirect NH3 demand sources'!AH$3</f>
        <v>2.9744214778301546E-2</v>
      </c>
      <c r="AI21">
        <f>'Export shares'!AI21*'Indirect NH3 demand sources'!AI$3</f>
        <v>3.4070599729194323E-2</v>
      </c>
      <c r="AJ21">
        <f>'Export shares'!AJ21*'Indirect NH3 demand sources'!AJ$3</f>
        <v>3.8228177401294028E-2</v>
      </c>
      <c r="AK21">
        <f>'Export shares'!AK21*'Indirect NH3 demand sources'!AK$3</f>
        <v>4.2208124213646982E-2</v>
      </c>
      <c r="AL21">
        <f>'Export shares'!AL21*'Indirect NH3 demand sources'!AL$3</f>
        <v>4.5999924650394278E-2</v>
      </c>
      <c r="AM21">
        <f>'Export shares'!AM21*'Indirect NH3 demand sources'!AM$3</f>
        <v>4.9595248337274016E-2</v>
      </c>
      <c r="AN21">
        <f>'Export shares'!AN21*'Indirect NH3 demand sources'!AN$3</f>
        <v>5.2995018500106204E-2</v>
      </c>
      <c r="AO21">
        <f>'Export shares'!AO21*'Indirect NH3 demand sources'!AO$3</f>
        <v>5.6188895658160279E-2</v>
      </c>
      <c r="AP21">
        <f>'Export shares'!AP21*'Indirect NH3 demand sources'!AP$3</f>
        <v>5.9189932414088479E-2</v>
      </c>
    </row>
    <row r="22" spans="1:42" x14ac:dyDescent="0.3">
      <c r="A22" t="s">
        <v>21</v>
      </c>
      <c r="B22">
        <f>'Export shares'!B22*'Indirect NH3 demand sources'!B$3</f>
        <v>0</v>
      </c>
      <c r="C22">
        <f>'Export shares'!C22*'Indirect NH3 demand sources'!C$3</f>
        <v>0</v>
      </c>
      <c r="D22">
        <f>'Export shares'!D22*'Indirect NH3 demand sources'!D$3</f>
        <v>0</v>
      </c>
      <c r="E22">
        <f>'Export shares'!E22*'Indirect NH3 demand sources'!E$3</f>
        <v>0</v>
      </c>
      <c r="F22">
        <f>'Export shares'!F22*'Indirect NH3 demand sources'!F$3</f>
        <v>0</v>
      </c>
      <c r="G22">
        <f>'Export shares'!G22*'Indirect NH3 demand sources'!G$3</f>
        <v>0</v>
      </c>
      <c r="H22">
        <f>'Export shares'!H22*'Indirect NH3 demand sources'!H$3</f>
        <v>0</v>
      </c>
      <c r="I22">
        <f>'Export shares'!I22*'Indirect NH3 demand sources'!I$3</f>
        <v>0</v>
      </c>
      <c r="J22">
        <f>'Export shares'!J22*'Indirect NH3 demand sources'!J$3</f>
        <v>0</v>
      </c>
      <c r="K22">
        <f>'Export shares'!K22*'Indirect NH3 demand sources'!K$3</f>
        <v>0</v>
      </c>
      <c r="L22">
        <f>'Export shares'!L22*'Indirect NH3 demand sources'!L$3</f>
        <v>0</v>
      </c>
      <c r="M22">
        <f>'Export shares'!M22*'Indirect NH3 demand sources'!M$3</f>
        <v>0</v>
      </c>
      <c r="N22">
        <f>'Export shares'!N22*'Indirect NH3 demand sources'!N$3</f>
        <v>0</v>
      </c>
      <c r="O22">
        <f>'Export shares'!O22*'Indirect NH3 demand sources'!O$3</f>
        <v>0</v>
      </c>
      <c r="P22">
        <f>'Export shares'!P22*'Indirect NH3 demand sources'!P$3</f>
        <v>0</v>
      </c>
      <c r="Q22">
        <f>'Export shares'!Q22*'Indirect NH3 demand sources'!Q$3</f>
        <v>0</v>
      </c>
      <c r="R22">
        <f>'Export shares'!R22*'Indirect NH3 demand sources'!R$3</f>
        <v>6.7680988338807743E-4</v>
      </c>
      <c r="S22">
        <f>'Export shares'!S22*'Indirect NH3 demand sources'!S$3</f>
        <v>1.3416938910190584E-3</v>
      </c>
      <c r="T22">
        <f>'Export shares'!T22*'Indirect NH3 demand sources'!T$3</f>
        <v>1.9744588132684449E-3</v>
      </c>
      <c r="U22">
        <f>'Export shares'!U22*'Indirect NH3 demand sources'!U$3</f>
        <v>2.5896307056780692E-3</v>
      </c>
      <c r="V22">
        <f>'Export shares'!V22*'Indirect NH3 demand sources'!V$3</f>
        <v>3.2235383208032058E-3</v>
      </c>
      <c r="W22">
        <f>'Export shares'!W22*'Indirect NH3 demand sources'!W$3</f>
        <v>8.5015392810428511E-3</v>
      </c>
      <c r="X22">
        <f>'Export shares'!X22*'Indirect NH3 demand sources'!X$3</f>
        <v>1.3670264068508704E-2</v>
      </c>
      <c r="Y22">
        <f>'Export shares'!Y22*'Indirect NH3 demand sources'!Y$3</f>
        <v>1.8721029445368367E-2</v>
      </c>
      <c r="Z22">
        <f>'Export shares'!Z22*'Indirect NH3 demand sources'!Z$3</f>
        <v>2.3653692131509113E-2</v>
      </c>
      <c r="AA22">
        <f>'Export shares'!AA22*'Indirect NH3 demand sources'!AA$3</f>
        <v>2.846564722943053E-2</v>
      </c>
      <c r="AB22">
        <f>'Export shares'!AB22*'Indirect NH3 demand sources'!AB$3</f>
        <v>3.3157233440579026E-2</v>
      </c>
      <c r="AC22">
        <f>'Export shares'!AC22*'Indirect NH3 demand sources'!AC$3</f>
        <v>3.7736549720682633E-2</v>
      </c>
      <c r="AD22">
        <f>'Export shares'!AD22*'Indirect NH3 demand sources'!AD$3</f>
        <v>4.2171296119994928E-2</v>
      </c>
      <c r="AE22">
        <f>'Export shares'!AE22*'Indirect NH3 demand sources'!AE$3</f>
        <v>4.6451115693428635E-2</v>
      </c>
      <c r="AF22">
        <f>'Export shares'!AF22*'Indirect NH3 demand sources'!AF$3</f>
        <v>5.0540510533386568E-2</v>
      </c>
      <c r="AG22">
        <f>'Export shares'!AG22*'Indirect NH3 demand sources'!AG$3</f>
        <v>6.1881932262527542E-2</v>
      </c>
      <c r="AH22">
        <f>'Export shares'!AH22*'Indirect NH3 demand sources'!AH$3</f>
        <v>7.2830296876269615E-2</v>
      </c>
      <c r="AI22">
        <f>'Export shares'!AI22*'Indirect NH3 demand sources'!AI$3</f>
        <v>8.3401033819336015E-2</v>
      </c>
      <c r="AJ22">
        <f>'Export shares'!AJ22*'Indirect NH3 demand sources'!AJ$3</f>
        <v>9.3591156802201508E-2</v>
      </c>
      <c r="AK22">
        <f>'Export shares'!AK22*'Indirect NH3 demand sources'!AK$3</f>
        <v>0.10340750114187457</v>
      </c>
      <c r="AL22">
        <f>'Export shares'!AL22*'Indirect NH3 demand sources'!AL$3</f>
        <v>0.11285157997019117</v>
      </c>
      <c r="AM22">
        <f>'Export shares'!AM22*'Indirect NH3 demand sources'!AM$3</f>
        <v>0.12190509444762593</v>
      </c>
      <c r="AN22">
        <f>'Export shares'!AN22*'Indirect NH3 demand sources'!AN$3</f>
        <v>0.13055712360331148</v>
      </c>
      <c r="AO22">
        <f>'Export shares'!AO22*'Indirect NH3 demand sources'!AO$3</f>
        <v>0.13873680909920011</v>
      </c>
      <c r="AP22">
        <f>'Export shares'!AP22*'Indirect NH3 demand sources'!AP$3</f>
        <v>0.14643188297673954</v>
      </c>
    </row>
    <row r="23" spans="1:42" x14ac:dyDescent="0.3">
      <c r="A23" t="s">
        <v>22</v>
      </c>
      <c r="B23">
        <f>'Export shares'!B23*'Indirect NH3 demand sources'!B$3</f>
        <v>0</v>
      </c>
      <c r="C23">
        <f>'Export shares'!C23*'Indirect NH3 demand sources'!C$3</f>
        <v>0</v>
      </c>
      <c r="D23">
        <f>'Export shares'!D23*'Indirect NH3 demand sources'!D$3</f>
        <v>0</v>
      </c>
      <c r="E23">
        <f>'Export shares'!E23*'Indirect NH3 demand sources'!E$3</f>
        <v>0</v>
      </c>
      <c r="F23">
        <f>'Export shares'!F23*'Indirect NH3 demand sources'!F$3</f>
        <v>0</v>
      </c>
      <c r="G23">
        <f>'Export shares'!G23*'Indirect NH3 demand sources'!G$3</f>
        <v>0</v>
      </c>
      <c r="H23">
        <f>'Export shares'!H23*'Indirect NH3 demand sources'!H$3</f>
        <v>0</v>
      </c>
      <c r="I23">
        <f>'Export shares'!I23*'Indirect NH3 demand sources'!I$3</f>
        <v>0</v>
      </c>
      <c r="J23">
        <f>'Export shares'!J23*'Indirect NH3 demand sources'!J$3</f>
        <v>0</v>
      </c>
      <c r="K23">
        <f>'Export shares'!K23*'Indirect NH3 demand sources'!K$3</f>
        <v>0</v>
      </c>
      <c r="L23">
        <f>'Export shares'!L23*'Indirect NH3 demand sources'!L$3</f>
        <v>0</v>
      </c>
      <c r="M23">
        <f>'Export shares'!M23*'Indirect NH3 demand sources'!M$3</f>
        <v>0</v>
      </c>
      <c r="N23">
        <f>'Export shares'!N23*'Indirect NH3 demand sources'!N$3</f>
        <v>0</v>
      </c>
      <c r="O23">
        <f>'Export shares'!O23*'Indirect NH3 demand sources'!O$3</f>
        <v>0</v>
      </c>
      <c r="P23">
        <f>'Export shares'!P23*'Indirect NH3 demand sources'!P$3</f>
        <v>0</v>
      </c>
      <c r="Q23">
        <f>'Export shares'!Q23*'Indirect NH3 demand sources'!Q$3</f>
        <v>0</v>
      </c>
      <c r="R23">
        <f>'Export shares'!R23*'Indirect NH3 demand sources'!R$3</f>
        <v>1.0914124917600907E-3</v>
      </c>
      <c r="S23">
        <f>'Export shares'!S23*'Indirect NH3 demand sources'!S$3</f>
        <v>2.1725645459367009E-3</v>
      </c>
      <c r="T23">
        <f>'Export shares'!T23*'Indirect NH3 demand sources'!T$3</f>
        <v>3.2180146383280843E-3</v>
      </c>
      <c r="U23">
        <f>'Export shares'!U23*'Indirect NH3 demand sources'!U$3</f>
        <v>4.2490805368110007E-3</v>
      </c>
      <c r="V23">
        <f>'Export shares'!V23*'Indirect NH3 demand sources'!V$3</f>
        <v>5.3247011803784902E-3</v>
      </c>
      <c r="W23">
        <f>'Export shares'!W23*'Indirect NH3 demand sources'!W$3</f>
        <v>1.4127844929526004E-2</v>
      </c>
      <c r="X23">
        <f>'Export shares'!X23*'Indirect NH3 demand sources'!X$3</f>
        <v>2.2830836345779527E-2</v>
      </c>
      <c r="Y23">
        <f>'Export shares'!Y23*'Indirect NH3 demand sources'!Y$3</f>
        <v>3.1407305288034947E-2</v>
      </c>
      <c r="Z23">
        <f>'Export shares'!Z23*'Indirect NH3 demand sources'!Z$3</f>
        <v>3.9860938102311734E-2</v>
      </c>
      <c r="AA23">
        <f>'Export shares'!AA23*'Indirect NH3 demand sources'!AA$3</f>
        <v>4.8167420155112092E-2</v>
      </c>
      <c r="AB23">
        <f>'Export shares'!AB23*'Indirect NH3 demand sources'!AB$3</f>
        <v>5.6335433776017567E-2</v>
      </c>
      <c r="AC23">
        <f>'Export shares'!AC23*'Indirect NH3 demand sources'!AC$3</f>
        <v>6.4357136573107487E-2</v>
      </c>
      <c r="AD23">
        <f>'Export shares'!AD23*'Indirect NH3 demand sources'!AD$3</f>
        <v>7.2203764279480429E-2</v>
      </c>
      <c r="AE23">
        <f>'Export shares'!AE23*'Indirect NH3 demand sources'!AE$3</f>
        <v>7.9875332356353523E-2</v>
      </c>
      <c r="AF23">
        <f>'Export shares'!AF23*'Indirect NH3 demand sources'!AF$3</f>
        <v>8.7320911065024431E-2</v>
      </c>
      <c r="AG23">
        <f>'Export shares'!AG23*'Indirect NH3 demand sources'!AG$3</f>
        <v>0.10747106985786388</v>
      </c>
      <c r="AH23">
        <f>'Export shares'!AH23*'Indirect NH3 demand sources'!AH$3</f>
        <v>0.12723596952090668</v>
      </c>
      <c r="AI23">
        <f>'Export shares'!AI23*'Indirect NH3 demand sources'!AI$3</f>
        <v>0.14665901179575164</v>
      </c>
      <c r="AJ23">
        <f>'Export shares'!AJ23*'Indirect NH3 demand sources'!AJ$3</f>
        <v>0.16575564713753604</v>
      </c>
      <c r="AK23">
        <f>'Export shares'!AK23*'Indirect NH3 demand sources'!AK$3</f>
        <v>0.18457770813933433</v>
      </c>
      <c r="AL23">
        <f>'Export shares'!AL23*'Indirect NH3 demand sources'!AL$3</f>
        <v>0.20310002046011177</v>
      </c>
      <c r="AM23">
        <f>'Export shares'!AM23*'Indirect NH3 demand sources'!AM$3</f>
        <v>0.22131497611357623</v>
      </c>
      <c r="AN23">
        <f>'Export shares'!AN23*'Indirect NH3 demand sources'!AN$3</f>
        <v>0.2392203758227413</v>
      </c>
      <c r="AO23">
        <f>'Export shares'!AO23*'Indirect NH3 demand sources'!AO$3</f>
        <v>0.25668129449216021</v>
      </c>
      <c r="AP23">
        <f>'Export shares'!AP23*'Indirect NH3 demand sources'!AP$3</f>
        <v>0.27370128935677601</v>
      </c>
    </row>
    <row r="24" spans="1:42" x14ac:dyDescent="0.3">
      <c r="A24" t="s">
        <v>23</v>
      </c>
      <c r="B24">
        <f>'Export shares'!B24*'Indirect NH3 demand sources'!B$3</f>
        <v>0</v>
      </c>
      <c r="C24">
        <f>'Export shares'!C24*'Indirect NH3 demand sources'!C$3</f>
        <v>0</v>
      </c>
      <c r="D24">
        <f>'Export shares'!D24*'Indirect NH3 demand sources'!D$3</f>
        <v>0</v>
      </c>
      <c r="E24">
        <f>'Export shares'!E24*'Indirect NH3 demand sources'!E$3</f>
        <v>0</v>
      </c>
      <c r="F24">
        <f>'Export shares'!F24*'Indirect NH3 demand sources'!F$3</f>
        <v>0</v>
      </c>
      <c r="G24">
        <f>'Export shares'!G24*'Indirect NH3 demand sources'!G$3</f>
        <v>0</v>
      </c>
      <c r="H24">
        <f>'Export shares'!H24*'Indirect NH3 demand sources'!H$3</f>
        <v>0</v>
      </c>
      <c r="I24">
        <f>'Export shares'!I24*'Indirect NH3 demand sources'!I$3</f>
        <v>0</v>
      </c>
      <c r="J24">
        <f>'Export shares'!J24*'Indirect NH3 demand sources'!J$3</f>
        <v>0</v>
      </c>
      <c r="K24">
        <f>'Export shares'!K24*'Indirect NH3 demand sources'!K$3</f>
        <v>0</v>
      </c>
      <c r="L24">
        <f>'Export shares'!L24*'Indirect NH3 demand sources'!L$3</f>
        <v>0</v>
      </c>
      <c r="M24">
        <f>'Export shares'!M24*'Indirect NH3 demand sources'!M$3</f>
        <v>0</v>
      </c>
      <c r="N24">
        <f>'Export shares'!N24*'Indirect NH3 demand sources'!N$3</f>
        <v>0</v>
      </c>
      <c r="O24">
        <f>'Export shares'!O24*'Indirect NH3 demand sources'!O$3</f>
        <v>0</v>
      </c>
      <c r="P24">
        <f>'Export shares'!P24*'Indirect NH3 demand sources'!P$3</f>
        <v>0</v>
      </c>
      <c r="Q24">
        <f>'Export shares'!Q24*'Indirect NH3 demand sources'!Q$3</f>
        <v>0</v>
      </c>
      <c r="R24">
        <f>'Export shares'!R24*'Indirect NH3 demand sources'!R$3</f>
        <v>5.7595537482067738E-4</v>
      </c>
      <c r="S24">
        <f>'Export shares'!S24*'Indirect NH3 demand sources'!S$3</f>
        <v>1.1700041943263763E-3</v>
      </c>
      <c r="T24">
        <f>'Export shares'!T24*'Indirect NH3 demand sources'!T$3</f>
        <v>1.7673846394381872E-3</v>
      </c>
      <c r="U24">
        <f>'Export shares'!U24*'Indirect NH3 demand sources'!U$3</f>
        <v>2.378510952795706E-3</v>
      </c>
      <c r="V24">
        <f>'Export shares'!V24*'Indirect NH3 demand sources'!V$3</f>
        <v>3.0356815346631932E-3</v>
      </c>
      <c r="W24">
        <f>'Export shares'!W24*'Indirect NH3 demand sources'!W$3</f>
        <v>8.1889167078410176E-3</v>
      </c>
      <c r="X24">
        <f>'Export shares'!X24*'Indirect NH3 demand sources'!X$3</f>
        <v>1.3443927680101136E-2</v>
      </c>
      <c r="Y24">
        <f>'Export shares'!Y24*'Indirect NH3 demand sources'!Y$3</f>
        <v>1.8749187640874906E-2</v>
      </c>
      <c r="Z24">
        <f>'Export shares'!Z24*'Indirect NH3 demand sources'!Z$3</f>
        <v>2.409665138504212E-2</v>
      </c>
      <c r="AA24">
        <f>'Export shares'!AA24*'Indirect NH3 demand sources'!AA$3</f>
        <v>2.9454242449383862E-2</v>
      </c>
      <c r="AB24">
        <f>'Export shares'!AB24*'Indirect NH3 demand sources'!AB$3</f>
        <v>3.4805222455888449E-2</v>
      </c>
      <c r="AC24">
        <f>'Export shares'!AC24*'Indirect NH3 demand sources'!AC$3</f>
        <v>4.0128035770186365E-2</v>
      </c>
      <c r="AD24">
        <f>'Export shares'!AD24*'Indirect NH3 demand sources'!AD$3</f>
        <v>4.5393591636300475E-2</v>
      </c>
      <c r="AE24">
        <f>'Export shares'!AE24*'Indirect NH3 demand sources'!AE$3</f>
        <v>5.0578024155316634E-2</v>
      </c>
      <c r="AF24">
        <f>'Export shares'!AF24*'Indirect NH3 demand sources'!AF$3</f>
        <v>5.5637393346267092E-2</v>
      </c>
      <c r="AG24">
        <f>'Export shares'!AG24*'Indirect NH3 demand sources'!AG$3</f>
        <v>6.8805726423107533E-2</v>
      </c>
      <c r="AH24">
        <f>'Export shares'!AH24*'Indirect NH3 demand sources'!AH$3</f>
        <v>8.1727310998954208E-2</v>
      </c>
      <c r="AI24">
        <f>'Export shares'!AI24*'Indirect NH3 demand sources'!AI$3</f>
        <v>9.4372570816885132E-2</v>
      </c>
      <c r="AJ24">
        <f>'Export shares'!AJ24*'Indirect NH3 demand sources'!AJ$3</f>
        <v>0.10669457202666453</v>
      </c>
      <c r="AK24">
        <f>'Export shares'!AK24*'Indirect NH3 demand sources'!AK$3</f>
        <v>0.11868005650118284</v>
      </c>
      <c r="AL24">
        <f>'Export shares'!AL24*'Indirect NH3 demand sources'!AL$3</f>
        <v>0.13026152088247742</v>
      </c>
      <c r="AM24">
        <f>'Export shares'!AM24*'Indirect NH3 demand sources'!AM$3</f>
        <v>0.14142788496000774</v>
      </c>
      <c r="AN24">
        <f>'Export shares'!AN24*'Indirect NH3 demand sources'!AN$3</f>
        <v>0.15215354582754287</v>
      </c>
      <c r="AO24">
        <f>'Export shares'!AO24*'Indirect NH3 demand sources'!AO$3</f>
        <v>0.1624234245648411</v>
      </c>
      <c r="AP24">
        <f>'Export shares'!AP24*'Indirect NH3 demand sources'!AP$3</f>
        <v>0.17221498019943646</v>
      </c>
    </row>
    <row r="25" spans="1:42" x14ac:dyDescent="0.3">
      <c r="A25" t="s">
        <v>24</v>
      </c>
      <c r="B25">
        <f>'Export shares'!B25*'Indirect NH3 demand sources'!B$3</f>
        <v>0</v>
      </c>
      <c r="C25">
        <f>'Export shares'!C25*'Indirect NH3 demand sources'!C$3</f>
        <v>0</v>
      </c>
      <c r="D25">
        <f>'Export shares'!D25*'Indirect NH3 demand sources'!D$3</f>
        <v>0</v>
      </c>
      <c r="E25">
        <f>'Export shares'!E25*'Indirect NH3 demand sources'!E$3</f>
        <v>0</v>
      </c>
      <c r="F25">
        <f>'Export shares'!F25*'Indirect NH3 demand sources'!F$3</f>
        <v>0</v>
      </c>
      <c r="G25">
        <f>'Export shares'!G25*'Indirect NH3 demand sources'!G$3</f>
        <v>0</v>
      </c>
      <c r="H25">
        <f>'Export shares'!H25*'Indirect NH3 demand sources'!H$3</f>
        <v>0</v>
      </c>
      <c r="I25">
        <f>'Export shares'!I25*'Indirect NH3 demand sources'!I$3</f>
        <v>0</v>
      </c>
      <c r="J25">
        <f>'Export shares'!J25*'Indirect NH3 demand sources'!J$3</f>
        <v>0</v>
      </c>
      <c r="K25">
        <f>'Export shares'!K25*'Indirect NH3 demand sources'!K$3</f>
        <v>0</v>
      </c>
      <c r="L25">
        <f>'Export shares'!L25*'Indirect NH3 demand sources'!L$3</f>
        <v>0</v>
      </c>
      <c r="M25">
        <f>'Export shares'!M25*'Indirect NH3 demand sources'!M$3</f>
        <v>0</v>
      </c>
      <c r="N25">
        <f>'Export shares'!N25*'Indirect NH3 demand sources'!N$3</f>
        <v>0</v>
      </c>
      <c r="O25">
        <f>'Export shares'!O25*'Indirect NH3 demand sources'!O$3</f>
        <v>0</v>
      </c>
      <c r="P25">
        <f>'Export shares'!P25*'Indirect NH3 demand sources'!P$3</f>
        <v>0</v>
      </c>
      <c r="Q25">
        <f>'Export shares'!Q25*'Indirect NH3 demand sources'!Q$3</f>
        <v>0</v>
      </c>
      <c r="R25">
        <f>'Export shares'!R25*'Indirect NH3 demand sources'!R$3</f>
        <v>3.0100642065912981E-3</v>
      </c>
      <c r="S25">
        <f>'Export shares'!S25*'Indirect NH3 demand sources'!S$3</f>
        <v>5.9793900021793038E-3</v>
      </c>
      <c r="T25">
        <f>'Export shares'!T25*'Indirect NH3 demand sources'!T$3</f>
        <v>8.8398868691133975E-3</v>
      </c>
      <c r="U25">
        <f>'Export shares'!U25*'Indirect NH3 demand sources'!U$3</f>
        <v>1.166981198697885E-2</v>
      </c>
      <c r="V25">
        <f>'Export shares'!V25*'Indirect NH3 demand sources'!V$3</f>
        <v>1.4644065158622779E-2</v>
      </c>
      <c r="W25">
        <f>'Export shares'!W25*'Indirect NH3 demand sources'!W$3</f>
        <v>3.8984581318744112E-2</v>
      </c>
      <c r="X25">
        <f>'Export shares'!X25*'Indirect NH3 demand sources'!X$3</f>
        <v>6.3234401764171E-2</v>
      </c>
      <c r="Y25">
        <f>'Export shares'!Y25*'Indirect NH3 demand sources'!Y$3</f>
        <v>8.7280153086239945E-2</v>
      </c>
      <c r="Z25">
        <f>'Export shares'!Z25*'Indirect NH3 demand sources'!Z$3</f>
        <v>0.11110811318907576</v>
      </c>
      <c r="AA25">
        <f>'Export shares'!AA25*'Indirect NH3 demand sources'!AA$3</f>
        <v>0.13459635488685912</v>
      </c>
      <c r="AB25">
        <f>'Export shares'!AB25*'Indirect NH3 demand sources'!AB$3</f>
        <v>0.15772198157213194</v>
      </c>
      <c r="AC25">
        <f>'Export shares'!AC25*'Indirect NH3 demand sources'!AC$3</f>
        <v>0.18043222740628242</v>
      </c>
      <c r="AD25">
        <f>'Export shares'!AD25*'Indirect NH3 demand sources'!AD$3</f>
        <v>0.20255702890183402</v>
      </c>
      <c r="AE25">
        <f>'Export shares'!AE25*'Indirect NH3 demand sources'!AE$3</f>
        <v>0.22401258541378438</v>
      </c>
      <c r="AF25">
        <f>'Export shares'!AF25*'Indirect NH3 demand sources'!AF$3</f>
        <v>0.24448122357422883</v>
      </c>
      <c r="AG25">
        <f>'Export shares'!AG25*'Indirect NH3 demand sources'!AG$3</f>
        <v>0.30015493968731854</v>
      </c>
      <c r="AH25">
        <f>'Export shares'!AH25*'Indirect NH3 demand sources'!AH$3</f>
        <v>0.35400453958683314</v>
      </c>
      <c r="AI25">
        <f>'Export shares'!AI25*'Indirect NH3 demand sources'!AI$3</f>
        <v>0.40604699167735347</v>
      </c>
      <c r="AJ25">
        <f>'Export shares'!AJ25*'Indirect NH3 demand sources'!AJ$3</f>
        <v>0.45628040109149842</v>
      </c>
      <c r="AK25">
        <f>'Export shares'!AK25*'Indirect NH3 demand sources'!AK$3</f>
        <v>0.50468865668284213</v>
      </c>
      <c r="AL25">
        <f>'Export shares'!AL25*'Indirect NH3 demand sources'!AL$3</f>
        <v>0.55126837097460302</v>
      </c>
      <c r="AM25">
        <f>'Export shares'!AM25*'Indirect NH3 demand sources'!AM$3</f>
        <v>0.59612074342390131</v>
      </c>
      <c r="AN25">
        <f>'Export shares'!AN25*'Indirect NH3 demand sources'!AN$3</f>
        <v>0.6393285424499523</v>
      </c>
      <c r="AO25">
        <f>'Export shares'!AO25*'Indirect NH3 demand sources'!AO$3</f>
        <v>0.68075510494177705</v>
      </c>
      <c r="AP25">
        <f>'Export shares'!AP25*'Indirect NH3 demand sources'!AP$3</f>
        <v>0.72040974833431937</v>
      </c>
    </row>
    <row r="26" spans="1:42" x14ac:dyDescent="0.3">
      <c r="A26" t="s">
        <v>25</v>
      </c>
      <c r="B26">
        <f>'Export shares'!B26*'Indirect NH3 demand sources'!B$3</f>
        <v>0</v>
      </c>
      <c r="C26">
        <f>'Export shares'!C26*'Indirect NH3 demand sources'!C$3</f>
        <v>0</v>
      </c>
      <c r="D26">
        <f>'Export shares'!D26*'Indirect NH3 demand sources'!D$3</f>
        <v>0</v>
      </c>
      <c r="E26">
        <f>'Export shares'!E26*'Indirect NH3 demand sources'!E$3</f>
        <v>0</v>
      </c>
      <c r="F26">
        <f>'Export shares'!F26*'Indirect NH3 demand sources'!F$3</f>
        <v>0</v>
      </c>
      <c r="G26">
        <f>'Export shares'!G26*'Indirect NH3 demand sources'!G$3</f>
        <v>0</v>
      </c>
      <c r="H26">
        <f>'Export shares'!H26*'Indirect NH3 demand sources'!H$3</f>
        <v>0</v>
      </c>
      <c r="I26">
        <f>'Export shares'!I26*'Indirect NH3 demand sources'!I$3</f>
        <v>0</v>
      </c>
      <c r="J26">
        <f>'Export shares'!J26*'Indirect NH3 demand sources'!J$3</f>
        <v>0</v>
      </c>
      <c r="K26">
        <f>'Export shares'!K26*'Indirect NH3 demand sources'!K$3</f>
        <v>0</v>
      </c>
      <c r="L26">
        <f>'Export shares'!L26*'Indirect NH3 demand sources'!L$3</f>
        <v>0</v>
      </c>
      <c r="M26">
        <f>'Export shares'!M26*'Indirect NH3 demand sources'!M$3</f>
        <v>0</v>
      </c>
      <c r="N26">
        <f>'Export shares'!N26*'Indirect NH3 demand sources'!N$3</f>
        <v>0</v>
      </c>
      <c r="O26">
        <f>'Export shares'!O26*'Indirect NH3 demand sources'!O$3</f>
        <v>0</v>
      </c>
      <c r="P26">
        <f>'Export shares'!P26*'Indirect NH3 demand sources'!P$3</f>
        <v>0</v>
      </c>
      <c r="Q26">
        <f>'Export shares'!Q26*'Indirect NH3 demand sources'!Q$3</f>
        <v>0</v>
      </c>
      <c r="R26">
        <f>'Export shares'!R26*'Indirect NH3 demand sources'!R$3</f>
        <v>3.9970858147543646E-4</v>
      </c>
      <c r="S26">
        <f>'Export shares'!S26*'Indirect NH3 demand sources'!S$3</f>
        <v>7.9718395666320419E-4</v>
      </c>
      <c r="T26">
        <f>'Export shares'!T26*'Indirect NH3 demand sources'!T$3</f>
        <v>1.181293399324623E-3</v>
      </c>
      <c r="U26">
        <f>'Export shares'!U26*'Indirect NH3 demand sources'!U$3</f>
        <v>1.5603133174824535E-3</v>
      </c>
      <c r="V26">
        <f>'Export shares'!V26*'Indirect NH3 demand sources'!V$3</f>
        <v>1.9564713033035819E-3</v>
      </c>
      <c r="W26">
        <f>'Export shares'!W26*'Indirect NH3 demand sources'!W$3</f>
        <v>5.1966077585176955E-3</v>
      </c>
      <c r="X26">
        <f>'Export shares'!X26*'Indirect NH3 demand sources'!X$3</f>
        <v>8.4121325182444969E-3</v>
      </c>
      <c r="Y26">
        <f>'Export shares'!Y26*'Indirect NH3 demand sources'!Y$3</f>
        <v>1.158999411975668E-2</v>
      </c>
      <c r="Z26">
        <f>'Export shares'!Z26*'Indirect NH3 demand sources'!Z$3</f>
        <v>1.4733125595905715E-2</v>
      </c>
      <c r="AA26">
        <f>'Export shares'!AA26*'Indirect NH3 demand sources'!AA$3</f>
        <v>1.7859931953246515E-2</v>
      </c>
      <c r="AB26">
        <f>'Export shares'!AB26*'Indirect NH3 demand sources'!AB$3</f>
        <v>2.0911109480609556E-2</v>
      </c>
      <c r="AC26">
        <f>'Export shares'!AC26*'Indirect NH3 demand sources'!AC$3</f>
        <v>2.3906621690537509E-2</v>
      </c>
      <c r="AD26">
        <f>'Export shares'!AD26*'Indirect NH3 demand sources'!AD$3</f>
        <v>2.6828715667418276E-2</v>
      </c>
      <c r="AE26">
        <f>'Export shares'!AE26*'Indirect NH3 demand sources'!AE$3</f>
        <v>2.9674804817815637E-2</v>
      </c>
      <c r="AF26">
        <f>'Export shares'!AF26*'Indirect NH3 demand sources'!AF$3</f>
        <v>3.2408663998267813E-2</v>
      </c>
      <c r="AG26">
        <f>'Export shares'!AG26*'Indirect NH3 demand sources'!AG$3</f>
        <v>3.9821774990678918E-2</v>
      </c>
      <c r="AH26">
        <f>'Export shares'!AH26*'Indirect NH3 demand sources'!AH$3</f>
        <v>4.7005305095116974E-2</v>
      </c>
      <c r="AI26">
        <f>'Export shares'!AI26*'Indirect NH3 demand sources'!AI$3</f>
        <v>5.3951254096679037E-2</v>
      </c>
      <c r="AJ26">
        <f>'Export shares'!AJ26*'Indirect NH3 demand sources'!AJ$3</f>
        <v>6.0645232299411593E-2</v>
      </c>
      <c r="AK26">
        <f>'Export shares'!AK26*'Indirect NH3 demand sources'!AK$3</f>
        <v>6.7080449187161648E-2</v>
      </c>
      <c r="AL26">
        <f>'Export shares'!AL26*'Indirect NH3 demand sources'!AL$3</f>
        <v>7.3291993027009603E-2</v>
      </c>
      <c r="AM26">
        <f>'Export shares'!AM26*'Indirect NH3 demand sources'!AM$3</f>
        <v>7.9267629813559559E-2</v>
      </c>
      <c r="AN26">
        <f>'Export shares'!AN26*'Indirect NH3 demand sources'!AN$3</f>
        <v>8.5017974673150962E-2</v>
      </c>
      <c r="AO26">
        <f>'Export shares'!AO26*'Indirect NH3 demand sources'!AO$3</f>
        <v>9.0569590317134921E-2</v>
      </c>
      <c r="AP26">
        <f>'Export shares'!AP26*'Indirect NH3 demand sources'!AP$3</f>
        <v>9.5917553576570905E-2</v>
      </c>
    </row>
    <row r="27" spans="1:42" x14ac:dyDescent="0.3">
      <c r="A27" t="s">
        <v>26</v>
      </c>
      <c r="B27">
        <f>'Export shares'!B27*'Indirect NH3 demand sources'!B$3</f>
        <v>0</v>
      </c>
      <c r="C27">
        <f>'Export shares'!C27*'Indirect NH3 demand sources'!C$3</f>
        <v>0</v>
      </c>
      <c r="D27">
        <f>'Export shares'!D27*'Indirect NH3 demand sources'!D$3</f>
        <v>0</v>
      </c>
      <c r="E27">
        <f>'Export shares'!E27*'Indirect NH3 demand sources'!E$3</f>
        <v>0</v>
      </c>
      <c r="F27">
        <f>'Export shares'!F27*'Indirect NH3 demand sources'!F$3</f>
        <v>0</v>
      </c>
      <c r="G27">
        <f>'Export shares'!G27*'Indirect NH3 demand sources'!G$3</f>
        <v>0</v>
      </c>
      <c r="H27">
        <f>'Export shares'!H27*'Indirect NH3 demand sources'!H$3</f>
        <v>0</v>
      </c>
      <c r="I27">
        <f>'Export shares'!I27*'Indirect NH3 demand sources'!I$3</f>
        <v>0</v>
      </c>
      <c r="J27">
        <f>'Export shares'!J27*'Indirect NH3 demand sources'!J$3</f>
        <v>0</v>
      </c>
      <c r="K27">
        <f>'Export shares'!K27*'Indirect NH3 demand sources'!K$3</f>
        <v>0</v>
      </c>
      <c r="L27">
        <f>'Export shares'!L27*'Indirect NH3 demand sources'!L$3</f>
        <v>0</v>
      </c>
      <c r="M27">
        <f>'Export shares'!M27*'Indirect NH3 demand sources'!M$3</f>
        <v>0</v>
      </c>
      <c r="N27">
        <f>'Export shares'!N27*'Indirect NH3 demand sources'!N$3</f>
        <v>0</v>
      </c>
      <c r="O27">
        <f>'Export shares'!O27*'Indirect NH3 demand sources'!O$3</f>
        <v>0</v>
      </c>
      <c r="P27">
        <f>'Export shares'!P27*'Indirect NH3 demand sources'!P$3</f>
        <v>0</v>
      </c>
      <c r="Q27">
        <f>'Export shares'!Q27*'Indirect NH3 demand sources'!Q$3</f>
        <v>0</v>
      </c>
      <c r="R27">
        <f>'Export shares'!R27*'Indirect NH3 demand sources'!R$3</f>
        <v>5.5400975626309962E-4</v>
      </c>
      <c r="S27">
        <f>'Export shares'!S27*'Indirect NH3 demand sources'!S$3</f>
        <v>1.0879619494619686E-3</v>
      </c>
      <c r="T27">
        <f>'Export shares'!T27*'Indirect NH3 demand sources'!T$3</f>
        <v>1.5916431867636692E-3</v>
      </c>
      <c r="U27">
        <f>'Export shares'!U27*'Indirect NH3 demand sources'!U$3</f>
        <v>2.0786733375725928E-3</v>
      </c>
      <c r="V27">
        <f>'Export shares'!V27*'Indirect NH3 demand sources'!V$3</f>
        <v>2.5817911215589382E-3</v>
      </c>
      <c r="W27">
        <f>'Export shares'!W27*'Indirect NH3 demand sources'!W$3</f>
        <v>6.801865837912072E-3</v>
      </c>
      <c r="X27">
        <f>'Export shares'!X27*'Indirect NH3 demand sources'!X$3</f>
        <v>1.0920884956759674E-2</v>
      </c>
      <c r="Y27">
        <f>'Export shares'!Y27*'Indirect NH3 demand sources'!Y$3</f>
        <v>1.4929978033737979E-2</v>
      </c>
      <c r="Z27">
        <f>'Export shares'!Z27*'Indirect NH3 demand sources'!Z$3</f>
        <v>1.8839224869996958E-2</v>
      </c>
      <c r="AA27">
        <f>'Export shares'!AA27*'Indirect NH3 demand sources'!AA$3</f>
        <v>2.2644044238830381E-2</v>
      </c>
      <c r="AB27">
        <f>'Export shares'!AB27*'Indirect NH3 demand sources'!AB$3</f>
        <v>2.6361024785659479E-2</v>
      </c>
      <c r="AC27">
        <f>'Export shares'!AC27*'Indirect NH3 demand sources'!AC$3</f>
        <v>2.9978178012081275E-2</v>
      </c>
      <c r="AD27">
        <f>'Export shares'!AD27*'Indirect NH3 demand sources'!AD$3</f>
        <v>3.3482654944948016E-2</v>
      </c>
      <c r="AE27">
        <f>'Export shares'!AE27*'Indirect NH3 demand sources'!AE$3</f>
        <v>3.6887407259042618E-2</v>
      </c>
      <c r="AF27">
        <f>'Export shares'!AF27*'Indirect NH3 demand sources'!AF$3</f>
        <v>4.0161554534751794E-2</v>
      </c>
      <c r="AG27">
        <f>'Export shares'!AG27*'Indirect NH3 demand sources'!AG$3</f>
        <v>4.9259945378550933E-2</v>
      </c>
      <c r="AH27">
        <f>'Export shares'!AH27*'Indirect NH3 demand sources'!AH$3</f>
        <v>5.8085399245973411E-2</v>
      </c>
      <c r="AI27">
        <f>'Export shares'!AI27*'Indirect NH3 demand sources'!AI$3</f>
        <v>6.6651618514782726E-2</v>
      </c>
      <c r="AJ27">
        <f>'Export shares'!AJ27*'Indirect NH3 demand sources'!AJ$3</f>
        <v>7.4983555746723773E-2</v>
      </c>
      <c r="AK27">
        <f>'Export shares'!AK27*'Indirect NH3 demand sources'!AK$3</f>
        <v>8.3064136644931244E-2</v>
      </c>
      <c r="AL27">
        <f>'Export shares'!AL27*'Indirect NH3 demand sources'!AL$3</f>
        <v>9.0918886245709193E-2</v>
      </c>
      <c r="AM27">
        <f>'Export shares'!AM27*'Indirect NH3 demand sources'!AM$3</f>
        <v>9.8499574126262993E-2</v>
      </c>
      <c r="AN27">
        <f>'Export shares'!AN27*'Indirect NH3 demand sources'!AN$3</f>
        <v>0.10585763524099605</v>
      </c>
      <c r="AO27">
        <f>'Export shares'!AO27*'Indirect NH3 demand sources'!AO$3</f>
        <v>0.11294636070591602</v>
      </c>
      <c r="AP27">
        <f>'Export shares'!AP27*'Indirect NH3 demand sources'!AP$3</f>
        <v>0.11979445892345417</v>
      </c>
    </row>
    <row r="28" spans="1:42" x14ac:dyDescent="0.3">
      <c r="A28" t="s">
        <v>27</v>
      </c>
      <c r="B28">
        <f>'Export shares'!B28*'Indirect NH3 demand sources'!B$3</f>
        <v>0</v>
      </c>
      <c r="C28">
        <f>'Export shares'!C28*'Indirect NH3 demand sources'!C$3</f>
        <v>0</v>
      </c>
      <c r="D28">
        <f>'Export shares'!D28*'Indirect NH3 demand sources'!D$3</f>
        <v>0</v>
      </c>
      <c r="E28">
        <f>'Export shares'!E28*'Indirect NH3 demand sources'!E$3</f>
        <v>0</v>
      </c>
      <c r="F28">
        <f>'Export shares'!F28*'Indirect NH3 demand sources'!F$3</f>
        <v>0</v>
      </c>
      <c r="G28">
        <f>'Export shares'!G28*'Indirect NH3 demand sources'!G$3</f>
        <v>0</v>
      </c>
      <c r="H28">
        <f>'Export shares'!H28*'Indirect NH3 demand sources'!H$3</f>
        <v>0</v>
      </c>
      <c r="I28">
        <f>'Export shares'!I28*'Indirect NH3 demand sources'!I$3</f>
        <v>0</v>
      </c>
      <c r="J28">
        <f>'Export shares'!J28*'Indirect NH3 demand sources'!J$3</f>
        <v>0</v>
      </c>
      <c r="K28">
        <f>'Export shares'!K28*'Indirect NH3 demand sources'!K$3</f>
        <v>0</v>
      </c>
      <c r="L28">
        <f>'Export shares'!L28*'Indirect NH3 demand sources'!L$3</f>
        <v>0</v>
      </c>
      <c r="M28">
        <f>'Export shares'!M28*'Indirect NH3 demand sources'!M$3</f>
        <v>0</v>
      </c>
      <c r="N28">
        <f>'Export shares'!N28*'Indirect NH3 demand sources'!N$3</f>
        <v>0</v>
      </c>
      <c r="O28">
        <f>'Export shares'!O28*'Indirect NH3 demand sources'!O$3</f>
        <v>0</v>
      </c>
      <c r="P28">
        <f>'Export shares'!P28*'Indirect NH3 demand sources'!P$3</f>
        <v>0</v>
      </c>
      <c r="Q28">
        <f>'Export shares'!Q28*'Indirect NH3 demand sources'!Q$3</f>
        <v>0</v>
      </c>
      <c r="R28">
        <f>'Export shares'!R28*'Indirect NH3 demand sources'!R$3</f>
        <v>7.0884350136892252E-4</v>
      </c>
      <c r="S28">
        <f>'Export shares'!S28*'Indirect NH3 demand sources'!S$3</f>
        <v>1.4059331071745245E-3</v>
      </c>
      <c r="T28">
        <f>'Export shares'!T28*'Indirect NH3 demand sources'!T$3</f>
        <v>2.0716458480131567E-3</v>
      </c>
      <c r="U28">
        <f>'Export shares'!U28*'Indirect NH3 demand sources'!U$3</f>
        <v>2.7217628698971599E-3</v>
      </c>
      <c r="V28">
        <f>'Export shares'!V28*'Indirect NH3 demand sources'!V$3</f>
        <v>3.394664403060551E-3</v>
      </c>
      <c r="W28">
        <f>'Export shares'!W28*'Indirect NH3 demand sources'!W$3</f>
        <v>8.9694196953588323E-3</v>
      </c>
      <c r="X28">
        <f>'Export shares'!X28*'Indirect NH3 demand sources'!X$3</f>
        <v>1.4441817052099829E-2</v>
      </c>
      <c r="Y28">
        <f>'Export shares'!Y28*'Indirect NH3 demand sources'!Y$3</f>
        <v>1.9802195175133073E-2</v>
      </c>
      <c r="Z28">
        <f>'Export shares'!Z28*'Indirect NH3 demand sources'!Z$3</f>
        <v>2.50511737544655E-2</v>
      </c>
      <c r="AA28">
        <f>'Export shares'!AA28*'Indirect NH3 demand sources'!AA$3</f>
        <v>3.0192122309165081E-2</v>
      </c>
      <c r="AB28">
        <f>'Export shares'!AB28*'Indirect NH3 demand sources'!AB$3</f>
        <v>3.5223862838404868E-2</v>
      </c>
      <c r="AC28">
        <f>'Export shares'!AC28*'Indirect NH3 demand sources'!AC$3</f>
        <v>4.0148597444455959E-2</v>
      </c>
      <c r="AD28">
        <f>'Export shares'!AD28*'Indirect NH3 demand sources'!AD$3</f>
        <v>4.4932990839832695E-2</v>
      </c>
      <c r="AE28">
        <f>'Export shares'!AE28*'Indirect NH3 demand sources'!AE$3</f>
        <v>4.956406748211125E-2</v>
      </c>
      <c r="AF28">
        <f>'Export shares'!AF28*'Indirect NH3 demand sources'!AF$3</f>
        <v>5.404606934527751E-2</v>
      </c>
      <c r="AG28">
        <f>'Export shares'!AG28*'Indirect NH3 demand sources'!AG$3</f>
        <v>6.6332245354410735E-2</v>
      </c>
      <c r="AH28">
        <f>'Export shares'!AH28*'Indirect NH3 demand sources'!AH$3</f>
        <v>7.8258361628944298E-2</v>
      </c>
      <c r="AI28">
        <f>'Export shares'!AI28*'Indirect NH3 demand sources'!AI$3</f>
        <v>8.9842345944753779E-2</v>
      </c>
      <c r="AJ28">
        <f>'Export shares'!AJ28*'Indirect NH3 demand sources'!AJ$3</f>
        <v>0.10109471828665298</v>
      </c>
      <c r="AK28">
        <f>'Export shares'!AK28*'Indirect NH3 demand sources'!AK$3</f>
        <v>0.11202200615852263</v>
      </c>
      <c r="AL28">
        <f>'Export shares'!AL28*'Indirect NH3 demand sources'!AL$3</f>
        <v>0.12260375798228774</v>
      </c>
      <c r="AM28">
        <f>'Export shares'!AM28*'Indirect NH3 demand sources'!AM$3</f>
        <v>0.13285212641707714</v>
      </c>
      <c r="AN28">
        <f>'Export shares'!AN28*'Indirect NH3 demand sources'!AN$3</f>
        <v>0.14274606643284543</v>
      </c>
      <c r="AO28">
        <f>'Export shares'!AO28*'Indirect NH3 demand sources'!AO$3</f>
        <v>0.15225801488334523</v>
      </c>
      <c r="AP28">
        <f>'Export shares'!AP28*'Indirect NH3 demand sources'!AP$3</f>
        <v>0.1613615389257943</v>
      </c>
    </row>
    <row r="29" spans="1:42" x14ac:dyDescent="0.3">
      <c r="A29" t="s">
        <v>28</v>
      </c>
      <c r="B29">
        <f>'Export shares'!B29*'Indirect NH3 demand sources'!B$3</f>
        <v>0</v>
      </c>
      <c r="C29">
        <f>'Export shares'!C29*'Indirect NH3 demand sources'!C$3</f>
        <v>0</v>
      </c>
      <c r="D29">
        <f>'Export shares'!D29*'Indirect NH3 demand sources'!D$3</f>
        <v>0</v>
      </c>
      <c r="E29">
        <f>'Export shares'!E29*'Indirect NH3 demand sources'!E$3</f>
        <v>0</v>
      </c>
      <c r="F29">
        <f>'Export shares'!F29*'Indirect NH3 demand sources'!F$3</f>
        <v>0</v>
      </c>
      <c r="G29">
        <f>'Export shares'!G29*'Indirect NH3 demand sources'!G$3</f>
        <v>0</v>
      </c>
      <c r="H29">
        <f>'Export shares'!H29*'Indirect NH3 demand sources'!H$3</f>
        <v>0</v>
      </c>
      <c r="I29">
        <f>'Export shares'!I29*'Indirect NH3 demand sources'!I$3</f>
        <v>0</v>
      </c>
      <c r="J29">
        <f>'Export shares'!J29*'Indirect NH3 demand sources'!J$3</f>
        <v>0</v>
      </c>
      <c r="K29">
        <f>'Export shares'!K29*'Indirect NH3 demand sources'!K$3</f>
        <v>0</v>
      </c>
      <c r="L29">
        <f>'Export shares'!L29*'Indirect NH3 demand sources'!L$3</f>
        <v>0</v>
      </c>
      <c r="M29">
        <f>'Export shares'!M29*'Indirect NH3 demand sources'!M$3</f>
        <v>0</v>
      </c>
      <c r="N29">
        <f>'Export shares'!N29*'Indirect NH3 demand sources'!N$3</f>
        <v>0</v>
      </c>
      <c r="O29">
        <f>'Export shares'!O29*'Indirect NH3 demand sources'!O$3</f>
        <v>0</v>
      </c>
      <c r="P29">
        <f>'Export shares'!P29*'Indirect NH3 demand sources'!P$3</f>
        <v>0</v>
      </c>
      <c r="Q29">
        <f>'Export shares'!Q29*'Indirect NH3 demand sources'!Q$3</f>
        <v>0</v>
      </c>
      <c r="R29">
        <f>'Export shares'!R29*'Indirect NH3 demand sources'!R$3</f>
        <v>9.9151932108880697E-4</v>
      </c>
      <c r="S29">
        <f>'Export shares'!S29*'Indirect NH3 demand sources'!S$3</f>
        <v>1.9747335394029474E-3</v>
      </c>
      <c r="T29">
        <f>'Export shares'!T29*'Indirect NH3 demand sources'!T$3</f>
        <v>2.926133488574486E-3</v>
      </c>
      <c r="U29">
        <f>'Export shares'!U29*'Indirect NH3 demand sources'!U$3</f>
        <v>3.868260860140204E-3</v>
      </c>
      <c r="V29">
        <f>'Export shares'!V29*'Indirect NH3 demand sources'!V$3</f>
        <v>4.8567789489234701E-3</v>
      </c>
      <c r="W29">
        <f>'Export shares'!W29*'Indirect NH3 demand sources'!W$3</f>
        <v>1.2920872491356239E-2</v>
      </c>
      <c r="X29">
        <f>'Export shares'!X29*'Indirect NH3 demand sources'!X$3</f>
        <v>2.0948178223585967E-2</v>
      </c>
      <c r="Y29">
        <f>'Export shares'!Y29*'Indirect NH3 demand sources'!Y$3</f>
        <v>2.8896139378393124E-2</v>
      </c>
      <c r="Z29">
        <f>'Export shares'!Z29*'Indirect NH3 demand sources'!Z$3</f>
        <v>3.67434469115673E-2</v>
      </c>
      <c r="AA29">
        <f>'Export shares'!AA29*'Indirect NH3 demand sources'!AA$3</f>
        <v>4.4465213664562582E-2</v>
      </c>
      <c r="AB29">
        <f>'Export shares'!AB29*'Indirect NH3 demand sources'!AB$3</f>
        <v>5.2042633895721495E-2</v>
      </c>
      <c r="AC29">
        <f>'Export shares'!AC29*'Indirect NH3 demand sources'!AC$3</f>
        <v>5.9439046301981296E-2</v>
      </c>
      <c r="AD29">
        <f>'Export shares'!AD29*'Indirect NH3 demand sources'!AD$3</f>
        <v>6.6603083216555697E-2</v>
      </c>
      <c r="AE29">
        <f>'Export shares'!AE29*'Indirect NH3 demand sources'!AE$3</f>
        <v>7.3535587177717451E-2</v>
      </c>
      <c r="AF29">
        <f>'Export shares'!AF29*'Indirect NH3 demand sources'!AF$3</f>
        <v>8.0159551202133653E-2</v>
      </c>
      <c r="AG29">
        <f>'Export shares'!AG29*'Indirect NH3 demand sources'!AG$3</f>
        <v>9.8366075479779588E-2</v>
      </c>
      <c r="AH29">
        <f>'Export shares'!AH29*'Indirect NH3 demand sources'!AH$3</f>
        <v>0.11608310407216021</v>
      </c>
      <c r="AI29">
        <f>'Export shares'!AI29*'Indirect NH3 demand sources'!AI$3</f>
        <v>0.13337763328762339</v>
      </c>
      <c r="AJ29">
        <f>'Export shares'!AJ29*'Indirect NH3 demand sources'!AJ$3</f>
        <v>0.15024097056469368</v>
      </c>
      <c r="AK29">
        <f>'Export shares'!AK29*'Indirect NH3 demand sources'!AK$3</f>
        <v>0.16666474536221135</v>
      </c>
      <c r="AL29">
        <f>'Export shares'!AL29*'Indirect NH3 demand sources'!AL$3</f>
        <v>0.18266322324612635</v>
      </c>
      <c r="AM29">
        <f>'Export shares'!AM29*'Indirect NH3 demand sources'!AM$3</f>
        <v>0.19824466811963354</v>
      </c>
      <c r="AN29">
        <f>'Export shares'!AN29*'Indirect NH3 demand sources'!AN$3</f>
        <v>0.21342231745500645</v>
      </c>
      <c r="AO29">
        <f>'Export shares'!AO29*'Indirect NH3 demand sources'!AO$3</f>
        <v>0.22811238852390248</v>
      </c>
      <c r="AP29">
        <f>'Export shares'!AP29*'Indirect NH3 demand sources'!AP$3</f>
        <v>0.24235677780992018</v>
      </c>
    </row>
    <row r="30" spans="1:42" x14ac:dyDescent="0.3">
      <c r="A30" t="s">
        <v>29</v>
      </c>
      <c r="B30">
        <f>'Export shares'!B30*'Indirect NH3 demand sources'!B$3</f>
        <v>0</v>
      </c>
      <c r="C30">
        <f>'Export shares'!C30*'Indirect NH3 demand sources'!C$3</f>
        <v>0</v>
      </c>
      <c r="D30">
        <f>'Export shares'!D30*'Indirect NH3 demand sources'!D$3</f>
        <v>0</v>
      </c>
      <c r="E30">
        <f>'Export shares'!E30*'Indirect NH3 demand sources'!E$3</f>
        <v>0</v>
      </c>
      <c r="F30">
        <f>'Export shares'!F30*'Indirect NH3 demand sources'!F$3</f>
        <v>0</v>
      </c>
      <c r="G30">
        <f>'Export shares'!G30*'Indirect NH3 demand sources'!G$3</f>
        <v>0</v>
      </c>
      <c r="H30">
        <f>'Export shares'!H30*'Indirect NH3 demand sources'!H$3</f>
        <v>0</v>
      </c>
      <c r="I30">
        <f>'Export shares'!I30*'Indirect NH3 demand sources'!I$3</f>
        <v>0</v>
      </c>
      <c r="J30">
        <f>'Export shares'!J30*'Indirect NH3 demand sources'!J$3</f>
        <v>0</v>
      </c>
      <c r="K30">
        <f>'Export shares'!K30*'Indirect NH3 demand sources'!K$3</f>
        <v>0</v>
      </c>
      <c r="L30">
        <f>'Export shares'!L30*'Indirect NH3 demand sources'!L$3</f>
        <v>0</v>
      </c>
      <c r="M30">
        <f>'Export shares'!M30*'Indirect NH3 demand sources'!M$3</f>
        <v>0</v>
      </c>
      <c r="N30">
        <f>'Export shares'!N30*'Indirect NH3 demand sources'!N$3</f>
        <v>0</v>
      </c>
      <c r="O30">
        <f>'Export shares'!O30*'Indirect NH3 demand sources'!O$3</f>
        <v>0</v>
      </c>
      <c r="P30">
        <f>'Export shares'!P30*'Indirect NH3 demand sources'!P$3</f>
        <v>0</v>
      </c>
      <c r="Q30">
        <f>'Export shares'!Q30*'Indirect NH3 demand sources'!Q$3</f>
        <v>0</v>
      </c>
      <c r="R30">
        <f>'Export shares'!R30*'Indirect NH3 demand sources'!R$3</f>
        <v>5.7411117433921091E-4</v>
      </c>
      <c r="S30">
        <f>'Export shares'!S30*'Indirect NH3 demand sources'!S$3</f>
        <v>1.1340506752744936E-3</v>
      </c>
      <c r="T30">
        <f>'Export shares'!T30*'Indirect NH3 demand sources'!T$3</f>
        <v>1.6793733864466697E-3</v>
      </c>
      <c r="U30">
        <f>'Export shares'!U30*'Indirect NH3 demand sources'!U$3</f>
        <v>2.2130192207944995E-3</v>
      </c>
      <c r="V30">
        <f>'Export shares'!V30*'Indirect NH3 demand sources'!V$3</f>
        <v>2.7523812703677463E-3</v>
      </c>
      <c r="W30">
        <f>'Export shares'!W30*'Indirect NH3 demand sources'!W$3</f>
        <v>7.2778994154821582E-3</v>
      </c>
      <c r="X30">
        <f>'Export shares'!X30*'Indirect NH3 demand sources'!X$3</f>
        <v>1.172885441913475E-2</v>
      </c>
      <c r="Y30">
        <f>'Export shares'!Y30*'Indirect NH3 demand sources'!Y$3</f>
        <v>1.6103019429973473E-2</v>
      </c>
      <c r="Z30">
        <f>'Export shares'!Z30*'Indirect NH3 demand sources'!Z$3</f>
        <v>2.0393983565396012E-2</v>
      </c>
      <c r="AA30">
        <f>'Export shares'!AA30*'Indirect NH3 demand sources'!AA$3</f>
        <v>2.4671260486345457E-2</v>
      </c>
      <c r="AB30">
        <f>'Export shares'!AB30*'Indirect NH3 demand sources'!AB$3</f>
        <v>2.8851447260971858E-2</v>
      </c>
      <c r="AC30">
        <f>'Export shares'!AC30*'Indirect NH3 demand sources'!AC$3</f>
        <v>3.295376005552212E-2</v>
      </c>
      <c r="AD30">
        <f>'Export shares'!AD30*'Indirect NH3 demand sources'!AD$3</f>
        <v>3.6980960406626684E-2</v>
      </c>
      <c r="AE30">
        <f>'Export shares'!AE30*'Indirect NH3 demand sources'!AE$3</f>
        <v>4.0920746787817902E-2</v>
      </c>
      <c r="AF30">
        <f>'Export shares'!AF30*'Indirect NH3 demand sources'!AF$3</f>
        <v>4.4803526871537845E-2</v>
      </c>
      <c r="AG30">
        <f>'Export shares'!AG30*'Indirect NH3 demand sources'!AG$3</f>
        <v>5.5236752246071129E-2</v>
      </c>
      <c r="AH30">
        <f>'Export shares'!AH30*'Indirect NH3 demand sources'!AH$3</f>
        <v>6.5484201950431989E-2</v>
      </c>
      <c r="AI30">
        <f>'Export shares'!AI30*'Indirect NH3 demand sources'!AI$3</f>
        <v>7.5547747282794522E-2</v>
      </c>
      <c r="AJ30">
        <f>'Export shares'!AJ30*'Indirect NH3 demand sources'!AJ$3</f>
        <v>8.5420890780628464E-2</v>
      </c>
      <c r="AK30">
        <f>'Export shares'!AK30*'Indirect NH3 demand sources'!AK$3</f>
        <v>9.5117030389070656E-2</v>
      </c>
      <c r="AL30">
        <f>'Export shares'!AL30*'Indirect NH3 demand sources'!AL$3</f>
        <v>0.10463903256592401</v>
      </c>
      <c r="AM30">
        <f>'Export shares'!AM30*'Indirect NH3 demand sources'!AM$3</f>
        <v>0.1139953616920832</v>
      </c>
      <c r="AN30">
        <f>'Export shares'!AN30*'Indirect NH3 demand sources'!AN$3</f>
        <v>0.12317183063380684</v>
      </c>
      <c r="AO30">
        <f>'Export shares'!AO30*'Indirect NH3 demand sources'!AO$3</f>
        <v>0.13218467115110599</v>
      </c>
      <c r="AP30">
        <f>'Export shares'!AP30*'Indirect NH3 demand sources'!AP$3</f>
        <v>0.14091641457650872</v>
      </c>
    </row>
    <row r="31" spans="1:42" x14ac:dyDescent="0.3">
      <c r="A31" t="s">
        <v>30</v>
      </c>
      <c r="B31">
        <f>'Export shares'!B31*'Indirect NH3 demand sources'!B$3</f>
        <v>0</v>
      </c>
      <c r="C31">
        <f>'Export shares'!C31*'Indirect NH3 demand sources'!C$3</f>
        <v>0</v>
      </c>
      <c r="D31">
        <f>'Export shares'!D31*'Indirect NH3 demand sources'!D$3</f>
        <v>0</v>
      </c>
      <c r="E31">
        <f>'Export shares'!E31*'Indirect NH3 demand sources'!E$3</f>
        <v>0</v>
      </c>
      <c r="F31">
        <f>'Export shares'!F31*'Indirect NH3 demand sources'!F$3</f>
        <v>0</v>
      </c>
      <c r="G31">
        <f>'Export shares'!G31*'Indirect NH3 demand sources'!G$3</f>
        <v>0</v>
      </c>
      <c r="H31">
        <f>'Export shares'!H31*'Indirect NH3 demand sources'!H$3</f>
        <v>0</v>
      </c>
      <c r="I31">
        <f>'Export shares'!I31*'Indirect NH3 demand sources'!I$3</f>
        <v>0</v>
      </c>
      <c r="J31">
        <f>'Export shares'!J31*'Indirect NH3 demand sources'!J$3</f>
        <v>0</v>
      </c>
      <c r="K31">
        <f>'Export shares'!K31*'Indirect NH3 demand sources'!K$3</f>
        <v>0</v>
      </c>
      <c r="L31">
        <f>'Export shares'!L31*'Indirect NH3 demand sources'!L$3</f>
        <v>0</v>
      </c>
      <c r="M31">
        <f>'Export shares'!M31*'Indirect NH3 demand sources'!M$3</f>
        <v>0</v>
      </c>
      <c r="N31">
        <f>'Export shares'!N31*'Indirect NH3 demand sources'!N$3</f>
        <v>0</v>
      </c>
      <c r="O31">
        <f>'Export shares'!O31*'Indirect NH3 demand sources'!O$3</f>
        <v>0</v>
      </c>
      <c r="P31">
        <f>'Export shares'!P31*'Indirect NH3 demand sources'!P$3</f>
        <v>0</v>
      </c>
      <c r="Q31">
        <f>'Export shares'!Q31*'Indirect NH3 demand sources'!Q$3</f>
        <v>0</v>
      </c>
      <c r="R31">
        <f>'Export shares'!R31*'Indirect NH3 demand sources'!R$3</f>
        <v>1.0765886382801666E-2</v>
      </c>
      <c r="S31">
        <f>'Export shares'!S31*'Indirect NH3 demand sources'!S$3</f>
        <v>2.1077015735583987E-2</v>
      </c>
      <c r="T31">
        <f>'Export shares'!T31*'Indirect NH3 demand sources'!T$3</f>
        <v>3.1551294965197527E-2</v>
      </c>
      <c r="U31">
        <f>'Export shares'!U31*'Indirect NH3 demand sources'!U$3</f>
        <v>4.1695132048534367E-2</v>
      </c>
      <c r="V31">
        <f>'Export shares'!V31*'Indirect NH3 demand sources'!V$3</f>
        <v>5.20069730448686E-2</v>
      </c>
      <c r="W31">
        <f>'Export shares'!W31*'Indirect NH3 demand sources'!W$3</f>
        <v>0.13793013278340513</v>
      </c>
      <c r="X31">
        <f>'Export shares'!X31*'Indirect NH3 demand sources'!X$3</f>
        <v>0.22293209592306604</v>
      </c>
      <c r="Y31">
        <f>'Export shares'!Y31*'Indirect NH3 demand sources'!Y$3</f>
        <v>0.30695677663791276</v>
      </c>
      <c r="Z31">
        <f>'Export shares'!Z31*'Indirect NH3 demand sources'!Z$3</f>
        <v>0.38989575392948633</v>
      </c>
      <c r="AA31">
        <f>'Export shares'!AA31*'Indirect NH3 demand sources'!AA$3</f>
        <v>0.47180932235376927</v>
      </c>
      <c r="AB31">
        <f>'Export shares'!AB31*'Indirect NH3 demand sources'!AB$3</f>
        <v>0.55265122131673172</v>
      </c>
      <c r="AC31">
        <f>'Export shares'!AC31*'Indirect NH3 demand sources'!AC$3</f>
        <v>0.63228464524226657</v>
      </c>
      <c r="AD31">
        <f>'Export shares'!AD31*'Indirect NH3 demand sources'!AD$3</f>
        <v>0.71072145954841637</v>
      </c>
      <c r="AE31">
        <f>'Export shares'!AE31*'Indirect NH3 demand sources'!AE$3</f>
        <v>0.78777262443366836</v>
      </c>
      <c r="AF31">
        <f>'Export shares'!AF31*'Indirect NH3 demand sources'!AF$3</f>
        <v>0.86374198163205596</v>
      </c>
      <c r="AG31">
        <f>'Export shares'!AG31*'Indirect NH3 demand sources'!AG$3</f>
        <v>1.0665095945165979</v>
      </c>
      <c r="AH31">
        <f>'Export shares'!AH31*'Indirect NH3 demand sources'!AH$3</f>
        <v>1.2663560318641531</v>
      </c>
      <c r="AI31">
        <f>'Export shares'!AI31*'Indirect NH3 demand sources'!AI$3</f>
        <v>1.4631974909567822</v>
      </c>
      <c r="AJ31">
        <f>'Export shares'!AJ31*'Indirect NH3 demand sources'!AJ$3</f>
        <v>1.6569176284433145</v>
      </c>
      <c r="AK31">
        <f>'Export shares'!AK31*'Indirect NH3 demand sources'!AK$3</f>
        <v>1.8477829597248854</v>
      </c>
      <c r="AL31">
        <f>'Export shares'!AL31*'Indirect NH3 demand sources'!AL$3</f>
        <v>2.0357192174684835</v>
      </c>
      <c r="AM31">
        <f>'Export shares'!AM31*'Indirect NH3 demand sources'!AM$3</f>
        <v>2.2207547073237159</v>
      </c>
      <c r="AN31">
        <f>'Export shares'!AN31*'Indirect NH3 demand sources'!AN$3</f>
        <v>2.4028648134916666</v>
      </c>
      <c r="AO31">
        <f>'Export shares'!AO31*'Indirect NH3 demand sources'!AO$3</f>
        <v>2.5821847957357953</v>
      </c>
      <c r="AP31">
        <f>'Export shares'!AP31*'Indirect NH3 demand sources'!AP$3</f>
        <v>2.7586200337390401</v>
      </c>
    </row>
    <row r="32" spans="1:42" x14ac:dyDescent="0.3">
      <c r="A32" t="s">
        <v>31</v>
      </c>
      <c r="B32">
        <f>'Export shares'!B32*'Indirect NH3 demand sources'!B$3</f>
        <v>0</v>
      </c>
      <c r="C32">
        <f>'Export shares'!C32*'Indirect NH3 demand sources'!C$3</f>
        <v>0</v>
      </c>
      <c r="D32">
        <f>'Export shares'!D32*'Indirect NH3 demand sources'!D$3</f>
        <v>0</v>
      </c>
      <c r="E32">
        <f>'Export shares'!E32*'Indirect NH3 demand sources'!E$3</f>
        <v>0</v>
      </c>
      <c r="F32">
        <f>'Export shares'!F32*'Indirect NH3 demand sources'!F$3</f>
        <v>0</v>
      </c>
      <c r="G32">
        <f>'Export shares'!G32*'Indirect NH3 demand sources'!G$3</f>
        <v>0</v>
      </c>
      <c r="H32">
        <f>'Export shares'!H32*'Indirect NH3 demand sources'!H$3</f>
        <v>0</v>
      </c>
      <c r="I32">
        <f>'Export shares'!I32*'Indirect NH3 demand sources'!I$3</f>
        <v>0</v>
      </c>
      <c r="J32">
        <f>'Export shares'!J32*'Indirect NH3 demand sources'!J$3</f>
        <v>0</v>
      </c>
      <c r="K32">
        <f>'Export shares'!K32*'Indirect NH3 demand sources'!K$3</f>
        <v>0</v>
      </c>
      <c r="L32">
        <f>'Export shares'!L32*'Indirect NH3 demand sources'!L$3</f>
        <v>0</v>
      </c>
      <c r="M32">
        <f>'Export shares'!M32*'Indirect NH3 demand sources'!M$3</f>
        <v>0</v>
      </c>
      <c r="N32">
        <f>'Export shares'!N32*'Indirect NH3 demand sources'!N$3</f>
        <v>0</v>
      </c>
      <c r="O32">
        <f>'Export shares'!O32*'Indirect NH3 demand sources'!O$3</f>
        <v>0</v>
      </c>
      <c r="P32">
        <f>'Export shares'!P32*'Indirect NH3 demand sources'!P$3</f>
        <v>0</v>
      </c>
      <c r="Q32">
        <f>'Export shares'!Q32*'Indirect NH3 demand sources'!Q$3</f>
        <v>0</v>
      </c>
      <c r="R32">
        <f>'Export shares'!R32*'Indirect NH3 demand sources'!R$3</f>
        <v>4.1849635753198958E-5</v>
      </c>
      <c r="S32">
        <f>'Export shares'!S32*'Indirect NH3 demand sources'!S$3</f>
        <v>8.3207471769194638E-5</v>
      </c>
      <c r="T32">
        <f>'Export shares'!T32*'Indirect NH3 demand sources'!T$3</f>
        <v>1.2335028960044919E-4</v>
      </c>
      <c r="U32">
        <f>'Export shares'!U32*'Indirect NH3 demand sources'!U$3</f>
        <v>1.6301836941804698E-4</v>
      </c>
      <c r="V32">
        <f>'Export shares'!V32*'Indirect NH3 demand sources'!V$3</f>
        <v>2.0334123013620149E-4</v>
      </c>
      <c r="W32">
        <f>'Export shares'!W32*'Indirect NH3 demand sources'!W$3</f>
        <v>5.3930159746429663E-4</v>
      </c>
      <c r="X32">
        <f>'Export shares'!X32*'Indirect NH3 demand sources'!X$3</f>
        <v>8.7169356978320357E-4</v>
      </c>
      <c r="Y32">
        <f>'Export shares'!Y32*'Indirect NH3 demand sources'!Y$3</f>
        <v>1.2002197569400839E-3</v>
      </c>
      <c r="Z32">
        <f>'Export shares'!Z32*'Indirect NH3 demand sources'!Z$3</f>
        <v>1.5246897753119625E-3</v>
      </c>
      <c r="AA32">
        <f>'Export shares'!AA32*'Indirect NH3 demand sources'!AA$3</f>
        <v>1.8449569678322792E-3</v>
      </c>
      <c r="AB32">
        <f>'Export shares'!AB32*'Indirect NH3 demand sources'!AB$3</f>
        <v>2.1608905373596749E-3</v>
      </c>
      <c r="AC32">
        <f>'Export shares'!AC32*'Indirect NH3 demand sources'!AC$3</f>
        <v>2.4720339655275353E-3</v>
      </c>
      <c r="AD32">
        <f>'Export shares'!AD32*'Indirect NH3 demand sources'!AD$3</f>
        <v>2.7786024103524315E-3</v>
      </c>
      <c r="AE32">
        <f>'Export shares'!AE32*'Indirect NH3 demand sources'!AE$3</f>
        <v>3.079712468359125E-3</v>
      </c>
      <c r="AF32">
        <f>'Export shares'!AF32*'Indirect NH3 demand sources'!AF$3</f>
        <v>3.3778158977138865E-3</v>
      </c>
      <c r="AG32">
        <f>'Export shares'!AG32*'Indirect NH3 demand sources'!AG$3</f>
        <v>4.1696991464181508E-3</v>
      </c>
      <c r="AH32">
        <f>'Export shares'!AH32*'Indirect NH3 demand sources'!AH$3</f>
        <v>4.9504436084686484E-3</v>
      </c>
      <c r="AI32">
        <f>'Export shares'!AI32*'Indirect NH3 demand sources'!AI$3</f>
        <v>5.7201199561182229E-3</v>
      </c>
      <c r="AJ32">
        <f>'Export shares'!AJ32*'Indirect NH3 demand sources'!AJ$3</f>
        <v>6.4772786811116848E-3</v>
      </c>
      <c r="AK32">
        <f>'Export shares'!AK32*'Indirect NH3 demand sources'!AK$3</f>
        <v>7.2231634226366213E-3</v>
      </c>
      <c r="AL32">
        <f>'Export shares'!AL32*'Indirect NH3 demand sources'!AL$3</f>
        <v>7.9579903421908744E-3</v>
      </c>
      <c r="AM32">
        <f>'Export shares'!AM32*'Indirect NH3 demand sources'!AM$3</f>
        <v>8.6816040906745121E-3</v>
      </c>
      <c r="AN32">
        <f>'Export shares'!AN32*'Indirect NH3 demand sources'!AN$3</f>
        <v>9.3934166059756671E-3</v>
      </c>
      <c r="AO32">
        <f>'Export shares'!AO32*'Indirect NH3 demand sources'!AO$3</f>
        <v>1.0094280730716915E-2</v>
      </c>
      <c r="AP32">
        <f>'Export shares'!AP32*'Indirect NH3 demand sources'!AP$3</f>
        <v>1.0783901892975661E-2</v>
      </c>
    </row>
    <row r="33" spans="1:42" x14ac:dyDescent="0.3">
      <c r="A33" t="s">
        <v>32</v>
      </c>
      <c r="B33">
        <f>'Export shares'!B33*'Indirect NH3 demand sources'!B$3</f>
        <v>0</v>
      </c>
      <c r="C33">
        <f>'Export shares'!C33*'Indirect NH3 demand sources'!C$3</f>
        <v>0</v>
      </c>
      <c r="D33">
        <f>'Export shares'!D33*'Indirect NH3 demand sources'!D$3</f>
        <v>0</v>
      </c>
      <c r="E33">
        <f>'Export shares'!E33*'Indirect NH3 demand sources'!E$3</f>
        <v>0</v>
      </c>
      <c r="F33">
        <f>'Export shares'!F33*'Indirect NH3 demand sources'!F$3</f>
        <v>0</v>
      </c>
      <c r="G33">
        <f>'Export shares'!G33*'Indirect NH3 demand sources'!G$3</f>
        <v>0</v>
      </c>
      <c r="H33">
        <f>'Export shares'!H33*'Indirect NH3 demand sources'!H$3</f>
        <v>0</v>
      </c>
      <c r="I33">
        <f>'Export shares'!I33*'Indirect NH3 demand sources'!I$3</f>
        <v>0</v>
      </c>
      <c r="J33">
        <f>'Export shares'!J33*'Indirect NH3 demand sources'!J$3</f>
        <v>0</v>
      </c>
      <c r="K33">
        <f>'Export shares'!K33*'Indirect NH3 demand sources'!K$3</f>
        <v>0</v>
      </c>
      <c r="L33">
        <f>'Export shares'!L33*'Indirect NH3 demand sources'!L$3</f>
        <v>0</v>
      </c>
      <c r="M33">
        <f>'Export shares'!M33*'Indirect NH3 demand sources'!M$3</f>
        <v>0</v>
      </c>
      <c r="N33">
        <f>'Export shares'!N33*'Indirect NH3 demand sources'!N$3</f>
        <v>0</v>
      </c>
      <c r="O33">
        <f>'Export shares'!O33*'Indirect NH3 demand sources'!O$3</f>
        <v>0</v>
      </c>
      <c r="P33">
        <f>'Export shares'!P33*'Indirect NH3 demand sources'!P$3</f>
        <v>0</v>
      </c>
      <c r="Q33">
        <f>'Export shares'!Q33*'Indirect NH3 demand sources'!Q$3</f>
        <v>0</v>
      </c>
      <c r="R33">
        <f>'Export shares'!R33*'Indirect NH3 demand sources'!R$3</f>
        <v>3.5759853789601098E-4</v>
      </c>
      <c r="S33">
        <f>'Export shares'!S33*'Indirect NH3 demand sources'!S$3</f>
        <v>7.0928614873490997E-4</v>
      </c>
      <c r="T33">
        <f>'Export shares'!T33*'Indirect NH3 demand sources'!T$3</f>
        <v>1.0447811592517531E-3</v>
      </c>
      <c r="U33">
        <f>'Export shares'!U33*'Indirect NH3 demand sources'!U$3</f>
        <v>1.3727178561319627E-3</v>
      </c>
      <c r="V33">
        <f>'Export shares'!V33*'Indirect NH3 demand sources'!V$3</f>
        <v>1.7118286277944292E-3</v>
      </c>
      <c r="W33">
        <f>'Export shares'!W33*'Indirect NH3 demand sources'!W$3</f>
        <v>4.516969319185723E-3</v>
      </c>
      <c r="X33">
        <f>'Export shares'!X33*'Indirect NH3 demand sources'!X$3</f>
        <v>7.2616226758101055E-3</v>
      </c>
      <c r="Y33">
        <f>'Export shares'!Y33*'Indirect NH3 demand sources'!Y$3</f>
        <v>9.9439582878606356E-3</v>
      </c>
      <c r="Z33">
        <f>'Export shares'!Z33*'Indirect NH3 demand sources'!Z$3</f>
        <v>1.2573057330566849E-2</v>
      </c>
      <c r="AA33">
        <f>'Export shares'!AA33*'Indirect NH3 demand sources'!AA$3</f>
        <v>1.5137076836397831E-2</v>
      </c>
      <c r="AB33">
        <f>'Export shares'!AB33*'Indirect NH3 demand sources'!AB$3</f>
        <v>1.7643090929322584E-2</v>
      </c>
      <c r="AC33">
        <f>'Export shares'!AC33*'Indirect NH3 demand sources'!AC$3</f>
        <v>2.0106235683406536E-2</v>
      </c>
      <c r="AD33">
        <f>'Export shares'!AD33*'Indirect NH3 demand sources'!AD$3</f>
        <v>2.2523320350492492E-2</v>
      </c>
      <c r="AE33">
        <f>'Export shares'!AE33*'Indirect NH3 demand sources'!AE$3</f>
        <v>2.492725919717164E-2</v>
      </c>
      <c r="AF33">
        <f>'Export shares'!AF33*'Indirect NH3 demand sources'!AF$3</f>
        <v>2.7258357652027623E-2</v>
      </c>
      <c r="AG33">
        <f>'Export shares'!AG33*'Indirect NH3 demand sources'!AG$3</f>
        <v>3.3554512614903761E-2</v>
      </c>
      <c r="AH33">
        <f>'Export shares'!AH33*'Indirect NH3 demand sources'!AH$3</f>
        <v>3.9734311564739791E-2</v>
      </c>
      <c r="AI33">
        <f>'Export shares'!AI33*'Indirect NH3 demand sources'!AI$3</f>
        <v>4.5770659476341437E-2</v>
      </c>
      <c r="AJ33">
        <f>'Export shares'!AJ33*'Indirect NH3 demand sources'!AJ$3</f>
        <v>5.1673521105086474E-2</v>
      </c>
      <c r="AK33">
        <f>'Export shares'!AK33*'Indirect NH3 demand sources'!AK$3</f>
        <v>5.7449247681947264E-2</v>
      </c>
      <c r="AL33">
        <f>'Export shares'!AL33*'Indirect NH3 demand sources'!AL$3</f>
        <v>6.3104917287240547E-2</v>
      </c>
      <c r="AM33">
        <f>'Export shares'!AM33*'Indirect NH3 demand sources'!AM$3</f>
        <v>6.8638593491845812E-2</v>
      </c>
      <c r="AN33">
        <f>'Export shares'!AN33*'Indirect NH3 demand sources'!AN$3</f>
        <v>7.4050755248259006E-2</v>
      </c>
      <c r="AO33">
        <f>'Export shares'!AO33*'Indirect NH3 demand sources'!AO$3</f>
        <v>7.9309705050941467E-2</v>
      </c>
      <c r="AP33">
        <f>'Export shares'!AP33*'Indirect NH3 demand sources'!AP$3</f>
        <v>8.4399349635613297E-2</v>
      </c>
    </row>
    <row r="34" spans="1:42" x14ac:dyDescent="0.3">
      <c r="A34" t="s">
        <v>33</v>
      </c>
      <c r="B34">
        <f>'Export shares'!B34*'Indirect NH3 demand sources'!B$3</f>
        <v>0</v>
      </c>
      <c r="C34">
        <f>'Export shares'!C34*'Indirect NH3 demand sources'!C$3</f>
        <v>0</v>
      </c>
      <c r="D34">
        <f>'Export shares'!D34*'Indirect NH3 demand sources'!D$3</f>
        <v>0</v>
      </c>
      <c r="E34">
        <f>'Export shares'!E34*'Indirect NH3 demand sources'!E$3</f>
        <v>0</v>
      </c>
      <c r="F34">
        <f>'Export shares'!F34*'Indirect NH3 demand sources'!F$3</f>
        <v>0</v>
      </c>
      <c r="G34">
        <f>'Export shares'!G34*'Indirect NH3 demand sources'!G$3</f>
        <v>0</v>
      </c>
      <c r="H34">
        <f>'Export shares'!H34*'Indirect NH3 demand sources'!H$3</f>
        <v>0</v>
      </c>
      <c r="I34">
        <f>'Export shares'!I34*'Indirect NH3 demand sources'!I$3</f>
        <v>0</v>
      </c>
      <c r="J34">
        <f>'Export shares'!J34*'Indirect NH3 demand sources'!J$3</f>
        <v>0</v>
      </c>
      <c r="K34">
        <f>'Export shares'!K34*'Indirect NH3 demand sources'!K$3</f>
        <v>0</v>
      </c>
      <c r="L34">
        <f>'Export shares'!L34*'Indirect NH3 demand sources'!L$3</f>
        <v>0</v>
      </c>
      <c r="M34">
        <f>'Export shares'!M34*'Indirect NH3 demand sources'!M$3</f>
        <v>0</v>
      </c>
      <c r="N34">
        <f>'Export shares'!N34*'Indirect NH3 demand sources'!N$3</f>
        <v>0</v>
      </c>
      <c r="O34">
        <f>'Export shares'!O34*'Indirect NH3 demand sources'!O$3</f>
        <v>0</v>
      </c>
      <c r="P34">
        <f>'Export shares'!P34*'Indirect NH3 demand sources'!P$3</f>
        <v>0</v>
      </c>
      <c r="Q34">
        <f>'Export shares'!Q34*'Indirect NH3 demand sources'!Q$3</f>
        <v>0</v>
      </c>
      <c r="R34">
        <f>'Export shares'!R34*'Indirect NH3 demand sources'!R$3</f>
        <v>3.076456073014031E-3</v>
      </c>
      <c r="S34">
        <f>'Export shares'!S34*'Indirect NH3 demand sources'!S$3</f>
        <v>6.1673747521331351E-3</v>
      </c>
      <c r="T34">
        <f>'Export shares'!T34*'Indirect NH3 demand sources'!T$3</f>
        <v>9.067948552706975E-3</v>
      </c>
      <c r="U34">
        <f>'Export shares'!U34*'Indirect NH3 demand sources'!U$3</f>
        <v>1.1983491342085498E-2</v>
      </c>
      <c r="V34">
        <f>'Export shares'!V34*'Indirect NH3 demand sources'!V$3</f>
        <v>1.494612678722216E-2</v>
      </c>
      <c r="W34">
        <f>'Export shares'!W34*'Indirect NH3 demand sources'!W$3</f>
        <v>3.9640478829420241E-2</v>
      </c>
      <c r="X34">
        <f>'Export shares'!X34*'Indirect NH3 demand sources'!X$3</f>
        <v>6.4068536820057823E-2</v>
      </c>
      <c r="Y34">
        <f>'Export shares'!Y34*'Indirect NH3 demand sources'!Y$3</f>
        <v>8.8217702776712772E-2</v>
      </c>
      <c r="Z34">
        <f>'Export shares'!Z34*'Indirect NH3 demand sources'!Z$3</f>
        <v>0.11208683466581773</v>
      </c>
      <c r="AA34">
        <f>'Export shares'!AA34*'Indirect NH3 demand sources'!AA$3</f>
        <v>0.13560808355812709</v>
      </c>
      <c r="AB34">
        <f>'Export shares'!AB34*'Indirect NH3 demand sources'!AB$3</f>
        <v>0.15880066738732282</v>
      </c>
      <c r="AC34">
        <f>'Export shares'!AC34*'Indirect NH3 demand sources'!AC$3</f>
        <v>0.18167446162722611</v>
      </c>
      <c r="AD34">
        <f>'Export shares'!AD34*'Indirect NH3 demand sources'!AD$3</f>
        <v>0.20420861046804073</v>
      </c>
      <c r="AE34">
        <f>'Export shares'!AE34*'Indirect NH3 demand sources'!AE$3</f>
        <v>0.22645938638850555</v>
      </c>
      <c r="AF34">
        <f>'Export shares'!AF34*'Indirect NH3 demand sources'!AF$3</f>
        <v>0.24822850335140573</v>
      </c>
      <c r="AG34">
        <f>'Export shares'!AG34*'Indirect NH3 demand sources'!AG$3</f>
        <v>0.30640782338360983</v>
      </c>
      <c r="AH34">
        <f>'Export shares'!AH34*'Indirect NH3 demand sources'!AH$3</f>
        <v>0.36375727017689108</v>
      </c>
      <c r="AI34">
        <f>'Export shares'!AI34*'Indirect NH3 demand sources'!AI$3</f>
        <v>0.42030336173814609</v>
      </c>
      <c r="AJ34">
        <f>'Export shares'!AJ34*'Indirect NH3 demand sources'!AJ$3</f>
        <v>0.47604476280609681</v>
      </c>
      <c r="AK34">
        <f>'Export shares'!AK34*'Indirect NH3 demand sources'!AK$3</f>
        <v>0.53093482229434907</v>
      </c>
      <c r="AL34">
        <f>'Export shares'!AL34*'Indirect NH3 demand sources'!AL$3</f>
        <v>0.58497258733118873</v>
      </c>
      <c r="AM34">
        <f>'Export shares'!AM34*'Indirect NH3 demand sources'!AM$3</f>
        <v>0.63814664872561944</v>
      </c>
      <c r="AN34">
        <f>'Export shares'!AN34*'Indirect NH3 demand sources'!AN$3</f>
        <v>0.69049090816755165</v>
      </c>
      <c r="AO34">
        <f>'Export shares'!AO34*'Indirect NH3 demand sources'!AO$3</f>
        <v>0.74202900753909806</v>
      </c>
      <c r="AP34">
        <f>'Export shares'!AP34*'Indirect NH3 demand sources'!AP$3</f>
        <v>0.79274623517818665</v>
      </c>
    </row>
    <row r="35" spans="1:42" x14ac:dyDescent="0.3">
      <c r="A35" t="s">
        <v>34</v>
      </c>
      <c r="B35">
        <f>'Export shares'!B35*'Indirect NH3 demand sources'!B$3</f>
        <v>0</v>
      </c>
      <c r="C35">
        <f>'Export shares'!C35*'Indirect NH3 demand sources'!C$3</f>
        <v>0</v>
      </c>
      <c r="D35">
        <f>'Export shares'!D35*'Indirect NH3 demand sources'!D$3</f>
        <v>0</v>
      </c>
      <c r="E35">
        <f>'Export shares'!E35*'Indirect NH3 demand sources'!E$3</f>
        <v>0</v>
      </c>
      <c r="F35">
        <f>'Export shares'!F35*'Indirect NH3 demand sources'!F$3</f>
        <v>0</v>
      </c>
      <c r="G35">
        <f>'Export shares'!G35*'Indirect NH3 demand sources'!G$3</f>
        <v>0</v>
      </c>
      <c r="H35">
        <f>'Export shares'!H35*'Indirect NH3 demand sources'!H$3</f>
        <v>0</v>
      </c>
      <c r="I35">
        <f>'Export shares'!I35*'Indirect NH3 demand sources'!I$3</f>
        <v>0</v>
      </c>
      <c r="J35">
        <f>'Export shares'!J35*'Indirect NH3 demand sources'!J$3</f>
        <v>0</v>
      </c>
      <c r="K35">
        <f>'Export shares'!K35*'Indirect NH3 demand sources'!K$3</f>
        <v>0</v>
      </c>
      <c r="L35">
        <f>'Export shares'!L35*'Indirect NH3 demand sources'!L$3</f>
        <v>0</v>
      </c>
      <c r="M35">
        <f>'Export shares'!M35*'Indirect NH3 demand sources'!M$3</f>
        <v>0</v>
      </c>
      <c r="N35">
        <f>'Export shares'!N35*'Indirect NH3 demand sources'!N$3</f>
        <v>0</v>
      </c>
      <c r="O35">
        <f>'Export shares'!O35*'Indirect NH3 demand sources'!O$3</f>
        <v>0</v>
      </c>
      <c r="P35">
        <f>'Export shares'!P35*'Indirect NH3 demand sources'!P$3</f>
        <v>0</v>
      </c>
      <c r="Q35">
        <f>'Export shares'!Q35*'Indirect NH3 demand sources'!Q$3</f>
        <v>0</v>
      </c>
      <c r="R35">
        <f>'Export shares'!R35*'Indirect NH3 demand sources'!R$3</f>
        <v>9.0308713354631919E-5</v>
      </c>
      <c r="S35">
        <f>'Export shares'!S35*'Indirect NH3 demand sources'!S$3</f>
        <v>1.8247855261269239E-4</v>
      </c>
      <c r="T35">
        <f>'Export shares'!T35*'Indirect NH3 demand sources'!T$3</f>
        <v>2.6629325977657245E-4</v>
      </c>
      <c r="U35">
        <f>'Export shares'!U35*'Indirect NH3 demand sources'!U$3</f>
        <v>3.5189262595727535E-4</v>
      </c>
      <c r="V35">
        <f>'Export shares'!V35*'Indirect NH3 demand sources'!V$3</f>
        <v>4.3892411265374716E-4</v>
      </c>
      <c r="W35">
        <f>'Export shares'!W35*'Indirect NH3 demand sources'!W$3</f>
        <v>1.1641826403792812E-3</v>
      </c>
      <c r="X35">
        <f>'Export shares'!X35*'Indirect NH3 demand sources'!X$3</f>
        <v>1.8816985818286835E-3</v>
      </c>
      <c r="Y35">
        <f>'Export shares'!Y35*'Indirect NH3 demand sources'!Y$3</f>
        <v>2.5909534911043347E-3</v>
      </c>
      <c r="Z35">
        <f>'Export shares'!Z35*'Indirect NH3 demand sources'!Z$3</f>
        <v>3.2912093872266906E-3</v>
      </c>
      <c r="AA35">
        <f>'Export shares'!AA35*'Indirect NH3 demand sources'!AA$3</f>
        <v>3.9824373209171558E-3</v>
      </c>
      <c r="AB35">
        <f>'Export shares'!AB35*'Indirect NH3 demand sources'!AB$3</f>
        <v>4.6644551645122663E-3</v>
      </c>
      <c r="AC35">
        <f>'Export shares'!AC35*'Indirect NH3 demand sources'!AC$3</f>
        <v>5.3362222088136103E-3</v>
      </c>
      <c r="AD35">
        <f>'Export shares'!AD35*'Indirect NH3 demand sources'!AD$3</f>
        <v>5.9982402768973681E-3</v>
      </c>
      <c r="AE35">
        <f>'Export shares'!AE35*'Indirect NH3 demand sources'!AE$3</f>
        <v>6.6493549832568931E-3</v>
      </c>
      <c r="AF35">
        <f>'Export shares'!AF35*'Indirect NH3 demand sources'!AF$3</f>
        <v>7.2900746355467026E-3</v>
      </c>
      <c r="AG35">
        <f>'Export shares'!AG35*'Indirect NH3 demand sources'!AG$3</f>
        <v>9.0010416130045946E-3</v>
      </c>
      <c r="AH35">
        <f>'Export shares'!AH35*'Indirect NH3 demand sources'!AH$3</f>
        <v>1.0687541948656613E-2</v>
      </c>
      <c r="AI35">
        <f>'Export shares'!AI35*'Indirect NH3 demand sources'!AI$3</f>
        <v>1.2348982757986971E-2</v>
      </c>
      <c r="AJ35">
        <f>'Export shares'!AJ35*'Indirect NH3 demand sources'!AJ$3</f>
        <v>1.3983914404022456E-2</v>
      </c>
      <c r="AK35">
        <f>'Export shares'!AK35*'Indirect NH3 demand sources'!AK$3</f>
        <v>1.5595358554870178E-2</v>
      </c>
      <c r="AL35">
        <f>'Export shares'!AL35*'Indirect NH3 demand sources'!AL$3</f>
        <v>1.7182559651310891E-2</v>
      </c>
      <c r="AM35">
        <f>'Export shares'!AM35*'Indirect NH3 demand sources'!AM$3</f>
        <v>1.8744613435739157E-2</v>
      </c>
      <c r="AN35">
        <f>'Export shares'!AN35*'Indirect NH3 demand sources'!AN$3</f>
        <v>2.0283208109803573E-2</v>
      </c>
      <c r="AO35">
        <f>'Export shares'!AO35*'Indirect NH3 demand sources'!AO$3</f>
        <v>2.1797304965763414E-2</v>
      </c>
      <c r="AP35">
        <f>'Export shares'!AP35*'Indirect NH3 demand sources'!AP$3</f>
        <v>2.3287146392120758E-2</v>
      </c>
    </row>
    <row r="36" spans="1:42" x14ac:dyDescent="0.3">
      <c r="A36" t="s">
        <v>35</v>
      </c>
      <c r="B36">
        <f>'Export shares'!B36*'Indirect NH3 demand sources'!B$3</f>
        <v>0</v>
      </c>
      <c r="C36">
        <f>'Export shares'!C36*'Indirect NH3 demand sources'!C$3</f>
        <v>0</v>
      </c>
      <c r="D36">
        <f>'Export shares'!D36*'Indirect NH3 demand sources'!D$3</f>
        <v>0</v>
      </c>
      <c r="E36">
        <f>'Export shares'!E36*'Indirect NH3 demand sources'!E$3</f>
        <v>0</v>
      </c>
      <c r="F36">
        <f>'Export shares'!F36*'Indirect NH3 demand sources'!F$3</f>
        <v>0</v>
      </c>
      <c r="G36">
        <f>'Export shares'!G36*'Indirect NH3 demand sources'!G$3</f>
        <v>0</v>
      </c>
      <c r="H36">
        <f>'Export shares'!H36*'Indirect NH3 demand sources'!H$3</f>
        <v>0</v>
      </c>
      <c r="I36">
        <f>'Export shares'!I36*'Indirect NH3 demand sources'!I$3</f>
        <v>0</v>
      </c>
      <c r="J36">
        <f>'Export shares'!J36*'Indirect NH3 demand sources'!J$3</f>
        <v>0</v>
      </c>
      <c r="K36">
        <f>'Export shares'!K36*'Indirect NH3 demand sources'!K$3</f>
        <v>0</v>
      </c>
      <c r="L36">
        <f>'Export shares'!L36*'Indirect NH3 demand sources'!L$3</f>
        <v>0</v>
      </c>
      <c r="M36">
        <f>'Export shares'!M36*'Indirect NH3 demand sources'!M$3</f>
        <v>0</v>
      </c>
      <c r="N36">
        <f>'Export shares'!N36*'Indirect NH3 demand sources'!N$3</f>
        <v>0</v>
      </c>
      <c r="O36">
        <f>'Export shares'!O36*'Indirect NH3 demand sources'!O$3</f>
        <v>0</v>
      </c>
      <c r="P36">
        <f>'Export shares'!P36*'Indirect NH3 demand sources'!P$3</f>
        <v>0</v>
      </c>
      <c r="Q36">
        <f>'Export shares'!Q36*'Indirect NH3 demand sources'!Q$3</f>
        <v>0</v>
      </c>
      <c r="R36">
        <f>'Export shares'!R36*'Indirect NH3 demand sources'!R$3</f>
        <v>6.7181808847191576E-2</v>
      </c>
      <c r="S36">
        <f>'Export shares'!S36*'Indirect NH3 demand sources'!S$3</f>
        <v>0.13291804925559686</v>
      </c>
      <c r="T36">
        <f>'Export shares'!T36*'Indirect NH3 demand sources'!T$3</f>
        <v>0.1965327483727673</v>
      </c>
      <c r="U36">
        <f>'Export shares'!U36*'Indirect NH3 demand sources'!U$3</f>
        <v>0.25904567558974523</v>
      </c>
      <c r="V36">
        <f>'Export shares'!V36*'Indirect NH3 demand sources'!V$3</f>
        <v>0.32417114317418477</v>
      </c>
      <c r="W36">
        <f>'Export shares'!W36*'Indirect NH3 demand sources'!W$3</f>
        <v>0.86007693577463351</v>
      </c>
      <c r="X36">
        <f>'Export shares'!X36*'Indirect NH3 demand sources'!X$3</f>
        <v>1.3906086900430767</v>
      </c>
      <c r="Y36">
        <f>'Export shares'!Y36*'Indirect NH3 demand sources'!Y$3</f>
        <v>1.9155824128390653</v>
      </c>
      <c r="Z36">
        <f>'Export shares'!Z36*'Indirect NH3 demand sources'!Z$3</f>
        <v>2.4346384830599961</v>
      </c>
      <c r="AA36">
        <f>'Export shares'!AA36*'Indirect NH3 demand sources'!AA$3</f>
        <v>2.9476001432999643</v>
      </c>
      <c r="AB36">
        <f>'Export shares'!AB36*'Indirect NH3 demand sources'!AB$3</f>
        <v>3.4541248125049711</v>
      </c>
      <c r="AC36">
        <f>'Export shares'!AC36*'Indirect NH3 demand sources'!AC$3</f>
        <v>3.9540139157983605</v>
      </c>
      <c r="AD36">
        <f>'Export shares'!AD36*'Indirect NH3 demand sources'!AD$3</f>
        <v>4.4470321795063521</v>
      </c>
      <c r="AE36">
        <f>'Export shares'!AE36*'Indirect NH3 demand sources'!AE$3</f>
        <v>4.9331545299890056</v>
      </c>
      <c r="AF36">
        <f>'Export shares'!AF36*'Indirect NH3 demand sources'!AF$3</f>
        <v>5.4123698680634158</v>
      </c>
      <c r="AG36">
        <f>'Export shares'!AG36*'Indirect NH3 demand sources'!AG$3</f>
        <v>6.6869410307994066</v>
      </c>
      <c r="AH36">
        <f>'Export shares'!AH36*'Indirect NH3 demand sources'!AH$3</f>
        <v>7.9450184349333437</v>
      </c>
      <c r="AI36">
        <f>'Export shares'!AI36*'Indirect NH3 demand sources'!AI$3</f>
        <v>9.1869471868528496</v>
      </c>
      <c r="AJ36">
        <f>'Export shares'!AJ36*'Indirect NH3 demand sources'!AJ$3</f>
        <v>10.41287529598614</v>
      </c>
      <c r="AK36">
        <f>'Export shares'!AK36*'Indirect NH3 demand sources'!AK$3</f>
        <v>11.623168153088535</v>
      </c>
      <c r="AL36">
        <f>'Export shares'!AL36*'Indirect NH3 demand sources'!AL$3</f>
        <v>12.817736606626205</v>
      </c>
      <c r="AM36">
        <f>'Export shares'!AM36*'Indirect NH3 demand sources'!AM$3</f>
        <v>13.996208440545397</v>
      </c>
      <c r="AN36">
        <f>'Export shares'!AN36*'Indirect NH3 demand sources'!AN$3</f>
        <v>15.159826813649017</v>
      </c>
      <c r="AO36">
        <f>'Export shares'!AO36*'Indirect NH3 demand sources'!AO$3</f>
        <v>16.307960638903548</v>
      </c>
      <c r="AP36">
        <f>'Export shares'!AP36*'Indirect NH3 demand sources'!AP$3</f>
        <v>17.440829882764326</v>
      </c>
    </row>
    <row r="37" spans="1:42" x14ac:dyDescent="0.3">
      <c r="A37" t="s">
        <v>36</v>
      </c>
      <c r="B37">
        <f>'Export shares'!B37*'Indirect NH3 demand sources'!B$3</f>
        <v>0</v>
      </c>
      <c r="C37">
        <f>'Export shares'!C37*'Indirect NH3 demand sources'!C$3</f>
        <v>0</v>
      </c>
      <c r="D37">
        <f>'Export shares'!D37*'Indirect NH3 demand sources'!D$3</f>
        <v>0</v>
      </c>
      <c r="E37">
        <f>'Export shares'!E37*'Indirect NH3 demand sources'!E$3</f>
        <v>0</v>
      </c>
      <c r="F37">
        <f>'Export shares'!F37*'Indirect NH3 demand sources'!F$3</f>
        <v>0</v>
      </c>
      <c r="G37">
        <f>'Export shares'!G37*'Indirect NH3 demand sources'!G$3</f>
        <v>0</v>
      </c>
      <c r="H37">
        <f>'Export shares'!H37*'Indirect NH3 demand sources'!H$3</f>
        <v>0</v>
      </c>
      <c r="I37">
        <f>'Export shares'!I37*'Indirect NH3 demand sources'!I$3</f>
        <v>0</v>
      </c>
      <c r="J37">
        <f>'Export shares'!J37*'Indirect NH3 demand sources'!J$3</f>
        <v>0</v>
      </c>
      <c r="K37">
        <f>'Export shares'!K37*'Indirect NH3 demand sources'!K$3</f>
        <v>0</v>
      </c>
      <c r="L37">
        <f>'Export shares'!L37*'Indirect NH3 demand sources'!L$3</f>
        <v>0</v>
      </c>
      <c r="M37">
        <f>'Export shares'!M37*'Indirect NH3 demand sources'!M$3</f>
        <v>0</v>
      </c>
      <c r="N37">
        <f>'Export shares'!N37*'Indirect NH3 demand sources'!N$3</f>
        <v>0</v>
      </c>
      <c r="O37">
        <f>'Export shares'!O37*'Indirect NH3 demand sources'!O$3</f>
        <v>0</v>
      </c>
      <c r="P37">
        <f>'Export shares'!P37*'Indirect NH3 demand sources'!P$3</f>
        <v>0</v>
      </c>
      <c r="Q37">
        <f>'Export shares'!Q37*'Indirect NH3 demand sources'!Q$3</f>
        <v>0</v>
      </c>
      <c r="R37">
        <f>'Export shares'!R37*'Indirect NH3 demand sources'!R$3</f>
        <v>2.6519892940753718E-2</v>
      </c>
      <c r="S37">
        <f>'Export shares'!S37*'Indirect NH3 demand sources'!S$3</f>
        <v>5.1788748340807989E-2</v>
      </c>
      <c r="T37">
        <f>'Export shares'!T37*'Indirect NH3 demand sources'!T$3</f>
        <v>7.603297286903217E-2</v>
      </c>
      <c r="U37">
        <f>'Export shares'!U37*'Indirect NH3 demand sources'!U$3</f>
        <v>9.913006341686964E-2</v>
      </c>
      <c r="V37">
        <f>'Export shares'!V37*'Indirect NH3 demand sources'!V$3</f>
        <v>0.12202005703489316</v>
      </c>
      <c r="W37">
        <f>'Export shares'!W37*'Indirect NH3 demand sources'!W$3</f>
        <v>0.3193262861448411</v>
      </c>
      <c r="X37">
        <f>'Export shares'!X37*'Indirect NH3 demand sources'!X$3</f>
        <v>0.50927358976947257</v>
      </c>
      <c r="Y37">
        <f>'Export shares'!Y37*'Indirect NH3 demand sources'!Y$3</f>
        <v>0.69195507193382089</v>
      </c>
      <c r="Z37">
        <f>'Export shares'!Z37*'Indirect NH3 demand sources'!Z$3</f>
        <v>0.86744364472468594</v>
      </c>
      <c r="AA37">
        <f>'Export shares'!AA37*'Indirect NH3 demand sources'!AA$3</f>
        <v>1.0358088412996793</v>
      </c>
      <c r="AB37">
        <f>'Export shares'!AB37*'Indirect NH3 demand sources'!AB$3</f>
        <v>1.1972270410487129</v>
      </c>
      <c r="AC37">
        <f>'Export shares'!AC37*'Indirect NH3 demand sources'!AC$3</f>
        <v>1.3517430820941618</v>
      </c>
      <c r="AD37">
        <f>'Export shares'!AD37*'Indirect NH3 demand sources'!AD$3</f>
        <v>1.4995896949185801</v>
      </c>
      <c r="AE37">
        <f>'Export shares'!AE37*'Indirect NH3 demand sources'!AE$3</f>
        <v>1.6408600997510785</v>
      </c>
      <c r="AF37">
        <f>'Export shares'!AF37*'Indirect NH3 demand sources'!AF$3</f>
        <v>1.7758214569663018</v>
      </c>
      <c r="AG37">
        <f>'Export shares'!AG37*'Indirect NH3 demand sources'!AG$3</f>
        <v>2.1642698897641317</v>
      </c>
      <c r="AH37">
        <f>'Export shares'!AH37*'Indirect NH3 demand sources'!AH$3</f>
        <v>2.5364502002305747</v>
      </c>
      <c r="AI37">
        <f>'Export shares'!AI37*'Indirect NH3 demand sources'!AI$3</f>
        <v>2.8930556989679261</v>
      </c>
      <c r="AJ37">
        <f>'Export shares'!AJ37*'Indirect NH3 demand sources'!AJ$3</f>
        <v>3.2348475189129116</v>
      </c>
      <c r="AK37">
        <f>'Export shares'!AK37*'Indirect NH3 demand sources'!AK$3</f>
        <v>3.5616007255170987</v>
      </c>
      <c r="AL37">
        <f>'Export shares'!AL37*'Indirect NH3 demand sources'!AL$3</f>
        <v>3.8741967494238514</v>
      </c>
      <c r="AM37">
        <f>'Export shares'!AM37*'Indirect NH3 demand sources'!AM$3</f>
        <v>4.1727611009727967</v>
      </c>
      <c r="AN37">
        <f>'Export shares'!AN37*'Indirect NH3 demand sources'!AN$3</f>
        <v>4.4581319143897566</v>
      </c>
      <c r="AO37">
        <f>'Export shares'!AO37*'Indirect NH3 demand sources'!AO$3</f>
        <v>4.7303472592592088</v>
      </c>
      <c r="AP37">
        <f>'Export shares'!AP37*'Indirect NH3 demand sources'!AP$3</f>
        <v>4.9901483093620351</v>
      </c>
    </row>
    <row r="38" spans="1:42" x14ac:dyDescent="0.3">
      <c r="A38" t="s">
        <v>37</v>
      </c>
      <c r="B38">
        <f>'Export shares'!B38*'Indirect NH3 demand sources'!B$3</f>
        <v>0</v>
      </c>
      <c r="C38">
        <f>'Export shares'!C38*'Indirect NH3 demand sources'!C$3</f>
        <v>0</v>
      </c>
      <c r="D38">
        <f>'Export shares'!D38*'Indirect NH3 demand sources'!D$3</f>
        <v>0</v>
      </c>
      <c r="E38">
        <f>'Export shares'!E38*'Indirect NH3 demand sources'!E$3</f>
        <v>0</v>
      </c>
      <c r="F38">
        <f>'Export shares'!F38*'Indirect NH3 demand sources'!F$3</f>
        <v>0</v>
      </c>
      <c r="G38">
        <f>'Export shares'!G38*'Indirect NH3 demand sources'!G$3</f>
        <v>0</v>
      </c>
      <c r="H38">
        <f>'Export shares'!H38*'Indirect NH3 demand sources'!H$3</f>
        <v>0</v>
      </c>
      <c r="I38">
        <f>'Export shares'!I38*'Indirect NH3 demand sources'!I$3</f>
        <v>0</v>
      </c>
      <c r="J38">
        <f>'Export shares'!J38*'Indirect NH3 demand sources'!J$3</f>
        <v>0</v>
      </c>
      <c r="K38">
        <f>'Export shares'!K38*'Indirect NH3 demand sources'!K$3</f>
        <v>0</v>
      </c>
      <c r="L38">
        <f>'Export shares'!L38*'Indirect NH3 demand sources'!L$3</f>
        <v>0</v>
      </c>
      <c r="M38">
        <f>'Export shares'!M38*'Indirect NH3 demand sources'!M$3</f>
        <v>0</v>
      </c>
      <c r="N38">
        <f>'Export shares'!N38*'Indirect NH3 demand sources'!N$3</f>
        <v>0</v>
      </c>
      <c r="O38">
        <f>'Export shares'!O38*'Indirect NH3 demand sources'!O$3</f>
        <v>0</v>
      </c>
      <c r="P38">
        <f>'Export shares'!P38*'Indirect NH3 demand sources'!P$3</f>
        <v>0</v>
      </c>
      <c r="Q38">
        <f>'Export shares'!Q38*'Indirect NH3 demand sources'!Q$3</f>
        <v>0</v>
      </c>
      <c r="R38">
        <f>'Export shares'!R38*'Indirect NH3 demand sources'!R$3</f>
        <v>1.7654635276590641E-2</v>
      </c>
      <c r="S38">
        <f>'Export shares'!S38*'Indirect NH3 demand sources'!S$3</f>
        <v>3.4877659314558482E-2</v>
      </c>
      <c r="T38">
        <f>'Export shares'!T38*'Indirect NH3 demand sources'!T$3</f>
        <v>5.1660792827746924E-2</v>
      </c>
      <c r="U38">
        <f>'Export shares'!U38*'Indirect NH3 demand sources'!U$3</f>
        <v>6.8090869469459053E-2</v>
      </c>
      <c r="V38">
        <f>'Export shares'!V38*'Indirect NH3 demand sources'!V$3</f>
        <v>8.5226597129379911E-2</v>
      </c>
      <c r="W38">
        <f>'Export shares'!W38*'Indirect NH3 demand sources'!W$3</f>
        <v>0.22612307073860125</v>
      </c>
      <c r="X38">
        <f>'Export shares'!X38*'Indirect NH3 demand sources'!X$3</f>
        <v>0.36564418029075518</v>
      </c>
      <c r="Y38">
        <f>'Export shares'!Y38*'Indirect NH3 demand sources'!Y$3</f>
        <v>0.50373633370385695</v>
      </c>
      <c r="Z38">
        <f>'Export shares'!Z38*'Indirect NH3 demand sources'!Z$3</f>
        <v>0.64025516025874929</v>
      </c>
      <c r="AA38">
        <f>'Export shares'!AA38*'Indirect NH3 demand sources'!AA$3</f>
        <v>0.77521251920471479</v>
      </c>
      <c r="AB38">
        <f>'Export shares'!AB38*'Indirect NH3 demand sources'!AB$3</f>
        <v>0.90851999440394349</v>
      </c>
      <c r="AC38">
        <f>'Export shares'!AC38*'Indirect NH3 demand sources'!AC$3</f>
        <v>1.0401130381466936</v>
      </c>
      <c r="AD38">
        <f>'Export shares'!AD38*'Indirect NH3 demand sources'!AD$3</f>
        <v>1.1699996996052935</v>
      </c>
      <c r="AE38">
        <f>'Export shares'!AE38*'Indirect NH3 demand sources'!AE$3</f>
        <v>1.2979804078495192</v>
      </c>
      <c r="AF38">
        <f>'Export shares'!AF38*'Indirect NH3 demand sources'!AF$3</f>
        <v>1.4243092492307423</v>
      </c>
      <c r="AG38">
        <f>'Export shares'!AG38*'Indirect NH3 demand sources'!AG$3</f>
        <v>1.7598833789008244</v>
      </c>
      <c r="AH38">
        <f>'Export shares'!AH38*'Indirect NH3 demand sources'!AH$3</f>
        <v>2.0911479987453889</v>
      </c>
      <c r="AI38">
        <f>'Export shares'!AI38*'Indirect NH3 demand sources'!AI$3</f>
        <v>2.4183762285407453</v>
      </c>
      <c r="AJ38">
        <f>'Export shares'!AJ38*'Indirect NH3 demand sources'!AJ$3</f>
        <v>2.741276277836826</v>
      </c>
      <c r="AK38">
        <f>'Export shares'!AK38*'Indirect NH3 demand sources'!AK$3</f>
        <v>3.0600436686474959</v>
      </c>
      <c r="AL38">
        <f>'Export shares'!AL38*'Indirect NH3 demand sources'!AL$3</f>
        <v>3.3748687743883461</v>
      </c>
      <c r="AM38">
        <f>'Export shares'!AM38*'Indirect NH3 demand sources'!AM$3</f>
        <v>3.6858097226949886</v>
      </c>
      <c r="AN38">
        <f>'Export shares'!AN38*'Indirect NH3 demand sources'!AN$3</f>
        <v>3.9928508042954118</v>
      </c>
      <c r="AO38">
        <f>'Export shares'!AO38*'Indirect NH3 demand sources'!AO$3</f>
        <v>4.2957348950320506</v>
      </c>
      <c r="AP38">
        <f>'Export shares'!AP38*'Indirect NH3 demand sources'!AP$3</f>
        <v>4.5949496119946858</v>
      </c>
    </row>
    <row r="39" spans="1:42" x14ac:dyDescent="0.3">
      <c r="A39" t="s">
        <v>38</v>
      </c>
      <c r="B39">
        <f>'Export shares'!B39*'Indirect NH3 demand sources'!B$3</f>
        <v>0</v>
      </c>
      <c r="C39">
        <f>'Export shares'!C39*'Indirect NH3 demand sources'!C$3</f>
        <v>0</v>
      </c>
      <c r="D39">
        <f>'Export shares'!D39*'Indirect NH3 demand sources'!D$3</f>
        <v>0</v>
      </c>
      <c r="E39">
        <f>'Export shares'!E39*'Indirect NH3 demand sources'!E$3</f>
        <v>0</v>
      </c>
      <c r="F39">
        <f>'Export shares'!F39*'Indirect NH3 demand sources'!F$3</f>
        <v>0</v>
      </c>
      <c r="G39">
        <f>'Export shares'!G39*'Indirect NH3 demand sources'!G$3</f>
        <v>0</v>
      </c>
      <c r="H39">
        <f>'Export shares'!H39*'Indirect NH3 demand sources'!H$3</f>
        <v>0</v>
      </c>
      <c r="I39">
        <f>'Export shares'!I39*'Indirect NH3 demand sources'!I$3</f>
        <v>0</v>
      </c>
      <c r="J39">
        <f>'Export shares'!J39*'Indirect NH3 demand sources'!J$3</f>
        <v>0</v>
      </c>
      <c r="K39">
        <f>'Export shares'!K39*'Indirect NH3 demand sources'!K$3</f>
        <v>0</v>
      </c>
      <c r="L39">
        <f>'Export shares'!L39*'Indirect NH3 demand sources'!L$3</f>
        <v>0</v>
      </c>
      <c r="M39">
        <f>'Export shares'!M39*'Indirect NH3 demand sources'!M$3</f>
        <v>0</v>
      </c>
      <c r="N39">
        <f>'Export shares'!N39*'Indirect NH3 demand sources'!N$3</f>
        <v>0</v>
      </c>
      <c r="O39">
        <f>'Export shares'!O39*'Indirect NH3 demand sources'!O$3</f>
        <v>0</v>
      </c>
      <c r="P39">
        <f>'Export shares'!P39*'Indirect NH3 demand sources'!P$3</f>
        <v>0</v>
      </c>
      <c r="Q39">
        <f>'Export shares'!Q39*'Indirect NH3 demand sources'!Q$3</f>
        <v>0</v>
      </c>
      <c r="R39">
        <f>'Export shares'!R39*'Indirect NH3 demand sources'!R$3</f>
        <v>8.8760150562757073E-3</v>
      </c>
      <c r="S39">
        <f>'Export shares'!S39*'Indirect NH3 demand sources'!S$3</f>
        <v>1.7688513235939271E-2</v>
      </c>
      <c r="T39">
        <f>'Export shares'!T39*'Indirect NH3 demand sources'!T$3</f>
        <v>2.8442333442127411E-2</v>
      </c>
      <c r="U39">
        <f>'Export shares'!U39*'Indirect NH3 demand sources'!U$3</f>
        <v>3.9006810023184083E-2</v>
      </c>
      <c r="V39">
        <f>'Export shares'!V39*'Indirect NH3 demand sources'!V$3</f>
        <v>4.9591579383015116E-2</v>
      </c>
      <c r="W39">
        <f>'Export shares'!W39*'Indirect NH3 demand sources'!W$3</f>
        <v>0.13515287380352398</v>
      </c>
      <c r="X39">
        <f>'Export shares'!X39*'Indirect NH3 demand sources'!X$3</f>
        <v>0.22428323437408643</v>
      </c>
      <c r="Y39">
        <f>'Export shares'!Y39*'Indirect NH3 demand sources'!Y$3</f>
        <v>0.31686421566616879</v>
      </c>
      <c r="Z39">
        <f>'Export shares'!Z39*'Indirect NH3 demand sources'!Z$3</f>
        <v>0.41270259477721505</v>
      </c>
      <c r="AA39">
        <f>'Export shares'!AA39*'Indirect NH3 demand sources'!AA$3</f>
        <v>0.51168468193072703</v>
      </c>
      <c r="AB39">
        <f>'Export shares'!AB39*'Indirect NH3 demand sources'!AB$3</f>
        <v>0.61362741998985038</v>
      </c>
      <c r="AC39">
        <f>'Export shares'!AC39*'Indirect NH3 demand sources'!AC$3</f>
        <v>0.71832344905055745</v>
      </c>
      <c r="AD39">
        <f>'Export shares'!AD39*'Indirect NH3 demand sources'!AD$3</f>
        <v>0.82567862385911928</v>
      </c>
      <c r="AE39">
        <f>'Export shares'!AE39*'Indirect NH3 demand sources'!AE$3</f>
        <v>0.935463789233415</v>
      </c>
      <c r="AF39">
        <f>'Export shares'!AF39*'Indirect NH3 demand sources'!AF$3</f>
        <v>1.0476423430303654</v>
      </c>
      <c r="AG39">
        <f>'Export shares'!AG39*'Indirect NH3 demand sources'!AG$3</f>
        <v>1.3204574630266057</v>
      </c>
      <c r="AH39">
        <f>'Export shares'!AH39*'Indirect NH3 demand sources'!AH$3</f>
        <v>1.5996936836621261</v>
      </c>
      <c r="AI39">
        <f>'Export shares'!AI39*'Indirect NH3 demand sources'!AI$3</f>
        <v>1.8851998152572855</v>
      </c>
      <c r="AJ39">
        <f>'Export shares'!AJ39*'Indirect NH3 demand sources'!AJ$3</f>
        <v>2.1765128643845011</v>
      </c>
      <c r="AK39">
        <f>'Export shares'!AK39*'Indirect NH3 demand sources'!AK$3</f>
        <v>2.4735418816736074</v>
      </c>
      <c r="AL39">
        <f>'Export shares'!AL39*'Indirect NH3 demand sources'!AL$3</f>
        <v>2.776123168401357</v>
      </c>
      <c r="AM39">
        <f>'Export shares'!AM39*'Indirect NH3 demand sources'!AM$3</f>
        <v>3.083765989140236</v>
      </c>
      <c r="AN39">
        <f>'Export shares'!AN39*'Indirect NH3 demand sources'!AN$3</f>
        <v>3.3962263823844099</v>
      </c>
      <c r="AO39">
        <f>'Export shares'!AO39*'Indirect NH3 demand sources'!AO$3</f>
        <v>3.7129594618144282</v>
      </c>
      <c r="AP39">
        <f>'Export shares'!AP39*'Indirect NH3 demand sources'!AP$3</f>
        <v>4.0337461758783286</v>
      </c>
    </row>
    <row r="40" spans="1:42" x14ac:dyDescent="0.3">
      <c r="A40" t="s">
        <v>39</v>
      </c>
      <c r="B40">
        <f>'Export shares'!B40*'Indirect NH3 demand sources'!B$3</f>
        <v>0</v>
      </c>
      <c r="C40">
        <f>'Export shares'!C40*'Indirect NH3 demand sources'!C$3</f>
        <v>0</v>
      </c>
      <c r="D40">
        <f>'Export shares'!D40*'Indirect NH3 demand sources'!D$3</f>
        <v>0</v>
      </c>
      <c r="E40">
        <f>'Export shares'!E40*'Indirect NH3 demand sources'!E$3</f>
        <v>0</v>
      </c>
      <c r="F40">
        <f>'Export shares'!F40*'Indirect NH3 demand sources'!F$3</f>
        <v>0</v>
      </c>
      <c r="G40">
        <f>'Export shares'!G40*'Indirect NH3 demand sources'!G$3</f>
        <v>0</v>
      </c>
      <c r="H40">
        <f>'Export shares'!H40*'Indirect NH3 demand sources'!H$3</f>
        <v>0</v>
      </c>
      <c r="I40">
        <f>'Export shares'!I40*'Indirect NH3 demand sources'!I$3</f>
        <v>0</v>
      </c>
      <c r="J40">
        <f>'Export shares'!J40*'Indirect NH3 demand sources'!J$3</f>
        <v>0</v>
      </c>
      <c r="K40">
        <f>'Export shares'!K40*'Indirect NH3 demand sources'!K$3</f>
        <v>0</v>
      </c>
      <c r="L40">
        <f>'Export shares'!L40*'Indirect NH3 demand sources'!L$3</f>
        <v>0</v>
      </c>
      <c r="M40">
        <f>'Export shares'!M40*'Indirect NH3 demand sources'!M$3</f>
        <v>0</v>
      </c>
      <c r="N40">
        <f>'Export shares'!N40*'Indirect NH3 demand sources'!N$3</f>
        <v>0</v>
      </c>
      <c r="O40">
        <f>'Export shares'!O40*'Indirect NH3 demand sources'!O$3</f>
        <v>0</v>
      </c>
      <c r="P40">
        <f>'Export shares'!P40*'Indirect NH3 demand sources'!P$3</f>
        <v>0</v>
      </c>
      <c r="Q40">
        <f>'Export shares'!Q40*'Indirect NH3 demand sources'!Q$3</f>
        <v>0</v>
      </c>
      <c r="R40">
        <f>'Export shares'!R40*'Indirect NH3 demand sources'!R$3</f>
        <v>1.4973237842746863E-3</v>
      </c>
      <c r="S40">
        <f>'Export shares'!S40*'Indirect NH3 demand sources'!S$3</f>
        <v>2.9844587318940976E-3</v>
      </c>
      <c r="T40">
        <f>'Export shares'!T40*'Indirect NH3 demand sources'!T$3</f>
        <v>4.7944938225061772E-3</v>
      </c>
      <c r="U40">
        <f>'Export shares'!U40*'Indirect NH3 demand sources'!U$3</f>
        <v>6.5753131411867925E-3</v>
      </c>
      <c r="V40">
        <f>'Export shares'!V40*'Indirect NH3 demand sources'!V$3</f>
        <v>8.3598811927191336E-3</v>
      </c>
      <c r="W40">
        <f>'Export shares'!W40*'Indirect NH3 demand sources'!W$3</f>
        <v>2.2784642689736775E-2</v>
      </c>
      <c r="X40">
        <f>'Export shares'!X40*'Indirect NH3 demand sources'!X$3</f>
        <v>3.7810796134871323E-2</v>
      </c>
      <c r="Y40">
        <f>'Export shares'!Y40*'Indirect NH3 demand sources'!Y$3</f>
        <v>5.3418341768252962E-2</v>
      </c>
      <c r="Z40">
        <f>'Export shares'!Z40*'Indirect NH3 demand sources'!Z$3</f>
        <v>6.9571919786854869E-2</v>
      </c>
      <c r="AA40">
        <f>'Export shares'!AA40*'Indirect NH3 demand sources'!AA$3</f>
        <v>8.6256103088668462E-2</v>
      </c>
      <c r="AB40">
        <f>'Export shares'!AB40*'Indirect NH3 demand sources'!AB$3</f>
        <v>0.10344149945486597</v>
      </c>
      <c r="AC40">
        <f>'Export shares'!AC40*'Indirect NH3 demand sources'!AC$3</f>
        <v>0.12111690375315173</v>
      </c>
      <c r="AD40">
        <f>'Export shares'!AD40*'Indirect NH3 demand sources'!AD$3</f>
        <v>0.13924451744117397</v>
      </c>
      <c r="AE40">
        <f>'Export shares'!AE40*'Indirect NH3 demand sources'!AE$3</f>
        <v>0.15776380145983421</v>
      </c>
      <c r="AF40">
        <f>'Export shares'!AF40*'Indirect NH3 demand sources'!AF$3</f>
        <v>0.17668636609165198</v>
      </c>
      <c r="AG40">
        <f>'Export shares'!AG40*'Indirect NH3 demand sources'!AG$3</f>
        <v>0.22269691687529414</v>
      </c>
      <c r="AH40">
        <f>'Export shares'!AH40*'Indirect NH3 demand sources'!AH$3</f>
        <v>0.26976395312991425</v>
      </c>
      <c r="AI40">
        <f>'Export shares'!AI40*'Indirect NH3 demand sources'!AI$3</f>
        <v>0.31784300589794967</v>
      </c>
      <c r="AJ40">
        <f>'Export shares'!AJ40*'Indirect NH3 demand sources'!AJ$3</f>
        <v>0.36695150074484423</v>
      </c>
      <c r="AK40">
        <f>'Export shares'!AK40*'Indirect NH3 demand sources'!AK$3</f>
        <v>0.41703440379995188</v>
      </c>
      <c r="AL40">
        <f>'Export shares'!AL40*'Indirect NH3 demand sources'!AL$3</f>
        <v>0.46804947498888816</v>
      </c>
      <c r="AM40">
        <f>'Export shares'!AM40*'Indirect NH3 demand sources'!AM$3</f>
        <v>0.51990073507799917</v>
      </c>
      <c r="AN40">
        <f>'Export shares'!AN40*'Indirect NH3 demand sources'!AN$3</f>
        <v>0.57258912925866867</v>
      </c>
      <c r="AO40">
        <f>'Export shares'!AO40*'Indirect NH3 demand sources'!AO$3</f>
        <v>0.62597375128390775</v>
      </c>
      <c r="AP40">
        <f>'Export shares'!AP40*'Indirect NH3 demand sources'!AP$3</f>
        <v>0.68010722673836388</v>
      </c>
    </row>
    <row r="41" spans="1:42" x14ac:dyDescent="0.3">
      <c r="A41" t="s">
        <v>40</v>
      </c>
      <c r="B41">
        <f>'Export shares'!B41*'Indirect NH3 demand sources'!B$3</f>
        <v>0</v>
      </c>
      <c r="C41">
        <f>'Export shares'!C41*'Indirect NH3 demand sources'!C$3</f>
        <v>0</v>
      </c>
      <c r="D41">
        <f>'Export shares'!D41*'Indirect NH3 demand sources'!D$3</f>
        <v>0</v>
      </c>
      <c r="E41">
        <f>'Export shares'!E41*'Indirect NH3 demand sources'!E$3</f>
        <v>0</v>
      </c>
      <c r="F41">
        <f>'Export shares'!F41*'Indirect NH3 demand sources'!F$3</f>
        <v>0</v>
      </c>
      <c r="G41">
        <f>'Export shares'!G41*'Indirect NH3 demand sources'!G$3</f>
        <v>0</v>
      </c>
      <c r="H41">
        <f>'Export shares'!H41*'Indirect NH3 demand sources'!H$3</f>
        <v>0</v>
      </c>
      <c r="I41">
        <f>'Export shares'!I41*'Indirect NH3 demand sources'!I$3</f>
        <v>0</v>
      </c>
      <c r="J41">
        <f>'Export shares'!J41*'Indirect NH3 demand sources'!J$3</f>
        <v>0</v>
      </c>
      <c r="K41">
        <f>'Export shares'!K41*'Indirect NH3 demand sources'!K$3</f>
        <v>0</v>
      </c>
      <c r="L41">
        <f>'Export shares'!L41*'Indirect NH3 demand sources'!L$3</f>
        <v>0</v>
      </c>
      <c r="M41">
        <f>'Export shares'!M41*'Indirect NH3 demand sources'!M$3</f>
        <v>0</v>
      </c>
      <c r="N41">
        <f>'Export shares'!N41*'Indirect NH3 demand sources'!N$3</f>
        <v>0</v>
      </c>
      <c r="O41">
        <f>'Export shares'!O41*'Indirect NH3 demand sources'!O$3</f>
        <v>0</v>
      </c>
      <c r="P41">
        <f>'Export shares'!P41*'Indirect NH3 demand sources'!P$3</f>
        <v>0</v>
      </c>
      <c r="Q41">
        <f>'Export shares'!Q41*'Indirect NH3 demand sources'!Q$3</f>
        <v>0</v>
      </c>
      <c r="R41">
        <f>'Export shares'!R41*'Indirect NH3 demand sources'!R$3</f>
        <v>9.1163253492781843E-3</v>
      </c>
      <c r="S41">
        <f>'Export shares'!S41*'Indirect NH3 demand sources'!S$3</f>
        <v>1.7856785017918424E-2</v>
      </c>
      <c r="T41">
        <f>'Export shares'!T41*'Indirect NH3 demand sources'!T$3</f>
        <v>2.5110721562668005E-2</v>
      </c>
      <c r="U41">
        <f>'Export shares'!U41*'Indirect NH3 demand sources'!U$3</f>
        <v>3.2105329380803668E-2</v>
      </c>
      <c r="V41">
        <f>'Export shares'!V41*'Indirect NH3 demand sources'!V$3</f>
        <v>4.0386903056248299E-2</v>
      </c>
      <c r="W41">
        <f>'Export shares'!W41*'Indirect NH3 demand sources'!W$3</f>
        <v>0.10580127767050009</v>
      </c>
      <c r="X41">
        <f>'Export shares'!X41*'Indirect NH3 demand sources'!X$3</f>
        <v>0.168927817403909</v>
      </c>
      <c r="Y41">
        <f>'Export shares'!Y41*'Indirect NH3 demand sources'!Y$3</f>
        <v>0.22978179496285067</v>
      </c>
      <c r="Z41">
        <f>'Export shares'!Z41*'Indirect NH3 demand sources'!Z$3</f>
        <v>0.28835706003681977</v>
      </c>
      <c r="AA41">
        <f>'Export shares'!AA41*'Indirect NH3 demand sources'!AA$3</f>
        <v>0.34471661962903466</v>
      </c>
      <c r="AB41">
        <f>'Export shares'!AB41*'Indirect NH3 demand sources'!AB$3</f>
        <v>0.39886695101378145</v>
      </c>
      <c r="AC41">
        <f>'Export shares'!AC41*'Indirect NH3 demand sources'!AC$3</f>
        <v>0.45082099037071355</v>
      </c>
      <c r="AD41">
        <f>'Export shares'!AD41*'Indirect NH3 demand sources'!AD$3</f>
        <v>0.50065415942266378</v>
      </c>
      <c r="AE41">
        <f>'Export shares'!AE41*'Indirect NH3 demand sources'!AE$3</f>
        <v>0.54837599253957237</v>
      </c>
      <c r="AF41">
        <f>'Export shares'!AF41*'Indirect NH3 demand sources'!AF$3</f>
        <v>0.59405584954245094</v>
      </c>
      <c r="AG41">
        <f>'Export shares'!AG41*'Indirect NH3 demand sources'!AG$3</f>
        <v>0.72472845872898239</v>
      </c>
      <c r="AH41">
        <f>'Export shares'!AH41*'Indirect NH3 demand sources'!AH$3</f>
        <v>0.85024111023896054</v>
      </c>
      <c r="AI41">
        <f>'Export shares'!AI41*'Indirect NH3 demand sources'!AI$3</f>
        <v>0.97074575867940593</v>
      </c>
      <c r="AJ41">
        <f>'Export shares'!AJ41*'Indirect NH3 demand sources'!AJ$3</f>
        <v>1.0862814293756753</v>
      </c>
      <c r="AK41">
        <f>'Export shares'!AK41*'Indirect NH3 demand sources'!AK$3</f>
        <v>1.1971116576594136</v>
      </c>
      <c r="AL41">
        <f>'Export shares'!AL41*'Indirect NH3 demand sources'!AL$3</f>
        <v>1.3033955723319584</v>
      </c>
      <c r="AM41">
        <f>'Export shares'!AM41*'Indirect NH3 demand sources'!AM$3</f>
        <v>1.4052809882855219</v>
      </c>
      <c r="AN41">
        <f>'Export shares'!AN41*'Indirect NH3 demand sources'!AN$3</f>
        <v>1.5028057167202244</v>
      </c>
      <c r="AO41">
        <f>'Export shares'!AO41*'Indirect NH3 demand sources'!AO$3</f>
        <v>1.5961605134604935</v>
      </c>
      <c r="AP41">
        <f>'Export shares'!AP41*'Indirect NH3 demand sources'!AP$3</f>
        <v>1.6854390490778564</v>
      </c>
    </row>
    <row r="42" spans="1:42" x14ac:dyDescent="0.3">
      <c r="A42" t="s">
        <v>41</v>
      </c>
      <c r="B42">
        <f>'Export shares'!B42*'Indirect NH3 demand sources'!B$3</f>
        <v>0</v>
      </c>
      <c r="C42">
        <f>'Export shares'!C42*'Indirect NH3 demand sources'!C$3</f>
        <v>0</v>
      </c>
      <c r="D42">
        <f>'Export shares'!D42*'Indirect NH3 demand sources'!D$3</f>
        <v>0</v>
      </c>
      <c r="E42">
        <f>'Export shares'!E42*'Indirect NH3 demand sources'!E$3</f>
        <v>0</v>
      </c>
      <c r="F42">
        <f>'Export shares'!F42*'Indirect NH3 demand sources'!F$3</f>
        <v>0</v>
      </c>
      <c r="G42">
        <f>'Export shares'!G42*'Indirect NH3 demand sources'!G$3</f>
        <v>0</v>
      </c>
      <c r="H42">
        <f>'Export shares'!H42*'Indirect NH3 demand sources'!H$3</f>
        <v>0</v>
      </c>
      <c r="I42">
        <f>'Export shares'!I42*'Indirect NH3 demand sources'!I$3</f>
        <v>0</v>
      </c>
      <c r="J42">
        <f>'Export shares'!J42*'Indirect NH3 demand sources'!J$3</f>
        <v>0</v>
      </c>
      <c r="K42">
        <f>'Export shares'!K42*'Indirect NH3 demand sources'!K$3</f>
        <v>0</v>
      </c>
      <c r="L42">
        <f>'Export shares'!L42*'Indirect NH3 demand sources'!L$3</f>
        <v>0</v>
      </c>
      <c r="M42">
        <f>'Export shares'!M42*'Indirect NH3 demand sources'!M$3</f>
        <v>0</v>
      </c>
      <c r="N42">
        <f>'Export shares'!N42*'Indirect NH3 demand sources'!N$3</f>
        <v>0</v>
      </c>
      <c r="O42">
        <f>'Export shares'!O42*'Indirect NH3 demand sources'!O$3</f>
        <v>0</v>
      </c>
      <c r="P42">
        <f>'Export shares'!P42*'Indirect NH3 demand sources'!P$3</f>
        <v>0</v>
      </c>
      <c r="Q42">
        <f>'Export shares'!Q42*'Indirect NH3 demand sources'!Q$3</f>
        <v>0</v>
      </c>
      <c r="R42">
        <f>'Export shares'!R42*'Indirect NH3 demand sources'!R$3</f>
        <v>1.1650970076818935E-3</v>
      </c>
      <c r="S42">
        <f>'Export shares'!S42*'Indirect NH3 demand sources'!S$3</f>
        <v>2.2905491618218539E-3</v>
      </c>
      <c r="T42">
        <f>'Export shares'!T42*'Indirect NH3 demand sources'!T$3</f>
        <v>3.4439441441103964E-3</v>
      </c>
      <c r="U42">
        <f>'Export shares'!U42*'Indirect NH3 demand sources'!U$3</f>
        <v>4.5513525868915768E-3</v>
      </c>
      <c r="V42">
        <f>'Export shares'!V42*'Indirect NH3 demand sources'!V$3</f>
        <v>5.6766525644178639E-3</v>
      </c>
      <c r="W42">
        <f>'Export shares'!W42*'Indirect NH3 demand sources'!W$3</f>
        <v>1.5055509043893368E-2</v>
      </c>
      <c r="X42">
        <f>'Export shares'!X42*'Indirect NH3 demand sources'!X$3</f>
        <v>2.4332295250290039E-2</v>
      </c>
      <c r="Y42">
        <f>'Export shares'!Y42*'Indirect NH3 demand sources'!Y$3</f>
        <v>3.3499556538647758E-2</v>
      </c>
      <c r="Z42">
        <f>'Export shares'!Z42*'Indirect NH3 demand sources'!Z$3</f>
        <v>4.2553575505649817E-2</v>
      </c>
      <c r="AA42">
        <f>'Export shares'!AA42*'Indirect NH3 demand sources'!AA$3</f>
        <v>5.1489097997090338E-2</v>
      </c>
      <c r="AB42">
        <f>'Export shares'!AB42*'Indirect NH3 demand sources'!AB$3</f>
        <v>6.0302897170101698E-2</v>
      </c>
      <c r="AC42">
        <f>'Export shares'!AC42*'Indirect NH3 demand sources'!AC$3</f>
        <v>6.8982824021098496E-2</v>
      </c>
      <c r="AD42">
        <f>'Export shares'!AD42*'Indirect NH3 demand sources'!AD$3</f>
        <v>7.7533092201271969E-2</v>
      </c>
      <c r="AE42">
        <f>'Export shares'!AE42*'Indirect NH3 demand sources'!AE$3</f>
        <v>8.5937405530979324E-2</v>
      </c>
      <c r="AF42">
        <f>'Export shares'!AF42*'Indirect NH3 demand sources'!AF$3</f>
        <v>9.4250621051348502E-2</v>
      </c>
      <c r="AG42">
        <f>'Export shares'!AG42*'Indirect NH3 demand sources'!AG$3</f>
        <v>0.11634176252628838</v>
      </c>
      <c r="AH42">
        <f>'Export shares'!AH42*'Indirect NH3 demand sources'!AH$3</f>
        <v>0.13812299250177545</v>
      </c>
      <c r="AI42">
        <f>'Export shares'!AI42*'Indirect NH3 demand sources'!AI$3</f>
        <v>0.15959589892710541</v>
      </c>
      <c r="AJ42">
        <f>'Export shares'!AJ42*'Indirect NH3 demand sources'!AJ$3</f>
        <v>0.18072572869869577</v>
      </c>
      <c r="AK42">
        <f>'Export shares'!AK42*'Indirect NH3 demand sources'!AK$3</f>
        <v>0.2015387140684895</v>
      </c>
      <c r="AL42">
        <f>'Export shares'!AL42*'Indirect NH3 demand sources'!AL$3</f>
        <v>0.22204664593375703</v>
      </c>
      <c r="AM42">
        <f>'Export shares'!AM42*'Indirect NH3 demand sources'!AM$3</f>
        <v>0.24215425037218885</v>
      </c>
      <c r="AN42">
        <f>'Export shares'!AN42*'Indirect NH3 demand sources'!AN$3</f>
        <v>0.26202895743016796</v>
      </c>
      <c r="AO42">
        <f>'Export shares'!AO42*'Indirect NH3 demand sources'!AO$3</f>
        <v>0.28159365307052298</v>
      </c>
      <c r="AP42">
        <f>'Export shares'!AP42*'Indirect NH3 demand sources'!AP$3</f>
        <v>0.30084692715611483</v>
      </c>
    </row>
    <row r="43" spans="1:42" x14ac:dyDescent="0.3">
      <c r="A43" t="s">
        <v>42</v>
      </c>
      <c r="B43">
        <f>'Export shares'!B43*'Indirect NH3 demand sources'!B$3</f>
        <v>0</v>
      </c>
      <c r="C43">
        <f>'Export shares'!C43*'Indirect NH3 demand sources'!C$3</f>
        <v>0</v>
      </c>
      <c r="D43">
        <f>'Export shares'!D43*'Indirect NH3 demand sources'!D$3</f>
        <v>0</v>
      </c>
      <c r="E43">
        <f>'Export shares'!E43*'Indirect NH3 demand sources'!E$3</f>
        <v>0</v>
      </c>
      <c r="F43">
        <f>'Export shares'!F43*'Indirect NH3 demand sources'!F$3</f>
        <v>0</v>
      </c>
      <c r="G43">
        <f>'Export shares'!G43*'Indirect NH3 demand sources'!G$3</f>
        <v>0</v>
      </c>
      <c r="H43">
        <f>'Export shares'!H43*'Indirect NH3 demand sources'!H$3</f>
        <v>0</v>
      </c>
      <c r="I43">
        <f>'Export shares'!I43*'Indirect NH3 demand sources'!I$3</f>
        <v>0</v>
      </c>
      <c r="J43">
        <f>'Export shares'!J43*'Indirect NH3 demand sources'!J$3</f>
        <v>0</v>
      </c>
      <c r="K43">
        <f>'Export shares'!K43*'Indirect NH3 demand sources'!K$3</f>
        <v>0</v>
      </c>
      <c r="L43">
        <f>'Export shares'!L43*'Indirect NH3 demand sources'!L$3</f>
        <v>0</v>
      </c>
      <c r="M43">
        <f>'Export shares'!M43*'Indirect NH3 demand sources'!M$3</f>
        <v>0</v>
      </c>
      <c r="N43">
        <f>'Export shares'!N43*'Indirect NH3 demand sources'!N$3</f>
        <v>0</v>
      </c>
      <c r="O43">
        <f>'Export shares'!O43*'Indirect NH3 demand sources'!O$3</f>
        <v>0</v>
      </c>
      <c r="P43">
        <f>'Export shares'!P43*'Indirect NH3 demand sources'!P$3</f>
        <v>0</v>
      </c>
      <c r="Q43">
        <f>'Export shares'!Q43*'Indirect NH3 demand sources'!Q$3</f>
        <v>0</v>
      </c>
      <c r="R43">
        <f>'Export shares'!R43*'Indirect NH3 demand sources'!R$3</f>
        <v>7.3561606082308495E-2</v>
      </c>
      <c r="S43">
        <f>'Export shares'!S43*'Indirect NH3 demand sources'!S$3</f>
        <v>0.14980460581388316</v>
      </c>
      <c r="T43">
        <f>'Export shares'!T43*'Indirect NH3 demand sources'!T$3</f>
        <v>0.22723616711113348</v>
      </c>
      <c r="U43">
        <f>'Export shares'!U43*'Indirect NH3 demand sources'!U$3</f>
        <v>0.30739455163463558</v>
      </c>
      <c r="V43">
        <f>'Export shares'!V43*'Indirect NH3 demand sources'!V$3</f>
        <v>0.38070795860930473</v>
      </c>
      <c r="W43">
        <f>'Export shares'!W43*'Indirect NH3 demand sources'!W$3</f>
        <v>1.0180580868113007</v>
      </c>
      <c r="X43">
        <f>'Export shares'!X43*'Indirect NH3 demand sources'!X$3</f>
        <v>1.6591712325984906</v>
      </c>
      <c r="Y43">
        <f>'Export shares'!Y43*'Indirect NH3 demand sources'!Y$3</f>
        <v>2.3038005858566524</v>
      </c>
      <c r="Z43">
        <f>'Export shares'!Z43*'Indirect NH3 demand sources'!Z$3</f>
        <v>2.9513545211264276</v>
      </c>
      <c r="AA43">
        <f>'Export shares'!AA43*'Indirect NH3 demand sources'!AA$3</f>
        <v>3.6017927996625869</v>
      </c>
      <c r="AB43">
        <f>'Export shares'!AB43*'Indirect NH3 demand sources'!AB$3</f>
        <v>4.2545674980117463</v>
      </c>
      <c r="AC43">
        <f>'Export shares'!AC43*'Indirect NH3 demand sources'!AC$3</f>
        <v>4.9091394684103244</v>
      </c>
      <c r="AD43">
        <f>'Export shares'!AD43*'Indirect NH3 demand sources'!AD$3</f>
        <v>5.5655345931098665</v>
      </c>
      <c r="AE43">
        <f>'Export shares'!AE43*'Indirect NH3 demand sources'!AE$3</f>
        <v>6.2230170832024374</v>
      </c>
      <c r="AF43">
        <f>'Export shares'!AF43*'Indirect NH3 demand sources'!AF$3</f>
        <v>6.882003789774223</v>
      </c>
      <c r="AG43">
        <f>'Export shares'!AG43*'Indirect NH3 demand sources'!AG$3</f>
        <v>8.5704110635488817</v>
      </c>
      <c r="AH43">
        <f>'Export shares'!AH43*'Indirect NH3 demand sources'!AH$3</f>
        <v>10.26250610888834</v>
      </c>
      <c r="AI43">
        <f>'Export shares'!AI43*'Indirect NH3 demand sources'!AI$3</f>
        <v>11.960049364172333</v>
      </c>
      <c r="AJ43">
        <f>'Export shares'!AJ43*'Indirect NH3 demand sources'!AJ$3</f>
        <v>13.664420637116752</v>
      </c>
      <c r="AK43">
        <f>'Export shares'!AK43*'Indirect NH3 demand sources'!AK$3</f>
        <v>15.373641986467812</v>
      </c>
      <c r="AL43">
        <f>'Export shares'!AL43*'Indirect NH3 demand sources'!AL$3</f>
        <v>17.088518588052185</v>
      </c>
      <c r="AM43">
        <f>'Export shares'!AM43*'Indirect NH3 demand sources'!AM$3</f>
        <v>18.808634516987855</v>
      </c>
      <c r="AN43">
        <f>'Export shares'!AN43*'Indirect NH3 demand sources'!AN$3</f>
        <v>20.53334906382355</v>
      </c>
      <c r="AO43">
        <f>'Export shares'!AO43*'Indirect NH3 demand sources'!AO$3</f>
        <v>22.262668917254398</v>
      </c>
      <c r="AP43">
        <f>'Export shares'!AP43*'Indirect NH3 demand sources'!AP$3</f>
        <v>23.996317296817889</v>
      </c>
    </row>
    <row r="44" spans="1:42" x14ac:dyDescent="0.3">
      <c r="A44" t="s">
        <v>43</v>
      </c>
      <c r="B44">
        <f>'Export shares'!B44*'Indirect NH3 demand sources'!B$3</f>
        <v>0</v>
      </c>
      <c r="C44">
        <f>'Export shares'!C44*'Indirect NH3 demand sources'!C$3</f>
        <v>0</v>
      </c>
      <c r="D44">
        <f>'Export shares'!D44*'Indirect NH3 demand sources'!D$3</f>
        <v>0</v>
      </c>
      <c r="E44">
        <f>'Export shares'!E44*'Indirect NH3 demand sources'!E$3</f>
        <v>0</v>
      </c>
      <c r="F44">
        <f>'Export shares'!F44*'Indirect NH3 demand sources'!F$3</f>
        <v>0</v>
      </c>
      <c r="G44">
        <f>'Export shares'!G44*'Indirect NH3 demand sources'!G$3</f>
        <v>0</v>
      </c>
      <c r="H44">
        <f>'Export shares'!H44*'Indirect NH3 demand sources'!H$3</f>
        <v>0</v>
      </c>
      <c r="I44">
        <f>'Export shares'!I44*'Indirect NH3 demand sources'!I$3</f>
        <v>0</v>
      </c>
      <c r="J44">
        <f>'Export shares'!J44*'Indirect NH3 demand sources'!J$3</f>
        <v>0</v>
      </c>
      <c r="K44">
        <f>'Export shares'!K44*'Indirect NH3 demand sources'!K$3</f>
        <v>0</v>
      </c>
      <c r="L44">
        <f>'Export shares'!L44*'Indirect NH3 demand sources'!L$3</f>
        <v>0</v>
      </c>
      <c r="M44">
        <f>'Export shares'!M44*'Indirect NH3 demand sources'!M$3</f>
        <v>0</v>
      </c>
      <c r="N44">
        <f>'Export shares'!N44*'Indirect NH3 demand sources'!N$3</f>
        <v>0</v>
      </c>
      <c r="O44">
        <f>'Export shares'!O44*'Indirect NH3 demand sources'!O$3</f>
        <v>0</v>
      </c>
      <c r="P44">
        <f>'Export shares'!P44*'Indirect NH3 demand sources'!P$3</f>
        <v>0</v>
      </c>
      <c r="Q44">
        <f>'Export shares'!Q44*'Indirect NH3 demand sources'!Q$3</f>
        <v>0</v>
      </c>
      <c r="R44">
        <f>'Export shares'!R44*'Indirect NH3 demand sources'!R$3</f>
        <v>2.0393237966534916E-2</v>
      </c>
      <c r="S44">
        <f>'Export shares'!S44*'Indirect NH3 demand sources'!S$3</f>
        <v>4.1999828246858863E-2</v>
      </c>
      <c r="T44">
        <f>'Export shares'!T44*'Indirect NH3 demand sources'!T$3</f>
        <v>6.5787000693703454E-2</v>
      </c>
      <c r="U44">
        <f>'Export shares'!U44*'Indirect NH3 demand sources'!U$3</f>
        <v>9.1065067277938783E-2</v>
      </c>
      <c r="V44">
        <f>'Export shares'!V44*'Indirect NH3 demand sources'!V$3</f>
        <v>0.11355263520121169</v>
      </c>
      <c r="W44">
        <f>'Export shares'!W44*'Indirect NH3 demand sources'!W$3</f>
        <v>0.30823581214685331</v>
      </c>
      <c r="X44">
        <f>'Export shares'!X44*'Indirect NH3 demand sources'!X$3</f>
        <v>0.50985680382988963</v>
      </c>
      <c r="Y44">
        <f>'Export shares'!Y44*'Indirect NH3 demand sources'!Y$3</f>
        <v>0.71864833838407671</v>
      </c>
      <c r="Z44">
        <f>'Export shares'!Z44*'Indirect NH3 demand sources'!Z$3</f>
        <v>0.93465552442781452</v>
      </c>
      <c r="AA44">
        <f>'Export shares'!AA44*'Indirect NH3 demand sources'!AA$3</f>
        <v>1.157979664108663</v>
      </c>
      <c r="AB44">
        <f>'Export shares'!AB44*'Indirect NH3 demand sources'!AB$3</f>
        <v>1.388803094301404</v>
      </c>
      <c r="AC44">
        <f>'Export shares'!AC44*'Indirect NH3 demand sources'!AC$3</f>
        <v>1.627030505511829</v>
      </c>
      <c r="AD44">
        <f>'Export shares'!AD44*'Indirect NH3 demand sources'!AD$3</f>
        <v>1.8729252774782508</v>
      </c>
      <c r="AE44">
        <f>'Export shares'!AE44*'Indirect NH3 demand sources'!AE$3</f>
        <v>2.1265247157131268</v>
      </c>
      <c r="AF44">
        <f>'Export shares'!AF44*'Indirect NH3 demand sources'!AF$3</f>
        <v>2.3881114757167117</v>
      </c>
      <c r="AG44">
        <f>'Export shares'!AG44*'Indirect NH3 demand sources'!AG$3</f>
        <v>3.0199513464282921</v>
      </c>
      <c r="AH44">
        <f>'Export shares'!AH44*'Indirect NH3 demand sources'!AH$3</f>
        <v>3.6744220270086956</v>
      </c>
      <c r="AI44">
        <f>'Export shares'!AI44*'Indirect NH3 demand sources'!AI$3</f>
        <v>4.3501311842535131</v>
      </c>
      <c r="AJ44">
        <f>'Export shares'!AJ44*'Indirect NH3 demand sources'!AJ$3</f>
        <v>5.0470112489751893</v>
      </c>
      <c r="AK44">
        <f>'Export shares'!AK44*'Indirect NH3 demand sources'!AK$3</f>
        <v>5.7663406880374417</v>
      </c>
      <c r="AL44">
        <f>'Export shares'!AL44*'Indirect NH3 demand sources'!AL$3</f>
        <v>6.5092980695909315</v>
      </c>
      <c r="AM44">
        <f>'Export shares'!AM44*'Indirect NH3 demand sources'!AM$3</f>
        <v>7.275741291004965</v>
      </c>
      <c r="AN44">
        <f>'Export shares'!AN44*'Indirect NH3 demand sources'!AN$3</f>
        <v>8.0664691303370475</v>
      </c>
      <c r="AO44">
        <f>'Export shares'!AO44*'Indirect NH3 demand sources'!AO$3</f>
        <v>8.882100120789179</v>
      </c>
      <c r="AP44">
        <f>'Export shares'!AP44*'Indirect NH3 demand sources'!AP$3</f>
        <v>9.723294421295229</v>
      </c>
    </row>
    <row r="45" spans="1:42" x14ac:dyDescent="0.3">
      <c r="A45" t="s">
        <v>44</v>
      </c>
      <c r="B45">
        <f>'Export shares'!B45*'Indirect NH3 demand sources'!B$3</f>
        <v>0</v>
      </c>
      <c r="C45">
        <f>'Export shares'!C45*'Indirect NH3 demand sources'!C$3</f>
        <v>0</v>
      </c>
      <c r="D45">
        <f>'Export shares'!D45*'Indirect NH3 demand sources'!D$3</f>
        <v>0</v>
      </c>
      <c r="E45">
        <f>'Export shares'!E45*'Indirect NH3 demand sources'!E$3</f>
        <v>0</v>
      </c>
      <c r="F45">
        <f>'Export shares'!F45*'Indirect NH3 demand sources'!F$3</f>
        <v>0</v>
      </c>
      <c r="G45">
        <f>'Export shares'!G45*'Indirect NH3 demand sources'!G$3</f>
        <v>0</v>
      </c>
      <c r="H45">
        <f>'Export shares'!H45*'Indirect NH3 demand sources'!H$3</f>
        <v>0</v>
      </c>
      <c r="I45">
        <f>'Export shares'!I45*'Indirect NH3 demand sources'!I$3</f>
        <v>0</v>
      </c>
      <c r="J45">
        <f>'Export shares'!J45*'Indirect NH3 demand sources'!J$3</f>
        <v>0</v>
      </c>
      <c r="K45">
        <f>'Export shares'!K45*'Indirect NH3 demand sources'!K$3</f>
        <v>0</v>
      </c>
      <c r="L45">
        <f>'Export shares'!L45*'Indirect NH3 demand sources'!L$3</f>
        <v>0</v>
      </c>
      <c r="M45">
        <f>'Export shares'!M45*'Indirect NH3 demand sources'!M$3</f>
        <v>0</v>
      </c>
      <c r="N45">
        <f>'Export shares'!N45*'Indirect NH3 demand sources'!N$3</f>
        <v>0</v>
      </c>
      <c r="O45">
        <f>'Export shares'!O45*'Indirect NH3 demand sources'!O$3</f>
        <v>0</v>
      </c>
      <c r="P45">
        <f>'Export shares'!P45*'Indirect NH3 demand sources'!P$3</f>
        <v>0</v>
      </c>
      <c r="Q45">
        <f>'Export shares'!Q45*'Indirect NH3 demand sources'!Q$3</f>
        <v>0</v>
      </c>
      <c r="R45">
        <f>'Export shares'!R45*'Indirect NH3 demand sources'!R$3</f>
        <v>1.1598154439159283E-2</v>
      </c>
      <c r="S45">
        <f>'Export shares'!S45*'Indirect NH3 demand sources'!S$3</f>
        <v>2.3034385518923967E-2</v>
      </c>
      <c r="T45">
        <f>'Export shares'!T45*'Indirect NH3 demand sources'!T$3</f>
        <v>3.3987819303808391E-2</v>
      </c>
      <c r="U45">
        <f>'Export shares'!U45*'Indirect NH3 demand sources'!U$3</f>
        <v>4.4789673004049908E-2</v>
      </c>
      <c r="V45">
        <f>'Export shares'!V45*'Indirect NH3 demand sources'!V$3</f>
        <v>5.6057089538185126E-2</v>
      </c>
      <c r="W45">
        <f>'Export shares'!W45*'Indirect NH3 demand sources'!W$3</f>
        <v>0.14872658865413144</v>
      </c>
      <c r="X45">
        <f>'Export shares'!X45*'Indirect NH3 demand sources'!X$3</f>
        <v>0.24046841881085987</v>
      </c>
      <c r="Y45">
        <f>'Export shares'!Y45*'Indirect NH3 demand sources'!Y$3</f>
        <v>0.33126030717650912</v>
      </c>
      <c r="Z45">
        <f>'Export shares'!Z45*'Indirect NH3 demand sources'!Z$3</f>
        <v>0.42102821184424077</v>
      </c>
      <c r="AA45">
        <f>'Export shares'!AA45*'Indirect NH3 demand sources'!AA$3</f>
        <v>0.50972573916216224</v>
      </c>
      <c r="AB45">
        <f>'Export shares'!AB45*'Indirect NH3 demand sources'!AB$3</f>
        <v>0.5973597952446964</v>
      </c>
      <c r="AC45">
        <f>'Export shares'!AC45*'Indirect NH3 demand sources'!AC$3</f>
        <v>0.68382153697564585</v>
      </c>
      <c r="AD45">
        <f>'Export shares'!AD45*'Indirect NH3 demand sources'!AD$3</f>
        <v>0.76906942935460587</v>
      </c>
      <c r="AE45">
        <f>'Export shares'!AE45*'Indirect NH3 demand sources'!AE$3</f>
        <v>0.85311472503592745</v>
      </c>
      <c r="AF45">
        <f>'Export shares'!AF45*'Indirect NH3 demand sources'!AF$3</f>
        <v>0.93594384305300538</v>
      </c>
      <c r="AG45">
        <f>'Export shares'!AG45*'Indirect NH3 demand sources'!AG$3</f>
        <v>1.156284804533118</v>
      </c>
      <c r="AH45">
        <f>'Export shares'!AH45*'Indirect NH3 demand sources'!AH$3</f>
        <v>1.3737224134621449</v>
      </c>
      <c r="AI45">
        <f>'Export shares'!AI45*'Indirect NH3 demand sources'!AI$3</f>
        <v>1.5883845110482653</v>
      </c>
      <c r="AJ45">
        <f>'Export shares'!AJ45*'Indirect NH3 demand sources'!AJ$3</f>
        <v>1.800045985684827</v>
      </c>
      <c r="AK45">
        <f>'Export shares'!AK45*'Indirect NH3 demand sources'!AK$3</f>
        <v>2.0091329354018792</v>
      </c>
      <c r="AL45">
        <f>'Export shares'!AL45*'Indirect NH3 demand sources'!AL$3</f>
        <v>2.2154516672337197</v>
      </c>
      <c r="AM45">
        <f>'Export shares'!AM45*'Indirect NH3 demand sources'!AM$3</f>
        <v>2.4189020250440447</v>
      </c>
      <c r="AN45">
        <f>'Export shares'!AN45*'Indirect NH3 demand sources'!AN$3</f>
        <v>2.6195143471601727</v>
      </c>
      <c r="AO45">
        <f>'Export shares'!AO45*'Indirect NH3 demand sources'!AO$3</f>
        <v>2.8175496058682672</v>
      </c>
      <c r="AP45">
        <f>'Export shares'!AP45*'Indirect NH3 demand sources'!AP$3</f>
        <v>3.0130687923207256</v>
      </c>
    </row>
    <row r="46" spans="1:42" x14ac:dyDescent="0.3">
      <c r="A46" t="s">
        <v>45</v>
      </c>
      <c r="B46">
        <f>'Export shares'!B46*'Indirect NH3 demand sources'!B$3</f>
        <v>0</v>
      </c>
      <c r="C46">
        <f>'Export shares'!C46*'Indirect NH3 demand sources'!C$3</f>
        <v>0</v>
      </c>
      <c r="D46">
        <f>'Export shares'!D46*'Indirect NH3 demand sources'!D$3</f>
        <v>0</v>
      </c>
      <c r="E46">
        <f>'Export shares'!E46*'Indirect NH3 demand sources'!E$3</f>
        <v>0</v>
      </c>
      <c r="F46">
        <f>'Export shares'!F46*'Indirect NH3 demand sources'!F$3</f>
        <v>0</v>
      </c>
      <c r="G46">
        <f>'Export shares'!G46*'Indirect NH3 demand sources'!G$3</f>
        <v>0</v>
      </c>
      <c r="H46">
        <f>'Export shares'!H46*'Indirect NH3 demand sources'!H$3</f>
        <v>0</v>
      </c>
      <c r="I46">
        <f>'Export shares'!I46*'Indirect NH3 demand sources'!I$3</f>
        <v>0</v>
      </c>
      <c r="J46">
        <f>'Export shares'!J46*'Indirect NH3 demand sources'!J$3</f>
        <v>0</v>
      </c>
      <c r="K46">
        <f>'Export shares'!K46*'Indirect NH3 demand sources'!K$3</f>
        <v>0</v>
      </c>
      <c r="L46">
        <f>'Export shares'!L46*'Indirect NH3 demand sources'!L$3</f>
        <v>0</v>
      </c>
      <c r="M46">
        <f>'Export shares'!M46*'Indirect NH3 demand sources'!M$3</f>
        <v>0</v>
      </c>
      <c r="N46">
        <f>'Export shares'!N46*'Indirect NH3 demand sources'!N$3</f>
        <v>0</v>
      </c>
      <c r="O46">
        <f>'Export shares'!O46*'Indirect NH3 demand sources'!O$3</f>
        <v>0</v>
      </c>
      <c r="P46">
        <f>'Export shares'!P46*'Indirect NH3 demand sources'!P$3</f>
        <v>0</v>
      </c>
      <c r="Q46">
        <f>'Export shares'!Q46*'Indirect NH3 demand sources'!Q$3</f>
        <v>0</v>
      </c>
      <c r="R46">
        <f>'Export shares'!R46*'Indirect NH3 demand sources'!R$3</f>
        <v>8.2428306770546134E-3</v>
      </c>
      <c r="S46">
        <f>'Export shares'!S46*'Indirect NH3 demand sources'!S$3</f>
        <v>1.6365233560981025E-2</v>
      </c>
      <c r="T46">
        <f>'Export shares'!T46*'Indirect NH3 demand sources'!T$3</f>
        <v>2.4080391808559944E-2</v>
      </c>
      <c r="U46">
        <f>'Export shares'!U46*'Indirect NH3 demand sources'!U$3</f>
        <v>3.1679458345012818E-2</v>
      </c>
      <c r="V46">
        <f>'Export shares'!V46*'Indirect NH3 demand sources'!V$3</f>
        <v>4.0124577231716134E-2</v>
      </c>
      <c r="W46">
        <f>'Export shares'!W46*'Indirect NH3 demand sources'!W$3</f>
        <v>0.10699364806122687</v>
      </c>
      <c r="X46">
        <f>'Export shares'!X46*'Indirect NH3 demand sources'!X$3</f>
        <v>0.17387367812759741</v>
      </c>
      <c r="Y46">
        <f>'Export shares'!Y46*'Indirect NH3 demand sources'!Y$3</f>
        <v>0.24072583499848924</v>
      </c>
      <c r="Z46">
        <f>'Export shares'!Z46*'Indirect NH3 demand sources'!Z$3</f>
        <v>0.30751185744599047</v>
      </c>
      <c r="AA46">
        <f>'Export shares'!AA46*'Indirect NH3 demand sources'!AA$3</f>
        <v>0.37416050407746637</v>
      </c>
      <c r="AB46">
        <f>'Export shares'!AB46*'Indirect NH3 demand sources'!AB$3</f>
        <v>0.4402563892195378</v>
      </c>
      <c r="AC46">
        <f>'Export shares'!AC46*'Indirect NH3 demand sources'!AC$3</f>
        <v>0.50648410140018962</v>
      </c>
      <c r="AD46">
        <f>'Export shares'!AD46*'Indirect NH3 demand sources'!AD$3</f>
        <v>0.57252350683143427</v>
      </c>
      <c r="AE46">
        <f>'Export shares'!AE46*'Indirect NH3 demand sources'!AE$3</f>
        <v>0.63831860230311388</v>
      </c>
      <c r="AF46">
        <f>'Export shares'!AF46*'Indirect NH3 demand sources'!AF$3</f>
        <v>0.70380621558094925</v>
      </c>
      <c r="AG46">
        <f>'Export shares'!AG46*'Indirect NH3 demand sources'!AG$3</f>
        <v>0.87388347065830974</v>
      </c>
      <c r="AH46">
        <f>'Export shares'!AH46*'Indirect NH3 demand sources'!AH$3</f>
        <v>1.0435062246946334</v>
      </c>
      <c r="AI46">
        <f>'Export shares'!AI46*'Indirect NH3 demand sources'!AI$3</f>
        <v>1.2126556305288083</v>
      </c>
      <c r="AJ46">
        <f>'Export shares'!AJ46*'Indirect NH3 demand sources'!AJ$3</f>
        <v>1.3812603457794468</v>
      </c>
      <c r="AK46">
        <f>'Export shares'!AK46*'Indirect NH3 demand sources'!AK$3</f>
        <v>1.5494368233974938</v>
      </c>
      <c r="AL46">
        <f>'Export shares'!AL46*'Indirect NH3 demand sources'!AL$3</f>
        <v>1.7172342418344355</v>
      </c>
      <c r="AM46">
        <f>'Export shares'!AM46*'Indirect NH3 demand sources'!AM$3</f>
        <v>1.8844634158373117</v>
      </c>
      <c r="AN46">
        <f>'Export shares'!AN46*'Indirect NH3 demand sources'!AN$3</f>
        <v>2.0511723410023652</v>
      </c>
      <c r="AO46">
        <f>'Export shares'!AO46*'Indirect NH3 demand sources'!AO$3</f>
        <v>2.217472927270983</v>
      </c>
      <c r="AP46">
        <f>'Export shares'!AP46*'Indirect NH3 demand sources'!AP$3</f>
        <v>2.3832016132623042</v>
      </c>
    </row>
    <row r="47" spans="1:42" x14ac:dyDescent="0.3">
      <c r="A47" t="s">
        <v>46</v>
      </c>
      <c r="B47">
        <f>'Export shares'!B47*'Indirect NH3 demand sources'!B$3</f>
        <v>0</v>
      </c>
      <c r="C47">
        <f>'Export shares'!C47*'Indirect NH3 demand sources'!C$3</f>
        <v>0</v>
      </c>
      <c r="D47">
        <f>'Export shares'!D47*'Indirect NH3 demand sources'!D$3</f>
        <v>0</v>
      </c>
      <c r="E47">
        <f>'Export shares'!E47*'Indirect NH3 demand sources'!E$3</f>
        <v>0</v>
      </c>
      <c r="F47">
        <f>'Export shares'!F47*'Indirect NH3 demand sources'!F$3</f>
        <v>0</v>
      </c>
      <c r="G47">
        <f>'Export shares'!G47*'Indirect NH3 demand sources'!G$3</f>
        <v>0</v>
      </c>
      <c r="H47">
        <f>'Export shares'!H47*'Indirect NH3 demand sources'!H$3</f>
        <v>0</v>
      </c>
      <c r="I47">
        <f>'Export shares'!I47*'Indirect NH3 demand sources'!I$3</f>
        <v>0</v>
      </c>
      <c r="J47">
        <f>'Export shares'!J47*'Indirect NH3 demand sources'!J$3</f>
        <v>0</v>
      </c>
      <c r="K47">
        <f>'Export shares'!K47*'Indirect NH3 demand sources'!K$3</f>
        <v>0</v>
      </c>
      <c r="L47">
        <f>'Export shares'!L47*'Indirect NH3 demand sources'!L$3</f>
        <v>0</v>
      </c>
      <c r="M47">
        <f>'Export shares'!M47*'Indirect NH3 demand sources'!M$3</f>
        <v>0</v>
      </c>
      <c r="N47">
        <f>'Export shares'!N47*'Indirect NH3 demand sources'!N$3</f>
        <v>0</v>
      </c>
      <c r="O47">
        <f>'Export shares'!O47*'Indirect NH3 demand sources'!O$3</f>
        <v>0</v>
      </c>
      <c r="P47">
        <f>'Export shares'!P47*'Indirect NH3 demand sources'!P$3</f>
        <v>0</v>
      </c>
      <c r="Q47">
        <f>'Export shares'!Q47*'Indirect NH3 demand sources'!Q$3</f>
        <v>0</v>
      </c>
      <c r="R47">
        <f>'Export shares'!R47*'Indirect NH3 demand sources'!R$3</f>
        <v>1.9408499973445758E-3</v>
      </c>
      <c r="S47">
        <f>'Export shares'!S47*'Indirect NH3 demand sources'!S$3</f>
        <v>3.85287929889788E-3</v>
      </c>
      <c r="T47">
        <f>'Export shares'!T47*'Indirect NH3 demand sources'!T$3</f>
        <v>5.796105699513044E-3</v>
      </c>
      <c r="U47">
        <f>'Export shares'!U47*'Indirect NH3 demand sources'!U$3</f>
        <v>7.7103283341274781E-3</v>
      </c>
      <c r="V47">
        <f>'Export shares'!V47*'Indirect NH3 demand sources'!V$3</f>
        <v>9.6206568897027559E-3</v>
      </c>
      <c r="W47">
        <f>'Export shares'!W47*'Indirect NH3 demand sources'!W$3</f>
        <v>2.5601546087678118E-2</v>
      </c>
      <c r="X47">
        <f>'Export shares'!X47*'Indirect NH3 demand sources'!X$3</f>
        <v>4.1524825107413003E-2</v>
      </c>
      <c r="Y47">
        <f>'Export shares'!Y47*'Indirect NH3 demand sources'!Y$3</f>
        <v>5.7378134925624512E-2</v>
      </c>
      <c r="Z47">
        <f>'Export shares'!Z47*'Indirect NH3 demand sources'!Z$3</f>
        <v>7.315527253565357E-2</v>
      </c>
      <c r="AA47">
        <f>'Export shares'!AA47*'Indirect NH3 demand sources'!AA$3</f>
        <v>8.8844948410401955E-2</v>
      </c>
      <c r="AB47">
        <f>'Export shares'!AB47*'Indirect NH3 demand sources'!AB$3</f>
        <v>0.10444566112545395</v>
      </c>
      <c r="AC47">
        <f>'Export shares'!AC47*'Indirect NH3 demand sources'!AC$3</f>
        <v>0.11994354321510359</v>
      </c>
      <c r="AD47">
        <f>'Export shares'!AD47*'Indirect NH3 demand sources'!AD$3</f>
        <v>0.13533022571760323</v>
      </c>
      <c r="AE47">
        <f>'Export shares'!AE47*'Indirect NH3 demand sources'!AE$3</f>
        <v>0.15059480360661273</v>
      </c>
      <c r="AF47">
        <f>'Export shares'!AF47*'Indirect NH3 demand sources'!AF$3</f>
        <v>0.16573734813522181</v>
      </c>
      <c r="AG47">
        <f>'Export shares'!AG47*'Indirect NH3 demand sources'!AG$3</f>
        <v>0.20539929548401778</v>
      </c>
      <c r="AH47">
        <f>'Export shares'!AH47*'Indirect NH3 demand sources'!AH$3</f>
        <v>0.24481677716951472</v>
      </c>
      <c r="AI47">
        <f>'Export shares'!AI47*'Indirect NH3 demand sources'!AI$3</f>
        <v>0.28397883422107834</v>
      </c>
      <c r="AJ47">
        <f>'Export shares'!AJ47*'Indirect NH3 demand sources'!AJ$3</f>
        <v>0.32285786595296034</v>
      </c>
      <c r="AK47">
        <f>'Export shares'!AK47*'Indirect NH3 demand sources'!AK$3</f>
        <v>0.36151407343439018</v>
      </c>
      <c r="AL47">
        <f>'Export shares'!AL47*'Indirect NH3 demand sources'!AL$3</f>
        <v>0.39993414387737269</v>
      </c>
      <c r="AM47">
        <f>'Export shares'!AM47*'Indirect NH3 demand sources'!AM$3</f>
        <v>0.43806610696906689</v>
      </c>
      <c r="AN47">
        <f>'Export shares'!AN47*'Indirect NH3 demand sources'!AN$3</f>
        <v>0.47593993490518227</v>
      </c>
      <c r="AO47">
        <f>'Export shares'!AO47*'Indirect NH3 demand sources'!AO$3</f>
        <v>0.51356896621654913</v>
      </c>
      <c r="AP47">
        <f>'Export shares'!AP47*'Indirect NH3 demand sources'!AP$3</f>
        <v>0.55093185720981519</v>
      </c>
    </row>
    <row r="48" spans="1:42" x14ac:dyDescent="0.3">
      <c r="A48" t="s">
        <v>47</v>
      </c>
      <c r="B48">
        <f>'Export shares'!B48*'Indirect NH3 demand sources'!B$3</f>
        <v>0</v>
      </c>
      <c r="C48">
        <f>'Export shares'!C48*'Indirect NH3 demand sources'!C$3</f>
        <v>0</v>
      </c>
      <c r="D48">
        <f>'Export shares'!D48*'Indirect NH3 demand sources'!D$3</f>
        <v>0</v>
      </c>
      <c r="E48">
        <f>'Export shares'!E48*'Indirect NH3 demand sources'!E$3</f>
        <v>0</v>
      </c>
      <c r="F48">
        <f>'Export shares'!F48*'Indirect NH3 demand sources'!F$3</f>
        <v>0</v>
      </c>
      <c r="G48">
        <f>'Export shares'!G48*'Indirect NH3 demand sources'!G$3</f>
        <v>0</v>
      </c>
      <c r="H48">
        <f>'Export shares'!H48*'Indirect NH3 demand sources'!H$3</f>
        <v>0</v>
      </c>
      <c r="I48">
        <f>'Export shares'!I48*'Indirect NH3 demand sources'!I$3</f>
        <v>0</v>
      </c>
      <c r="J48">
        <f>'Export shares'!J48*'Indirect NH3 demand sources'!J$3</f>
        <v>0</v>
      </c>
      <c r="K48">
        <f>'Export shares'!K48*'Indirect NH3 demand sources'!K$3</f>
        <v>0</v>
      </c>
      <c r="L48">
        <f>'Export shares'!L48*'Indirect NH3 demand sources'!L$3</f>
        <v>0</v>
      </c>
      <c r="M48">
        <f>'Export shares'!M48*'Indirect NH3 demand sources'!M$3</f>
        <v>0</v>
      </c>
      <c r="N48">
        <f>'Export shares'!N48*'Indirect NH3 demand sources'!N$3</f>
        <v>0</v>
      </c>
      <c r="O48">
        <f>'Export shares'!O48*'Indirect NH3 demand sources'!O$3</f>
        <v>0</v>
      </c>
      <c r="P48">
        <f>'Export shares'!P48*'Indirect NH3 demand sources'!P$3</f>
        <v>0</v>
      </c>
      <c r="Q48">
        <f>'Export shares'!Q48*'Indirect NH3 demand sources'!Q$3</f>
        <v>0</v>
      </c>
      <c r="R48">
        <f>'Export shares'!R48*'Indirect NH3 demand sources'!R$3</f>
        <v>2.0868985022929982E-3</v>
      </c>
      <c r="S48">
        <f>'Export shares'!S48*'Indirect NH3 demand sources'!S$3</f>
        <v>4.1975273872449431E-3</v>
      </c>
      <c r="T48">
        <f>'Export shares'!T48*'Indirect NH3 demand sources'!T$3</f>
        <v>6.2311510149301438E-3</v>
      </c>
      <c r="U48">
        <f>'Export shares'!U48*'Indirect NH3 demand sources'!U$3</f>
        <v>8.2877453823302361E-3</v>
      </c>
      <c r="V48">
        <f>'Export shares'!V48*'Indirect NH3 demand sources'!V$3</f>
        <v>1.0340673039049352E-2</v>
      </c>
      <c r="W48">
        <f>'Export shares'!W48*'Indirect NH3 demand sources'!W$3</f>
        <v>2.752009812293639E-2</v>
      </c>
      <c r="X48">
        <f>'Export shares'!X48*'Indirect NH3 demand sources'!X$3</f>
        <v>4.4636280522115837E-2</v>
      </c>
      <c r="Y48">
        <f>'Export shares'!Y48*'Indirect NH3 demand sources'!Y$3</f>
        <v>6.167957322027548E-2</v>
      </c>
      <c r="Z48">
        <f>'Export shares'!Z48*'Indirect NH3 demand sources'!Z$3</f>
        <v>7.8634134763029648E-2</v>
      </c>
      <c r="AA48">
        <f>'Export shares'!AA48*'Indirect NH3 demand sources'!AA$3</f>
        <v>9.5499278969910839E-2</v>
      </c>
      <c r="AB48">
        <f>'Export shares'!AB48*'Indirect NH3 demand sources'!AB$3</f>
        <v>0.11226125650833932</v>
      </c>
      <c r="AC48">
        <f>'Export shares'!AC48*'Indirect NH3 demand sources'!AC$3</f>
        <v>0.12890459549371971</v>
      </c>
      <c r="AD48">
        <f>'Export shares'!AD48*'Indirect NH3 demand sources'!AD$3</f>
        <v>0.14543274975202489</v>
      </c>
      <c r="AE48">
        <f>'Export shares'!AE48*'Indirect NH3 demand sources'!AE$3</f>
        <v>0.16183629231236113</v>
      </c>
      <c r="AF48">
        <f>'Export shares'!AF48*'Indirect NH3 demand sources'!AF$3</f>
        <v>0.17811962551042471</v>
      </c>
      <c r="AG48">
        <f>'Export shares'!AG48*'Indirect NH3 demand sources'!AG$3</f>
        <v>0.22076769977456256</v>
      </c>
      <c r="AH48">
        <f>'Export shares'!AH48*'Indirect NH3 demand sources'!AH$3</f>
        <v>0.26313550368736283</v>
      </c>
      <c r="AI48">
        <f>'Export shares'!AI48*'Indirect NH3 demand sources'!AI$3</f>
        <v>0.30521797815649204</v>
      </c>
      <c r="AJ48">
        <f>'Export shares'!AJ48*'Indirect NH3 demand sources'!AJ$3</f>
        <v>0.34700090630739577</v>
      </c>
      <c r="AK48">
        <f>'Export shares'!AK48*'Indirect NH3 demand sources'!AK$3</f>
        <v>0.38851693221930866</v>
      </c>
      <c r="AL48">
        <f>'Export shares'!AL48*'Indirect NH3 demand sources'!AL$3</f>
        <v>0.42978672413360447</v>
      </c>
      <c r="AM48">
        <f>'Export shares'!AM48*'Indirect NH3 demand sources'!AM$3</f>
        <v>0.47078836482834818</v>
      </c>
      <c r="AN48">
        <f>'Export shares'!AN48*'Indirect NH3 demand sources'!AN$3</f>
        <v>0.51150955904849316</v>
      </c>
      <c r="AO48">
        <f>'Export shares'!AO48*'Indirect NH3 demand sources'!AO$3</f>
        <v>0.55157196130709918</v>
      </c>
      <c r="AP48">
        <f>'Export shares'!AP48*'Indirect NH3 demand sources'!AP$3</f>
        <v>0.59147181083038813</v>
      </c>
    </row>
    <row r="49" spans="1:42" x14ac:dyDescent="0.3">
      <c r="A49" t="s">
        <v>48</v>
      </c>
      <c r="B49">
        <f>'Export shares'!B49*'Indirect NH3 demand sources'!B$3</f>
        <v>0</v>
      </c>
      <c r="C49">
        <f>'Export shares'!C49*'Indirect NH3 demand sources'!C$3</f>
        <v>0</v>
      </c>
      <c r="D49">
        <f>'Export shares'!D49*'Indirect NH3 demand sources'!D$3</f>
        <v>0</v>
      </c>
      <c r="E49">
        <f>'Export shares'!E49*'Indirect NH3 demand sources'!E$3</f>
        <v>0</v>
      </c>
      <c r="F49">
        <f>'Export shares'!F49*'Indirect NH3 demand sources'!F$3</f>
        <v>0</v>
      </c>
      <c r="G49">
        <f>'Export shares'!G49*'Indirect NH3 demand sources'!G$3</f>
        <v>0</v>
      </c>
      <c r="H49">
        <f>'Export shares'!H49*'Indirect NH3 demand sources'!H$3</f>
        <v>0</v>
      </c>
      <c r="I49">
        <f>'Export shares'!I49*'Indirect NH3 demand sources'!I$3</f>
        <v>0</v>
      </c>
      <c r="J49">
        <f>'Export shares'!J49*'Indirect NH3 demand sources'!J$3</f>
        <v>0</v>
      </c>
      <c r="K49">
        <f>'Export shares'!K49*'Indirect NH3 demand sources'!K$3</f>
        <v>0</v>
      </c>
      <c r="L49">
        <f>'Export shares'!L49*'Indirect NH3 demand sources'!L$3</f>
        <v>0</v>
      </c>
      <c r="M49">
        <f>'Export shares'!M49*'Indirect NH3 demand sources'!M$3</f>
        <v>0</v>
      </c>
      <c r="N49">
        <f>'Export shares'!N49*'Indirect NH3 demand sources'!N$3</f>
        <v>0</v>
      </c>
      <c r="O49">
        <f>'Export shares'!O49*'Indirect NH3 demand sources'!O$3</f>
        <v>0</v>
      </c>
      <c r="P49">
        <f>'Export shares'!P49*'Indirect NH3 demand sources'!P$3</f>
        <v>0</v>
      </c>
      <c r="Q49">
        <f>'Export shares'!Q49*'Indirect NH3 demand sources'!Q$3</f>
        <v>0</v>
      </c>
      <c r="R49">
        <f>'Export shares'!R49*'Indirect NH3 demand sources'!R$3</f>
        <v>5.7043277130073775E-3</v>
      </c>
      <c r="S49">
        <f>'Export shares'!S49*'Indirect NH3 demand sources'!S$3</f>
        <v>1.1317537761589343E-2</v>
      </c>
      <c r="T49">
        <f>'Export shares'!T49*'Indirect NH3 demand sources'!T$3</f>
        <v>1.6932170245028442E-2</v>
      </c>
      <c r="U49">
        <f>'Export shares'!U49*'Indirect NH3 demand sources'!U$3</f>
        <v>2.2478994000698117E-2</v>
      </c>
      <c r="V49">
        <f>'Export shares'!V49*'Indirect NH3 demand sources'!V$3</f>
        <v>2.7980153722793309E-2</v>
      </c>
      <c r="W49">
        <f>'Export shares'!W49*'Indirect NH3 demand sources'!W$3</f>
        <v>7.4290068071128035E-2</v>
      </c>
      <c r="X49">
        <f>'Export shares'!X49*'Indirect NH3 demand sources'!X$3</f>
        <v>0.12020861872690054</v>
      </c>
      <c r="Y49">
        <f>'Export shares'!Y49*'Indirect NH3 demand sources'!Y$3</f>
        <v>0.16569082080904857</v>
      </c>
      <c r="Z49">
        <f>'Export shares'!Z49*'Indirect NH3 demand sources'!Z$3</f>
        <v>0.21070506045946263</v>
      </c>
      <c r="AA49">
        <f>'Export shares'!AA49*'Indirect NH3 demand sources'!AA$3</f>
        <v>0.25520229974707298</v>
      </c>
      <c r="AB49">
        <f>'Export shares'!AB49*'Indirect NH3 demand sources'!AB$3</f>
        <v>0.29916896606908222</v>
      </c>
      <c r="AC49">
        <f>'Export shares'!AC49*'Indirect NH3 demand sources'!AC$3</f>
        <v>0.34256898850344875</v>
      </c>
      <c r="AD49">
        <f>'Export shares'!AD49*'Indirect NH3 demand sources'!AD$3</f>
        <v>0.38539096471330581</v>
      </c>
      <c r="AE49">
        <f>'Export shares'!AE49*'Indirect NH3 demand sources'!AE$3</f>
        <v>0.42766368470583715</v>
      </c>
      <c r="AF49">
        <f>'Export shares'!AF49*'Indirect NH3 demand sources'!AF$3</f>
        <v>0.46934753982701294</v>
      </c>
      <c r="AG49">
        <f>'Export shares'!AG49*'Indirect NH3 demand sources'!AG$3</f>
        <v>0.58009236278298792</v>
      </c>
      <c r="AH49">
        <f>'Export shares'!AH49*'Indirect NH3 demand sources'!AH$3</f>
        <v>0.68945236052141046</v>
      </c>
      <c r="AI49">
        <f>'Export shares'!AI49*'Indirect NH3 demand sources'!AI$3</f>
        <v>0.79757145204332236</v>
      </c>
      <c r="AJ49">
        <f>'Export shares'!AJ49*'Indirect NH3 demand sources'!AJ$3</f>
        <v>0.90466811316179063</v>
      </c>
      <c r="AK49">
        <f>'Export shares'!AK49*'Indirect NH3 demand sources'!AK$3</f>
        <v>1.0105332341303213</v>
      </c>
      <c r="AL49">
        <f>'Export shares'!AL49*'Indirect NH3 demand sources'!AL$3</f>
        <v>1.1153756278734026</v>
      </c>
      <c r="AM49">
        <f>'Export shares'!AM49*'Indirect NH3 demand sources'!AM$3</f>
        <v>1.2192661494072106</v>
      </c>
      <c r="AN49">
        <f>'Export shares'!AN49*'Indirect NH3 demand sources'!AN$3</f>
        <v>1.3223121003086287</v>
      </c>
      <c r="AO49">
        <f>'Export shares'!AO49*'Indirect NH3 demand sources'!AO$3</f>
        <v>1.4245819894421587</v>
      </c>
      <c r="AP49">
        <f>'Export shares'!AP49*'Indirect NH3 demand sources'!AP$3</f>
        <v>1.5261580969127369</v>
      </c>
    </row>
    <row r="50" spans="1:42" x14ac:dyDescent="0.3">
      <c r="A50" t="s">
        <v>49</v>
      </c>
      <c r="B50">
        <f>'Export shares'!B50*'Indirect NH3 demand sources'!B$3</f>
        <v>0</v>
      </c>
      <c r="C50">
        <f>'Export shares'!C50*'Indirect NH3 demand sources'!C$3</f>
        <v>0</v>
      </c>
      <c r="D50">
        <f>'Export shares'!D50*'Indirect NH3 demand sources'!D$3</f>
        <v>0</v>
      </c>
      <c r="E50">
        <f>'Export shares'!E50*'Indirect NH3 demand sources'!E$3</f>
        <v>0</v>
      </c>
      <c r="F50">
        <f>'Export shares'!F50*'Indirect NH3 demand sources'!F$3</f>
        <v>0</v>
      </c>
      <c r="G50">
        <f>'Export shares'!G50*'Indirect NH3 demand sources'!G$3</f>
        <v>0</v>
      </c>
      <c r="H50">
        <f>'Export shares'!H50*'Indirect NH3 demand sources'!H$3</f>
        <v>0</v>
      </c>
      <c r="I50">
        <f>'Export shares'!I50*'Indirect NH3 demand sources'!I$3</f>
        <v>0</v>
      </c>
      <c r="J50">
        <f>'Export shares'!J50*'Indirect NH3 demand sources'!J$3</f>
        <v>0</v>
      </c>
      <c r="K50">
        <f>'Export shares'!K50*'Indirect NH3 demand sources'!K$3</f>
        <v>0</v>
      </c>
      <c r="L50">
        <f>'Export shares'!L50*'Indirect NH3 demand sources'!L$3</f>
        <v>0</v>
      </c>
      <c r="M50">
        <f>'Export shares'!M50*'Indirect NH3 demand sources'!M$3</f>
        <v>0</v>
      </c>
      <c r="N50">
        <f>'Export shares'!N50*'Indirect NH3 demand sources'!N$3</f>
        <v>0</v>
      </c>
      <c r="O50">
        <f>'Export shares'!O50*'Indirect NH3 demand sources'!O$3</f>
        <v>0</v>
      </c>
      <c r="P50">
        <f>'Export shares'!P50*'Indirect NH3 demand sources'!P$3</f>
        <v>0</v>
      </c>
      <c r="Q50">
        <f>'Export shares'!Q50*'Indirect NH3 demand sources'!Q$3</f>
        <v>0</v>
      </c>
      <c r="R50">
        <f>'Export shares'!R50*'Indirect NH3 demand sources'!R$3</f>
        <v>2.2391356679028269E-2</v>
      </c>
      <c r="S50">
        <f>'Export shares'!S50*'Indirect NH3 demand sources'!S$3</f>
        <v>4.4521235249313583E-2</v>
      </c>
      <c r="T50">
        <f>'Export shares'!T50*'Indirect NH3 demand sources'!T$3</f>
        <v>7.1540732952461383E-2</v>
      </c>
      <c r="U50">
        <f>'Export shares'!U50*'Indirect NH3 demand sources'!U$3</f>
        <v>9.8115954553809615E-2</v>
      </c>
      <c r="V50">
        <f>'Export shares'!V50*'Indirect NH3 demand sources'!V$3</f>
        <v>0.12473893081400006</v>
      </c>
      <c r="W50">
        <f>'Export shares'!W50*'Indirect NH3 demand sources'!W$3</f>
        <v>0.33995829466273769</v>
      </c>
      <c r="X50">
        <f>'Export shares'!X50*'Indirect NH3 demand sources'!X$3</f>
        <v>0.5641596010926192</v>
      </c>
      <c r="Y50">
        <f>'Export shares'!Y50*'Indirect NH3 demand sources'!Y$3</f>
        <v>0.7969750764088126</v>
      </c>
      <c r="Z50">
        <f>'Export shares'!Z50*'Indirect NH3 demand sources'!Z$3</f>
        <v>1.0380488696479357</v>
      </c>
      <c r="AA50">
        <f>'Export shares'!AA50*'Indirect NH3 demand sources'!AA$3</f>
        <v>1.2869734231309795</v>
      </c>
      <c r="AB50">
        <f>'Export shares'!AB50*'Indirect NH3 demand sources'!AB$3</f>
        <v>1.5433490043044205</v>
      </c>
      <c r="AC50">
        <f>'Export shares'!AC50*'Indirect NH3 demand sources'!AC$3</f>
        <v>1.8066569152587684</v>
      </c>
      <c r="AD50">
        <f>'Export shares'!AD50*'Indirect NH3 demand sources'!AD$3</f>
        <v>2.0766554300088602</v>
      </c>
      <c r="AE50">
        <f>'Export shares'!AE50*'Indirect NH3 demand sources'!AE$3</f>
        <v>2.3528597326806273</v>
      </c>
      <c r="AF50">
        <f>'Export shares'!AF50*'Indirect NH3 demand sources'!AF$3</f>
        <v>2.6352656093999478</v>
      </c>
      <c r="AG50">
        <f>'Export shares'!AG50*'Indirect NH3 demand sources'!AG$3</f>
        <v>3.3217707544413737</v>
      </c>
      <c r="AH50">
        <f>'Export shares'!AH50*'Indirect NH3 demand sources'!AH$3</f>
        <v>4.0237065527738576</v>
      </c>
      <c r="AI50">
        <f>'Export shares'!AI50*'Indirect NH3 demand sources'!AI$3</f>
        <v>4.7415034167741759</v>
      </c>
      <c r="AJ50">
        <f>'Export shares'!AJ50*'Indirect NH3 demand sources'!AJ$3</f>
        <v>5.475819717026706</v>
      </c>
      <c r="AK50">
        <f>'Export shares'!AK50*'Indirect NH3 demand sources'!AK$3</f>
        <v>6.2230049983687916</v>
      </c>
      <c r="AL50">
        <f>'Export shares'!AL50*'Indirect NH3 demand sources'!AL$3</f>
        <v>6.98368196446593</v>
      </c>
      <c r="AM50">
        <f>'Export shares'!AM50*'Indirect NH3 demand sources'!AM$3</f>
        <v>7.7571140680043236</v>
      </c>
      <c r="AN50">
        <f>'Export shares'!AN50*'Indirect NH3 demand sources'!AN$3</f>
        <v>8.5423883659908633</v>
      </c>
      <c r="AO50">
        <f>'Export shares'!AO50*'Indirect NH3 demand sources'!AO$3</f>
        <v>9.3387597837930283</v>
      </c>
      <c r="AP50">
        <f>'Export shares'!AP50*'Indirect NH3 demand sources'!AP$3</f>
        <v>10.145776204821592</v>
      </c>
    </row>
    <row r="51" spans="1:42" x14ac:dyDescent="0.3">
      <c r="A51" t="s">
        <v>50</v>
      </c>
      <c r="B51">
        <f>'Export shares'!B51*'Indirect NH3 demand sources'!B$3</f>
        <v>0</v>
      </c>
      <c r="C51">
        <f>'Export shares'!C51*'Indirect NH3 demand sources'!C$3</f>
        <v>0</v>
      </c>
      <c r="D51">
        <f>'Export shares'!D51*'Indirect NH3 demand sources'!D$3</f>
        <v>0</v>
      </c>
      <c r="E51">
        <f>'Export shares'!E51*'Indirect NH3 demand sources'!E$3</f>
        <v>0</v>
      </c>
      <c r="F51">
        <f>'Export shares'!F51*'Indirect NH3 demand sources'!F$3</f>
        <v>0</v>
      </c>
      <c r="G51">
        <f>'Export shares'!G51*'Indirect NH3 demand sources'!G$3</f>
        <v>0</v>
      </c>
      <c r="H51">
        <f>'Export shares'!H51*'Indirect NH3 demand sources'!H$3</f>
        <v>0</v>
      </c>
      <c r="I51">
        <f>'Export shares'!I51*'Indirect NH3 demand sources'!I$3</f>
        <v>0</v>
      </c>
      <c r="J51">
        <f>'Export shares'!J51*'Indirect NH3 demand sources'!J$3</f>
        <v>0</v>
      </c>
      <c r="K51">
        <f>'Export shares'!K51*'Indirect NH3 demand sources'!K$3</f>
        <v>0</v>
      </c>
      <c r="L51">
        <f>'Export shares'!L51*'Indirect NH3 demand sources'!L$3</f>
        <v>0</v>
      </c>
      <c r="M51">
        <f>'Export shares'!M51*'Indirect NH3 demand sources'!M$3</f>
        <v>0</v>
      </c>
      <c r="N51">
        <f>'Export shares'!N51*'Indirect NH3 demand sources'!N$3</f>
        <v>0</v>
      </c>
      <c r="O51">
        <f>'Export shares'!O51*'Indirect NH3 demand sources'!O$3</f>
        <v>0</v>
      </c>
      <c r="P51">
        <f>'Export shares'!P51*'Indirect NH3 demand sources'!P$3</f>
        <v>0</v>
      </c>
      <c r="Q51">
        <f>'Export shares'!Q51*'Indirect NH3 demand sources'!Q$3</f>
        <v>0</v>
      </c>
      <c r="R51">
        <f>'Export shares'!R51*'Indirect NH3 demand sources'!R$3</f>
        <v>1.1384845808114406E-2</v>
      </c>
      <c r="S51">
        <f>'Export shares'!S51*'Indirect NH3 demand sources'!S$3</f>
        <v>2.2597812003635837E-2</v>
      </c>
      <c r="T51">
        <f>'Export shares'!T51*'Indirect NH3 demand sources'!T$3</f>
        <v>3.6434286683507143E-2</v>
      </c>
      <c r="U51">
        <f>'Export shares'!U51*'Indirect NH3 demand sources'!U$3</f>
        <v>4.9970115309304543E-2</v>
      </c>
      <c r="V51">
        <f>'Export shares'!V51*'Indirect NH3 demand sources'!V$3</f>
        <v>6.3531623203063103E-2</v>
      </c>
      <c r="W51">
        <f>'Export shares'!W51*'Indirect NH3 demand sources'!W$3</f>
        <v>0.17315197241731542</v>
      </c>
      <c r="X51">
        <f>'Export shares'!X51*'Indirect NH3 demand sources'!X$3</f>
        <v>0.28735432684275752</v>
      </c>
      <c r="Y51">
        <f>'Export shares'!Y51*'Indirect NH3 demand sources'!Y$3</f>
        <v>0.40594670503195163</v>
      </c>
      <c r="Z51">
        <f>'Export shares'!Z51*'Indirect NH3 demand sources'!Z$3</f>
        <v>0.52870619861330947</v>
      </c>
      <c r="AA51">
        <f>'Export shares'!AA51*'Indirect NH3 demand sources'!AA$3</f>
        <v>0.6554771510753119</v>
      </c>
      <c r="AB51">
        <f>'Export shares'!AB51*'Indirect NH3 demand sources'!AB$3</f>
        <v>0.78603431245618516</v>
      </c>
      <c r="AC51">
        <f>'Export shares'!AC51*'Indirect NH3 demand sources'!AC$3</f>
        <v>0.92014086416229124</v>
      </c>
      <c r="AD51">
        <f>'Export shares'!AD51*'Indirect NH3 demand sources'!AD$3</f>
        <v>1.0576604969781054</v>
      </c>
      <c r="AE51">
        <f>'Export shares'!AE51*'Indirect NH3 demand sources'!AE$3</f>
        <v>1.1983209875004159</v>
      </c>
      <c r="AF51">
        <f>'Export shares'!AF51*'Indirect NH3 demand sources'!AF$3</f>
        <v>1.3421210030947253</v>
      </c>
      <c r="AG51">
        <f>'Export shares'!AG51*'Indirect NH3 demand sources'!AG$3</f>
        <v>1.691765920594579</v>
      </c>
      <c r="AH51">
        <f>'Export shares'!AH51*'Indirect NH3 demand sources'!AH$3</f>
        <v>2.0494690954027948</v>
      </c>
      <c r="AI51">
        <f>'Export shares'!AI51*'Indirect NH3 demand sources'!AI$3</f>
        <v>2.4151756434986358</v>
      </c>
      <c r="AJ51">
        <f>'Export shares'!AJ51*'Indirect NH3 demand sources'!AJ$3</f>
        <v>2.7887501071081906</v>
      </c>
      <c r="AK51">
        <f>'Export shares'!AK51*'Indirect NH3 demand sources'!AK$3</f>
        <v>3.169202594929156</v>
      </c>
      <c r="AL51">
        <f>'Export shares'!AL51*'Indirect NH3 demand sources'!AL$3</f>
        <v>3.5565516613376555</v>
      </c>
      <c r="AM51">
        <f>'Export shares'!AM51*'Indirect NH3 demand sources'!AM$3</f>
        <v>3.9503782892013577</v>
      </c>
      <c r="AN51">
        <f>'Export shares'!AN51*'Indirect NH3 demand sources'!AN$3</f>
        <v>4.3502879186420946</v>
      </c>
      <c r="AO51">
        <f>'Export shares'!AO51*'Indirect NH3 demand sources'!AO$3</f>
        <v>4.7558831870136249</v>
      </c>
      <c r="AP51">
        <f>'Export shares'!AP51*'Indirect NH3 demand sources'!AP$3</f>
        <v>5.16689970880266</v>
      </c>
    </row>
    <row r="52" spans="1:42" x14ac:dyDescent="0.3">
      <c r="A52" t="s">
        <v>51</v>
      </c>
      <c r="B52">
        <f>'Export shares'!B52*'Indirect NH3 demand sources'!B$3</f>
        <v>0</v>
      </c>
      <c r="C52">
        <f>'Export shares'!C52*'Indirect NH3 demand sources'!C$3</f>
        <v>0</v>
      </c>
      <c r="D52">
        <f>'Export shares'!D52*'Indirect NH3 demand sources'!D$3</f>
        <v>0</v>
      </c>
      <c r="E52">
        <f>'Export shares'!E52*'Indirect NH3 demand sources'!E$3</f>
        <v>0</v>
      </c>
      <c r="F52">
        <f>'Export shares'!F52*'Indirect NH3 demand sources'!F$3</f>
        <v>0</v>
      </c>
      <c r="G52">
        <f>'Export shares'!G52*'Indirect NH3 demand sources'!G$3</f>
        <v>0</v>
      </c>
      <c r="H52">
        <f>'Export shares'!H52*'Indirect NH3 demand sources'!H$3</f>
        <v>0</v>
      </c>
      <c r="I52">
        <f>'Export shares'!I52*'Indirect NH3 demand sources'!I$3</f>
        <v>0</v>
      </c>
      <c r="J52">
        <f>'Export shares'!J52*'Indirect NH3 demand sources'!J$3</f>
        <v>0</v>
      </c>
      <c r="K52">
        <f>'Export shares'!K52*'Indirect NH3 demand sources'!K$3</f>
        <v>0</v>
      </c>
      <c r="L52">
        <f>'Export shares'!L52*'Indirect NH3 demand sources'!L$3</f>
        <v>0</v>
      </c>
      <c r="M52">
        <f>'Export shares'!M52*'Indirect NH3 demand sources'!M$3</f>
        <v>0</v>
      </c>
      <c r="N52">
        <f>'Export shares'!N52*'Indirect NH3 demand sources'!N$3</f>
        <v>0</v>
      </c>
      <c r="O52">
        <f>'Export shares'!O52*'Indirect NH3 demand sources'!O$3</f>
        <v>0</v>
      </c>
      <c r="P52">
        <f>'Export shares'!P52*'Indirect NH3 demand sources'!P$3</f>
        <v>0</v>
      </c>
      <c r="Q52">
        <f>'Export shares'!Q52*'Indirect NH3 demand sources'!Q$3</f>
        <v>0</v>
      </c>
      <c r="R52">
        <f>'Export shares'!R52*'Indirect NH3 demand sources'!R$3</f>
        <v>8.4895676559174054E-3</v>
      </c>
      <c r="S52">
        <f>'Export shares'!S52*'Indirect NH3 demand sources'!S$3</f>
        <v>1.7350917999147578E-2</v>
      </c>
      <c r="T52">
        <f>'Export shares'!T52*'Indirect NH3 demand sources'!T$3</f>
        <v>2.6341557091154356E-2</v>
      </c>
      <c r="U52">
        <f>'Export shares'!U52*'Indirect NH3 demand sources'!U$3</f>
        <v>3.5718756932966021E-2</v>
      </c>
      <c r="V52">
        <f>'Export shares'!V52*'Indirect NH3 demand sources'!V$3</f>
        <v>4.4514284387339301E-2</v>
      </c>
      <c r="W52">
        <f>'Export shares'!W52*'Indirect NH3 demand sources'!W$3</f>
        <v>0.11955695613893196</v>
      </c>
      <c r="X52">
        <f>'Export shares'!X52*'Indirect NH3 demand sources'!X$3</f>
        <v>0.19573384157188267</v>
      </c>
      <c r="Y52">
        <f>'Export shares'!Y52*'Indirect NH3 demand sources'!Y$3</f>
        <v>0.27308539167811335</v>
      </c>
      <c r="Z52">
        <f>'Export shares'!Z52*'Indirect NH3 demand sources'!Z$3</f>
        <v>0.35161574722574579</v>
      </c>
      <c r="AA52">
        <f>'Export shares'!AA52*'Indirect NH3 demand sources'!AA$3</f>
        <v>0.43131158088675381</v>
      </c>
      <c r="AB52">
        <f>'Export shares'!AB52*'Indirect NH3 demand sources'!AB$3</f>
        <v>0.51210357239873772</v>
      </c>
      <c r="AC52">
        <f>'Export shares'!AC52*'Indirect NH3 demand sources'!AC$3</f>
        <v>0.59385995029952965</v>
      </c>
      <c r="AD52">
        <f>'Export shares'!AD52*'Indirect NH3 demand sources'!AD$3</f>
        <v>0.67645959183740401</v>
      </c>
      <c r="AE52">
        <f>'Export shares'!AE52*'Indirect NH3 demand sources'!AE$3</f>
        <v>0.75985909408685615</v>
      </c>
      <c r="AF52">
        <f>'Export shares'!AF52*'Indirect NH3 demand sources'!AF$3</f>
        <v>0.84410956918698754</v>
      </c>
      <c r="AG52">
        <f>'Export shares'!AG52*'Indirect NH3 demand sources'!AG$3</f>
        <v>1.0559243802561753</v>
      </c>
      <c r="AH52">
        <f>'Export shares'!AH52*'Indirect NH3 demand sources'!AH$3</f>
        <v>1.270231014834819</v>
      </c>
      <c r="AI52">
        <f>'Export shares'!AI52*'Indirect NH3 demand sources'!AI$3</f>
        <v>1.487424110510208</v>
      </c>
      <c r="AJ52">
        <f>'Export shares'!AJ52*'Indirect NH3 demand sources'!AJ$3</f>
        <v>1.7079139391355012</v>
      </c>
      <c r="AK52">
        <f>'Export shares'!AK52*'Indirect NH3 demand sources'!AK$3</f>
        <v>1.9329817414411561</v>
      </c>
      <c r="AL52">
        <f>'Export shares'!AL52*'Indirect NH3 demand sources'!AL$3</f>
        <v>2.1597060202339544</v>
      </c>
      <c r="AM52">
        <f>'Export shares'!AM52*'Indirect NH3 demand sources'!AM$3</f>
        <v>2.3895072240915836</v>
      </c>
      <c r="AN52">
        <f>'Export shares'!AN52*'Indirect NH3 demand sources'!AN$3</f>
        <v>2.6218999536224272</v>
      </c>
      <c r="AO52">
        <f>'Export shares'!AO52*'Indirect NH3 demand sources'!AO$3</f>
        <v>2.8565854589728761</v>
      </c>
      <c r="AP52">
        <f>'Export shares'!AP52*'Indirect NH3 demand sources'!AP$3</f>
        <v>3.093696072831059</v>
      </c>
    </row>
    <row r="53" spans="1:42" x14ac:dyDescent="0.3">
      <c r="A53" t="s">
        <v>52</v>
      </c>
      <c r="B53">
        <f>'Export shares'!B53*'Indirect NH3 demand sources'!B$3</f>
        <v>0</v>
      </c>
      <c r="C53">
        <f>'Export shares'!C53*'Indirect NH3 demand sources'!C$3</f>
        <v>0</v>
      </c>
      <c r="D53">
        <f>'Export shares'!D53*'Indirect NH3 demand sources'!D$3</f>
        <v>0</v>
      </c>
      <c r="E53">
        <f>'Export shares'!E53*'Indirect NH3 demand sources'!E$3</f>
        <v>0</v>
      </c>
      <c r="F53">
        <f>'Export shares'!F53*'Indirect NH3 demand sources'!F$3</f>
        <v>0</v>
      </c>
      <c r="G53">
        <f>'Export shares'!G53*'Indirect NH3 demand sources'!G$3</f>
        <v>0</v>
      </c>
      <c r="H53">
        <f>'Export shares'!H53*'Indirect NH3 demand sources'!H$3</f>
        <v>0</v>
      </c>
      <c r="I53">
        <f>'Export shares'!I53*'Indirect NH3 demand sources'!I$3</f>
        <v>0</v>
      </c>
      <c r="J53">
        <f>'Export shares'!J53*'Indirect NH3 demand sources'!J$3</f>
        <v>0</v>
      </c>
      <c r="K53">
        <f>'Export shares'!K53*'Indirect NH3 demand sources'!K$3</f>
        <v>0</v>
      </c>
      <c r="L53">
        <f>'Export shares'!L53*'Indirect NH3 demand sources'!L$3</f>
        <v>0</v>
      </c>
      <c r="M53">
        <f>'Export shares'!M53*'Indirect NH3 demand sources'!M$3</f>
        <v>0</v>
      </c>
      <c r="N53">
        <f>'Export shares'!N53*'Indirect NH3 demand sources'!N$3</f>
        <v>0</v>
      </c>
      <c r="O53">
        <f>'Export shares'!O53*'Indirect NH3 demand sources'!O$3</f>
        <v>0</v>
      </c>
      <c r="P53">
        <f>'Export shares'!P53*'Indirect NH3 demand sources'!P$3</f>
        <v>0</v>
      </c>
      <c r="Q53">
        <f>'Export shares'!Q53*'Indirect NH3 demand sources'!Q$3</f>
        <v>0</v>
      </c>
      <c r="R53">
        <f>'Export shares'!R53*'Indirect NH3 demand sources'!R$3</f>
        <v>3.9092932256987838E-2</v>
      </c>
      <c r="S53">
        <f>'Export shares'!S53*'Indirect NH3 demand sources'!S$3</f>
        <v>7.9501116209329203E-2</v>
      </c>
      <c r="T53">
        <f>'Export shares'!T53*'Indirect NH3 demand sources'!T$3</f>
        <v>0.12147685262624965</v>
      </c>
      <c r="U53">
        <f>'Export shares'!U53*'Indirect NH3 demand sources'!U$3</f>
        <v>0.16480153305463224</v>
      </c>
      <c r="V53">
        <f>'Export shares'!V53*'Indirect NH3 demand sources'!V$3</f>
        <v>0.2055226301468589</v>
      </c>
      <c r="W53">
        <f>'Export shares'!W53*'Indirect NH3 demand sources'!W$3</f>
        <v>0.55226063056098085</v>
      </c>
      <c r="X53">
        <f>'Export shares'!X53*'Indirect NH3 demand sources'!X$3</f>
        <v>0.90439061157369949</v>
      </c>
      <c r="Y53">
        <f>'Export shares'!Y53*'Indirect NH3 demand sources'!Y$3</f>
        <v>1.2618064781952358</v>
      </c>
      <c r="Z53">
        <f>'Export shares'!Z53*'Indirect NH3 demand sources'!Z$3</f>
        <v>1.6243139832819291</v>
      </c>
      <c r="AA53">
        <f>'Export shares'!AA53*'Indirect NH3 demand sources'!AA$3</f>
        <v>1.9918981330287959</v>
      </c>
      <c r="AB53">
        <f>'Export shares'!AB53*'Indirect NH3 demand sources'!AB$3</f>
        <v>2.3642423026021842</v>
      </c>
      <c r="AC53">
        <f>'Export shares'!AC53*'Indirect NH3 demand sources'!AC$3</f>
        <v>2.7411606049957893</v>
      </c>
      <c r="AD53">
        <f>'Export shares'!AD53*'Indirect NH3 demand sources'!AD$3</f>
        <v>3.1225393121748626</v>
      </c>
      <c r="AE53">
        <f>'Export shares'!AE53*'Indirect NH3 demand sources'!AE$3</f>
        <v>3.5081350184943516</v>
      </c>
      <c r="AF53">
        <f>'Export shares'!AF53*'Indirect NH3 demand sources'!AF$3</f>
        <v>3.8981563864731354</v>
      </c>
      <c r="AG53">
        <f>'Export shares'!AG53*'Indirect NH3 demand sources'!AG$3</f>
        <v>4.8777637091783319</v>
      </c>
      <c r="AH53">
        <f>'Export shares'!AH53*'Indirect NH3 demand sources'!AH$3</f>
        <v>5.8696895453718776</v>
      </c>
      <c r="AI53">
        <f>'Export shares'!AI53*'Indirect NH3 demand sources'!AI$3</f>
        <v>6.8740507541897715</v>
      </c>
      <c r="AJ53">
        <f>'Export shares'!AJ53*'Indirect NH3 demand sources'!AJ$3</f>
        <v>7.8912457109209795</v>
      </c>
      <c r="AK53">
        <f>'Export shares'!AK53*'Indirect NH3 demand sources'!AK$3</f>
        <v>8.9214995346973431</v>
      </c>
      <c r="AL53">
        <f>'Export shares'!AL53*'Indirect NH3 demand sources'!AL$3</f>
        <v>9.9650928213406953</v>
      </c>
      <c r="AM53">
        <f>'Export shares'!AM53*'Indirect NH3 demand sources'!AM$3</f>
        <v>11.022107598458749</v>
      </c>
      <c r="AN53">
        <f>'Export shares'!AN53*'Indirect NH3 demand sources'!AN$3</f>
        <v>12.09221129250005</v>
      </c>
      <c r="AO53">
        <f>'Export shares'!AO53*'Indirect NH3 demand sources'!AO$3</f>
        <v>13.174748249766877</v>
      </c>
      <c r="AP53">
        <f>'Export shares'!AP53*'Indirect NH3 demand sources'!AP$3</f>
        <v>14.270657338509407</v>
      </c>
    </row>
    <row r="54" spans="1:42" x14ac:dyDescent="0.3">
      <c r="A54" t="s">
        <v>53</v>
      </c>
      <c r="B54">
        <f>'Export shares'!B54*'Indirect NH3 demand sources'!B$3</f>
        <v>0</v>
      </c>
      <c r="C54">
        <f>'Export shares'!C54*'Indirect NH3 demand sources'!C$3</f>
        <v>0</v>
      </c>
      <c r="D54">
        <f>'Export shares'!D54*'Indirect NH3 demand sources'!D$3</f>
        <v>0</v>
      </c>
      <c r="E54">
        <f>'Export shares'!E54*'Indirect NH3 demand sources'!E$3</f>
        <v>0</v>
      </c>
      <c r="F54">
        <f>'Export shares'!F54*'Indirect NH3 demand sources'!F$3</f>
        <v>0</v>
      </c>
      <c r="G54">
        <f>'Export shares'!G54*'Indirect NH3 demand sources'!G$3</f>
        <v>0</v>
      </c>
      <c r="H54">
        <f>'Export shares'!H54*'Indirect NH3 demand sources'!H$3</f>
        <v>0</v>
      </c>
      <c r="I54">
        <f>'Export shares'!I54*'Indirect NH3 demand sources'!I$3</f>
        <v>0</v>
      </c>
      <c r="J54">
        <f>'Export shares'!J54*'Indirect NH3 demand sources'!J$3</f>
        <v>0</v>
      </c>
      <c r="K54">
        <f>'Export shares'!K54*'Indirect NH3 demand sources'!K$3</f>
        <v>0</v>
      </c>
      <c r="L54">
        <f>'Export shares'!L54*'Indirect NH3 demand sources'!L$3</f>
        <v>0</v>
      </c>
      <c r="M54">
        <f>'Export shares'!M54*'Indirect NH3 demand sources'!M$3</f>
        <v>0</v>
      </c>
      <c r="N54">
        <f>'Export shares'!N54*'Indirect NH3 demand sources'!N$3</f>
        <v>0</v>
      </c>
      <c r="O54">
        <f>'Export shares'!O54*'Indirect NH3 demand sources'!O$3</f>
        <v>0</v>
      </c>
      <c r="P54">
        <f>'Export shares'!P54*'Indirect NH3 demand sources'!P$3</f>
        <v>0</v>
      </c>
      <c r="Q54">
        <f>'Export shares'!Q54*'Indirect NH3 demand sources'!Q$3</f>
        <v>0</v>
      </c>
      <c r="R54">
        <f>'Export shares'!R54*'Indirect NH3 demand sources'!R$3</f>
        <v>6.348068298716575E-3</v>
      </c>
      <c r="S54">
        <f>'Export shares'!S54*'Indirect NH3 demand sources'!S$3</f>
        <v>1.2697026456900946E-2</v>
      </c>
      <c r="T54">
        <f>'Export shares'!T54*'Indirect NH3 demand sources'!T$3</f>
        <v>1.9100077169697936E-2</v>
      </c>
      <c r="U54">
        <f>'Export shares'!U54*'Indirect NH3 demand sources'!U$3</f>
        <v>2.5476055569157895E-2</v>
      </c>
      <c r="V54">
        <f>'Export shares'!V54*'Indirect NH3 demand sources'!V$3</f>
        <v>3.2258644090372338E-2</v>
      </c>
      <c r="W54">
        <f>'Export shares'!W54*'Indirect NH3 demand sources'!W$3</f>
        <v>8.6603704220090463E-2</v>
      </c>
      <c r="X54">
        <f>'Export shares'!X54*'Indirect NH3 demand sources'!X$3</f>
        <v>0.14169645908864537</v>
      </c>
      <c r="Y54">
        <f>'Export shares'!Y54*'Indirect NH3 demand sources'!Y$3</f>
        <v>0.19751009808968781</v>
      </c>
      <c r="Z54">
        <f>'Export shares'!Z54*'Indirect NH3 demand sources'!Z$3</f>
        <v>0.25400180121050542</v>
      </c>
      <c r="AA54">
        <f>'Export shares'!AA54*'Indirect NH3 demand sources'!AA$3</f>
        <v>0.3111675958075123</v>
      </c>
      <c r="AB54">
        <f>'Export shares'!AB54*'Indirect NH3 demand sources'!AB$3</f>
        <v>0.36896864313336664</v>
      </c>
      <c r="AC54">
        <f>'Export shares'!AC54*'Indirect NH3 demand sources'!AC$3</f>
        <v>0.42736843380011985</v>
      </c>
      <c r="AD54">
        <f>'Export shares'!AD54*'Indirect NH3 demand sources'!AD$3</f>
        <v>0.48637332830805013</v>
      </c>
      <c r="AE54">
        <f>'Export shares'!AE54*'Indirect NH3 demand sources'!AE$3</f>
        <v>0.54593200036869649</v>
      </c>
      <c r="AF54">
        <f>'Export shares'!AF54*'Indirect NH3 demand sources'!AF$3</f>
        <v>0.60606890179926864</v>
      </c>
      <c r="AG54">
        <f>'Export shares'!AG54*'Indirect NH3 demand sources'!AG$3</f>
        <v>0.75769365972389968</v>
      </c>
      <c r="AH54">
        <f>'Export shares'!AH54*'Indirect NH3 demand sources'!AH$3</f>
        <v>0.91096322595180301</v>
      </c>
      <c r="AI54">
        <f>'Export shares'!AI54*'Indirect NH3 demand sources'!AI$3</f>
        <v>1.0658556202010796</v>
      </c>
      <c r="AJ54">
        <f>'Export shares'!AJ54*'Indirect NH3 demand sources'!AJ$3</f>
        <v>1.2222893339859353</v>
      </c>
      <c r="AK54">
        <f>'Export shares'!AK54*'Indirect NH3 demand sources'!AK$3</f>
        <v>1.3804515974708709</v>
      </c>
      <c r="AL54">
        <f>'Export shares'!AL54*'Indirect NH3 demand sources'!AL$3</f>
        <v>1.5403350846266934</v>
      </c>
      <c r="AM54">
        <f>'Export shares'!AM54*'Indirect NH3 demand sources'!AM$3</f>
        <v>1.7019158974407065</v>
      </c>
      <c r="AN54">
        <f>'Export shares'!AN54*'Indirect NH3 demand sources'!AN$3</f>
        <v>1.8651914698640684</v>
      </c>
      <c r="AO54">
        <f>'Export shares'!AO54*'Indirect NH3 demand sources'!AO$3</f>
        <v>2.0301793026775381</v>
      </c>
      <c r="AP54">
        <f>'Export shares'!AP54*'Indirect NH3 demand sources'!AP$3</f>
        <v>2.196870514067732</v>
      </c>
    </row>
    <row r="55" spans="1:42" x14ac:dyDescent="0.3">
      <c r="A55" t="s">
        <v>54</v>
      </c>
      <c r="B55">
        <f>'Export shares'!B55*'Indirect NH3 demand sources'!B$3</f>
        <v>0</v>
      </c>
      <c r="C55">
        <f>'Export shares'!C55*'Indirect NH3 demand sources'!C$3</f>
        <v>0</v>
      </c>
      <c r="D55">
        <f>'Export shares'!D55*'Indirect NH3 demand sources'!D$3</f>
        <v>0</v>
      </c>
      <c r="E55">
        <f>'Export shares'!E55*'Indirect NH3 demand sources'!E$3</f>
        <v>0</v>
      </c>
      <c r="F55">
        <f>'Export shares'!F55*'Indirect NH3 demand sources'!F$3</f>
        <v>0</v>
      </c>
      <c r="G55">
        <f>'Export shares'!G55*'Indirect NH3 demand sources'!G$3</f>
        <v>0</v>
      </c>
      <c r="H55">
        <f>'Export shares'!H55*'Indirect NH3 demand sources'!H$3</f>
        <v>0</v>
      </c>
      <c r="I55">
        <f>'Export shares'!I55*'Indirect NH3 demand sources'!I$3</f>
        <v>0</v>
      </c>
      <c r="J55">
        <f>'Export shares'!J55*'Indirect NH3 demand sources'!J$3</f>
        <v>0</v>
      </c>
      <c r="K55">
        <f>'Export shares'!K55*'Indirect NH3 demand sources'!K$3</f>
        <v>0</v>
      </c>
      <c r="L55">
        <f>'Export shares'!L55*'Indirect NH3 demand sources'!L$3</f>
        <v>0</v>
      </c>
      <c r="M55">
        <f>'Export shares'!M55*'Indirect NH3 demand sources'!M$3</f>
        <v>0</v>
      </c>
      <c r="N55">
        <f>'Export shares'!N55*'Indirect NH3 demand sources'!N$3</f>
        <v>0</v>
      </c>
      <c r="O55">
        <f>'Export shares'!O55*'Indirect NH3 demand sources'!O$3</f>
        <v>0</v>
      </c>
      <c r="P55">
        <f>'Export shares'!P55*'Indirect NH3 demand sources'!P$3</f>
        <v>0</v>
      </c>
      <c r="Q55">
        <f>'Export shares'!Q55*'Indirect NH3 demand sources'!Q$3</f>
        <v>0</v>
      </c>
      <c r="R55">
        <f>'Export shares'!R55*'Indirect NH3 demand sources'!R$3</f>
        <v>5.0723806424922892E-2</v>
      </c>
      <c r="S55">
        <f>'Export shares'!S55*'Indirect NH3 demand sources'!S$3</f>
        <v>0.10266449945521043</v>
      </c>
      <c r="T55">
        <f>'Export shares'!T55*'Indirect NH3 demand sources'!T$3</f>
        <v>0.15259098846141089</v>
      </c>
      <c r="U55">
        <f>'Export shares'!U55*'Indirect NH3 demand sources'!U$3</f>
        <v>0.2036796719423023</v>
      </c>
      <c r="V55">
        <f>'Export shares'!V55*'Indirect NH3 demand sources'!V$3</f>
        <v>0.25468818260624443</v>
      </c>
      <c r="W55">
        <f>'Export shares'!W55*'Indirect NH3 demand sources'!W$3</f>
        <v>0.67974790011539676</v>
      </c>
      <c r="X55">
        <f>'Export shares'!X55*'Indirect NH3 demand sources'!X$3</f>
        <v>1.105611084304517</v>
      </c>
      <c r="Y55">
        <f>'Export shares'!Y55*'Indirect NH3 demand sources'!Y$3</f>
        <v>1.532078946750359</v>
      </c>
      <c r="Z55">
        <f>'Export shares'!Z55*'Indirect NH3 demand sources'!Z$3</f>
        <v>1.9588435104193007</v>
      </c>
      <c r="AA55">
        <f>'Export shares'!AA55*'Indirect NH3 demand sources'!AA$3</f>
        <v>2.3856536240339374</v>
      </c>
      <c r="AB55">
        <f>'Export shares'!AB55*'Indirect NH3 demand sources'!AB$3</f>
        <v>2.8123265260674102</v>
      </c>
      <c r="AC55">
        <f>'Export shares'!AC55*'Indirect NH3 demand sources'!AC$3</f>
        <v>3.2385044631473132</v>
      </c>
      <c r="AD55">
        <f>'Export shares'!AD55*'Indirect NH3 demand sources'!AD$3</f>
        <v>3.6642059343661826</v>
      </c>
      <c r="AE55">
        <f>'Export shares'!AE55*'Indirect NH3 demand sources'!AE$3</f>
        <v>4.0890587946568733</v>
      </c>
      <c r="AF55">
        <f>'Export shares'!AF55*'Indirect NH3 demand sources'!AF$3</f>
        <v>4.5129096415638443</v>
      </c>
      <c r="AG55">
        <f>'Export shares'!AG55*'Indirect NH3 demand sources'!AG$3</f>
        <v>5.6089472098317215</v>
      </c>
      <c r="AH55">
        <f>'Export shares'!AH55*'Indirect NH3 demand sources'!AH$3</f>
        <v>6.7041821721700403</v>
      </c>
      <c r="AI55">
        <f>'Export shares'!AI55*'Indirect NH3 demand sources'!AI$3</f>
        <v>7.7987324006947185</v>
      </c>
      <c r="AJ55">
        <f>'Export shares'!AJ55*'Indirect NH3 demand sources'!AJ$3</f>
        <v>8.8921103093398255</v>
      </c>
      <c r="AK55">
        <f>'Export shares'!AK55*'Indirect NH3 demand sources'!AK$3</f>
        <v>9.9846998055008225</v>
      </c>
      <c r="AL55">
        <f>'Export shares'!AL55*'Indirect NH3 demand sources'!AL$3</f>
        <v>11.0764420199061</v>
      </c>
      <c r="AM55">
        <f>'Export shares'!AM55*'Indirect NH3 demand sources'!AM$3</f>
        <v>12.167759418080571</v>
      </c>
      <c r="AN55">
        <f>'Export shares'!AN55*'Indirect NH3 demand sources'!AN$3</f>
        <v>13.257864436617487</v>
      </c>
      <c r="AO55">
        <f>'Export shares'!AO55*'Indirect NH3 demand sources'!AO$3</f>
        <v>14.3475955447279</v>
      </c>
      <c r="AP55">
        <f>'Export shares'!AP55*'Indirect NH3 demand sources'!AP$3</f>
        <v>15.435797325781447</v>
      </c>
    </row>
    <row r="56" spans="1:42" x14ac:dyDescent="0.3">
      <c r="A56" t="s">
        <v>55</v>
      </c>
      <c r="B56">
        <f>'Export shares'!B56*'Indirect NH3 demand sources'!B$3</f>
        <v>0</v>
      </c>
      <c r="C56">
        <f>'Export shares'!C56*'Indirect NH3 demand sources'!C$3</f>
        <v>0</v>
      </c>
      <c r="D56">
        <f>'Export shares'!D56*'Indirect NH3 demand sources'!D$3</f>
        <v>0</v>
      </c>
      <c r="E56">
        <f>'Export shares'!E56*'Indirect NH3 demand sources'!E$3</f>
        <v>0</v>
      </c>
      <c r="F56">
        <f>'Export shares'!F56*'Indirect NH3 demand sources'!F$3</f>
        <v>0</v>
      </c>
      <c r="G56">
        <f>'Export shares'!G56*'Indirect NH3 demand sources'!G$3</f>
        <v>0</v>
      </c>
      <c r="H56">
        <f>'Export shares'!H56*'Indirect NH3 demand sources'!H$3</f>
        <v>0</v>
      </c>
      <c r="I56">
        <f>'Export shares'!I56*'Indirect NH3 demand sources'!I$3</f>
        <v>0</v>
      </c>
      <c r="J56">
        <f>'Export shares'!J56*'Indirect NH3 demand sources'!J$3</f>
        <v>0</v>
      </c>
      <c r="K56">
        <f>'Export shares'!K56*'Indirect NH3 demand sources'!K$3</f>
        <v>0</v>
      </c>
      <c r="L56">
        <f>'Export shares'!L56*'Indirect NH3 demand sources'!L$3</f>
        <v>0</v>
      </c>
      <c r="M56">
        <f>'Export shares'!M56*'Indirect NH3 demand sources'!M$3</f>
        <v>0</v>
      </c>
      <c r="N56">
        <f>'Export shares'!N56*'Indirect NH3 demand sources'!N$3</f>
        <v>0</v>
      </c>
      <c r="O56">
        <f>'Export shares'!O56*'Indirect NH3 demand sources'!O$3</f>
        <v>0</v>
      </c>
      <c r="P56">
        <f>'Export shares'!P56*'Indirect NH3 demand sources'!P$3</f>
        <v>0</v>
      </c>
      <c r="Q56">
        <f>'Export shares'!Q56*'Indirect NH3 demand sources'!Q$3</f>
        <v>0</v>
      </c>
      <c r="R56">
        <f>'Export shares'!R56*'Indirect NH3 demand sources'!R$3</f>
        <v>8.3233478346129357E-4</v>
      </c>
      <c r="S56">
        <f>'Export shares'!S56*'Indirect NH3 demand sources'!S$3</f>
        <v>1.7025223097091472E-3</v>
      </c>
      <c r="T56">
        <f>'Export shares'!T56*'Indirect NH3 demand sources'!T$3</f>
        <v>2.4556516696706693E-3</v>
      </c>
      <c r="U56">
        <f>'Export shares'!U56*'Indirect NH3 demand sources'!U$3</f>
        <v>3.2484449229128087E-3</v>
      </c>
      <c r="V56">
        <f>'Export shares'!V56*'Indirect NH3 demand sources'!V$3</f>
        <v>4.0507690638897746E-3</v>
      </c>
      <c r="W56">
        <f>'Export shares'!W56*'Indirect NH3 demand sources'!W$3</f>
        <v>1.0744760756923041E-2</v>
      </c>
      <c r="X56">
        <f>'Export shares'!X56*'Indirect NH3 demand sources'!X$3</f>
        <v>1.7366602713064592E-2</v>
      </c>
      <c r="Y56">
        <f>'Export shares'!Y56*'Indirect NH3 demand sources'!Y$3</f>
        <v>2.3917704110023974E-2</v>
      </c>
      <c r="Z56">
        <f>'Export shares'!Z56*'Indirect NH3 demand sources'!Z$3</f>
        <v>3.0388591841038877E-2</v>
      </c>
      <c r="AA56">
        <f>'Export shares'!AA56*'Indirect NH3 demand sources'!AA$3</f>
        <v>3.6771501356628399E-2</v>
      </c>
      <c r="AB56">
        <f>'Export shares'!AB56*'Indirect NH3 demand sources'!AB$3</f>
        <v>4.3074071415263225E-2</v>
      </c>
      <c r="AC56">
        <f>'Export shares'!AC56*'Indirect NH3 demand sources'!AC$3</f>
        <v>4.9278608913827716E-2</v>
      </c>
      <c r="AD56">
        <f>'Export shares'!AD56*'Indirect NH3 demand sources'!AD$3</f>
        <v>5.5393076628393295E-2</v>
      </c>
      <c r="AE56">
        <f>'Export shares'!AE56*'Indirect NH3 demand sources'!AE$3</f>
        <v>6.1418710619624173E-2</v>
      </c>
      <c r="AF56">
        <f>'Export shares'!AF56*'Indirect NH3 demand sources'!AF$3</f>
        <v>6.7328983778186149E-2</v>
      </c>
      <c r="AG56">
        <f>'Export shares'!AG56*'Indirect NH3 demand sources'!AG$3</f>
        <v>8.3116795844393618E-2</v>
      </c>
      <c r="AH56">
        <f>'Export shares'!AH56*'Indirect NH3 demand sources'!AH$3</f>
        <v>9.8682267926382655E-2</v>
      </c>
      <c r="AI56">
        <f>'Export shares'!AI56*'Indirect NH3 demand sources'!AI$3</f>
        <v>0.11400140286411126</v>
      </c>
      <c r="AJ56">
        <f>'Export shares'!AJ56*'Indirect NH3 demand sources'!AJ$3</f>
        <v>0.12909917590727873</v>
      </c>
      <c r="AK56">
        <f>'Export shares'!AK56*'Indirect NH3 demand sources'!AK$3</f>
        <v>0.14397375443682622</v>
      </c>
      <c r="AL56">
        <f>'Export shares'!AL56*'Indirect NH3 demand sources'!AL$3</f>
        <v>0.15861980793013497</v>
      </c>
      <c r="AM56">
        <f>'Export shares'!AM56*'Indirect NH3 demand sources'!AM$3</f>
        <v>0.17304626193866568</v>
      </c>
      <c r="AN56">
        <f>'Export shares'!AN56*'Indirect NH3 demand sources'!AN$3</f>
        <v>0.18722830935660142</v>
      </c>
      <c r="AO56">
        <f>'Export shares'!AO56*'Indirect NH3 demand sources'!AO$3</f>
        <v>0.20120980846940728</v>
      </c>
      <c r="AP56">
        <f>'Export shares'!AP56*'Indirect NH3 demand sources'!AP$3</f>
        <v>0.2149347275149735</v>
      </c>
    </row>
    <row r="57" spans="1:42" x14ac:dyDescent="0.3">
      <c r="A57" t="s">
        <v>56</v>
      </c>
      <c r="B57">
        <f>'Export shares'!B57*'Indirect NH3 demand sources'!B$3</f>
        <v>0</v>
      </c>
      <c r="C57">
        <f>'Export shares'!C57*'Indirect NH3 demand sources'!C$3</f>
        <v>0</v>
      </c>
      <c r="D57">
        <f>'Export shares'!D57*'Indirect NH3 demand sources'!D$3</f>
        <v>0</v>
      </c>
      <c r="E57">
        <f>'Export shares'!E57*'Indirect NH3 demand sources'!E$3</f>
        <v>0</v>
      </c>
      <c r="F57">
        <f>'Export shares'!F57*'Indirect NH3 demand sources'!F$3</f>
        <v>0</v>
      </c>
      <c r="G57">
        <f>'Export shares'!G57*'Indirect NH3 demand sources'!G$3</f>
        <v>0</v>
      </c>
      <c r="H57">
        <f>'Export shares'!H57*'Indirect NH3 demand sources'!H$3</f>
        <v>0</v>
      </c>
      <c r="I57">
        <f>'Export shares'!I57*'Indirect NH3 demand sources'!I$3</f>
        <v>0</v>
      </c>
      <c r="J57">
        <f>'Export shares'!J57*'Indirect NH3 demand sources'!J$3</f>
        <v>0</v>
      </c>
      <c r="K57">
        <f>'Export shares'!K57*'Indirect NH3 demand sources'!K$3</f>
        <v>0</v>
      </c>
      <c r="L57">
        <f>'Export shares'!L57*'Indirect NH3 demand sources'!L$3</f>
        <v>0</v>
      </c>
      <c r="M57">
        <f>'Export shares'!M57*'Indirect NH3 demand sources'!M$3</f>
        <v>0</v>
      </c>
      <c r="N57">
        <f>'Export shares'!N57*'Indirect NH3 demand sources'!N$3</f>
        <v>0</v>
      </c>
      <c r="O57">
        <f>'Export shares'!O57*'Indirect NH3 demand sources'!O$3</f>
        <v>0</v>
      </c>
      <c r="P57">
        <f>'Export shares'!P57*'Indirect NH3 demand sources'!P$3</f>
        <v>0</v>
      </c>
      <c r="Q57">
        <f>'Export shares'!Q57*'Indirect NH3 demand sources'!Q$3</f>
        <v>0</v>
      </c>
      <c r="R57">
        <f>'Export shares'!R57*'Indirect NH3 demand sources'!R$3</f>
        <v>7.559699392796838E-3</v>
      </c>
      <c r="S57">
        <f>'Export shares'!S57*'Indirect NH3 demand sources'!S$3</f>
        <v>1.5168551908153877E-2</v>
      </c>
      <c r="T57">
        <f>'Export shares'!T57*'Indirect NH3 demand sources'!T$3</f>
        <v>2.270624681951337E-2</v>
      </c>
      <c r="U57">
        <f>'Export shares'!U57*'Indirect NH3 demand sources'!U$3</f>
        <v>3.0277970701005963E-2</v>
      </c>
      <c r="V57">
        <f>'Export shares'!V57*'Indirect NH3 demand sources'!V$3</f>
        <v>3.8345678563598835E-2</v>
      </c>
      <c r="W57">
        <f>'Export shares'!W57*'Indirect NH3 demand sources'!W$3</f>
        <v>0.10294107542048314</v>
      </c>
      <c r="X57">
        <f>'Export shares'!X57*'Indirect NH3 demand sources'!X$3</f>
        <v>0.16841664812843904</v>
      </c>
      <c r="Y57">
        <f>'Export shares'!Y57*'Indirect NH3 demand sources'!Y$3</f>
        <v>0.23474167316304834</v>
      </c>
      <c r="Z57">
        <f>'Export shares'!Z57*'Indirect NH3 demand sources'!Z$3</f>
        <v>0.30186435347079954</v>
      </c>
      <c r="AA57">
        <f>'Export shares'!AA57*'Indirect NH3 demand sources'!AA$3</f>
        <v>0.36977425308312034</v>
      </c>
      <c r="AB57">
        <f>'Export shares'!AB57*'Indirect NH3 demand sources'!AB$3</f>
        <v>0.4384284555511711</v>
      </c>
      <c r="AC57">
        <f>'Export shares'!AC57*'Indirect NH3 demand sources'!AC$3</f>
        <v>0.50778872508387929</v>
      </c>
      <c r="AD57">
        <f>'Export shares'!AD57*'Indirect NH3 demand sources'!AD$3</f>
        <v>0.57786898082082883</v>
      </c>
      <c r="AE57">
        <f>'Export shares'!AE57*'Indirect NH3 demand sources'!AE$3</f>
        <v>0.64865628008432719</v>
      </c>
      <c r="AF57">
        <f>'Export shares'!AF57*'Indirect NH3 demand sources'!AF$3</f>
        <v>0.72012127624521538</v>
      </c>
      <c r="AG57">
        <f>'Export shares'!AG57*'Indirect NH3 demand sources'!AG$3</f>
        <v>0.90031933896620664</v>
      </c>
      <c r="AH57">
        <f>'Export shares'!AH57*'Indirect NH3 demand sources'!AH$3</f>
        <v>1.0825353958564028</v>
      </c>
      <c r="AI57">
        <f>'Export shares'!AI57*'Indirect NH3 demand sources'!AI$3</f>
        <v>1.266744110087936</v>
      </c>
      <c r="AJ57">
        <f>'Export shares'!AJ57*'Indirect NH3 demand sources'!AJ$3</f>
        <v>1.4526984516045307</v>
      </c>
      <c r="AK57">
        <f>'Export shares'!AK57*'Indirect NH3 demand sources'!AK$3</f>
        <v>1.6406759825358739</v>
      </c>
      <c r="AL57">
        <f>'Export shares'!AL57*'Indirect NH3 demand sources'!AL$3</f>
        <v>1.8306227922591214</v>
      </c>
      <c r="AM57">
        <f>'Export shares'!AM57*'Indirect NH3 demand sources'!AM$3</f>
        <v>2.0226264249213064</v>
      </c>
      <c r="AN57">
        <f>'Export shares'!AN57*'Indirect NH3 demand sources'!AN$3</f>
        <v>2.2167036584904398</v>
      </c>
      <c r="AO57">
        <f>'Export shares'!AO57*'Indirect NH3 demand sources'!AO$3</f>
        <v>2.4128570131647971</v>
      </c>
      <c r="AP57">
        <f>'Export shares'!AP57*'Indirect NH3 demand sources'!AP$3</f>
        <v>2.6111421033462783</v>
      </c>
    </row>
    <row r="58" spans="1:42" x14ac:dyDescent="0.3">
      <c r="A58" t="s">
        <v>57</v>
      </c>
      <c r="B58">
        <f>'Export shares'!B58*'Indirect NH3 demand sources'!B$3</f>
        <v>0</v>
      </c>
      <c r="C58">
        <f>'Export shares'!C58*'Indirect NH3 demand sources'!C$3</f>
        <v>0</v>
      </c>
      <c r="D58">
        <f>'Export shares'!D58*'Indirect NH3 demand sources'!D$3</f>
        <v>0</v>
      </c>
      <c r="E58">
        <f>'Export shares'!E58*'Indirect NH3 demand sources'!E$3</f>
        <v>0</v>
      </c>
      <c r="F58">
        <f>'Export shares'!F58*'Indirect NH3 demand sources'!F$3</f>
        <v>0</v>
      </c>
      <c r="G58">
        <f>'Export shares'!G58*'Indirect NH3 demand sources'!G$3</f>
        <v>0</v>
      </c>
      <c r="H58">
        <f>'Export shares'!H58*'Indirect NH3 demand sources'!H$3</f>
        <v>0</v>
      </c>
      <c r="I58">
        <f>'Export shares'!I58*'Indirect NH3 demand sources'!I$3</f>
        <v>0</v>
      </c>
      <c r="J58">
        <f>'Export shares'!J58*'Indirect NH3 demand sources'!J$3</f>
        <v>0</v>
      </c>
      <c r="K58">
        <f>'Export shares'!K58*'Indirect NH3 demand sources'!K$3</f>
        <v>0</v>
      </c>
      <c r="L58">
        <f>'Export shares'!L58*'Indirect NH3 demand sources'!L$3</f>
        <v>0</v>
      </c>
      <c r="M58">
        <f>'Export shares'!M58*'Indirect NH3 demand sources'!M$3</f>
        <v>0</v>
      </c>
      <c r="N58">
        <f>'Export shares'!N58*'Indirect NH3 demand sources'!N$3</f>
        <v>0</v>
      </c>
      <c r="O58">
        <f>'Export shares'!O58*'Indirect NH3 demand sources'!O$3</f>
        <v>0</v>
      </c>
      <c r="P58">
        <f>'Export shares'!P58*'Indirect NH3 demand sources'!P$3</f>
        <v>0</v>
      </c>
      <c r="Q58">
        <f>'Export shares'!Q58*'Indirect NH3 demand sources'!Q$3</f>
        <v>0</v>
      </c>
      <c r="R58">
        <f>'Export shares'!R58*'Indirect NH3 demand sources'!R$3</f>
        <v>3.8559941070133883E-3</v>
      </c>
      <c r="S58">
        <f>'Export shares'!S58*'Indirect NH3 demand sources'!S$3</f>
        <v>7.7200439639340595E-3</v>
      </c>
      <c r="T58">
        <f>'Export shares'!T58*'Indirect NH3 demand sources'!T$3</f>
        <v>1.1877682802582626E-2</v>
      </c>
      <c r="U58">
        <f>'Export shares'!U58*'Indirect NH3 demand sources'!U$3</f>
        <v>1.6042878117897879E-2</v>
      </c>
      <c r="V58">
        <f>'Export shares'!V58*'Indirect NH3 demand sources'!V$3</f>
        <v>2.0540966531689929E-2</v>
      </c>
      <c r="W58">
        <f>'Export shares'!W58*'Indirect NH3 demand sources'!W$3</f>
        <v>5.5804424809568917E-2</v>
      </c>
      <c r="X58">
        <f>'Export shares'!X58*'Indirect NH3 demand sources'!X$3</f>
        <v>9.2391777989703772E-2</v>
      </c>
      <c r="Y58">
        <f>'Export shares'!Y58*'Indirect NH3 demand sources'!Y$3</f>
        <v>0.13031504561785995</v>
      </c>
      <c r="Z58">
        <f>'Export shares'!Z58*'Indirect NH3 demand sources'!Z$3</f>
        <v>0.16957811554701624</v>
      </c>
      <c r="AA58">
        <f>'Export shares'!AA58*'Indirect NH3 demand sources'!AA$3</f>
        <v>0.21020280028101829</v>
      </c>
      <c r="AB58">
        <f>'Export shares'!AB58*'Indirect NH3 demand sources'!AB$3</f>
        <v>0.25219659863953536</v>
      </c>
      <c r="AC58">
        <f>'Export shares'!AC58*'Indirect NH3 demand sources'!AC$3</f>
        <v>0.29555804395475704</v>
      </c>
      <c r="AD58">
        <f>'Export shares'!AD58*'Indirect NH3 demand sources'!AD$3</f>
        <v>0.34031838234136036</v>
      </c>
      <c r="AE58">
        <f>'Export shares'!AE58*'Indirect NH3 demand sources'!AE$3</f>
        <v>0.38647921174001809</v>
      </c>
      <c r="AF58">
        <f>'Export shares'!AF58*'Indirect NH3 demand sources'!AF$3</f>
        <v>0.43408254300965088</v>
      </c>
      <c r="AG58">
        <f>'Export shares'!AG58*'Indirect NH3 demand sources'!AG$3</f>
        <v>0.5490248680586074</v>
      </c>
      <c r="AH58">
        <f>'Export shares'!AH58*'Indirect NH3 demand sources'!AH$3</f>
        <v>0.66777771223372107</v>
      </c>
      <c r="AI58">
        <f>'Export shares'!AI58*'Indirect NH3 demand sources'!AI$3</f>
        <v>0.7904092576340972</v>
      </c>
      <c r="AJ58">
        <f>'Export shares'!AJ58*'Indirect NH3 demand sources'!AJ$3</f>
        <v>0.91693767848898189</v>
      </c>
      <c r="AK58">
        <f>'Export shares'!AK58*'Indirect NH3 demand sources'!AK$3</f>
        <v>1.0475704192397195</v>
      </c>
      <c r="AL58">
        <f>'Export shares'!AL58*'Indirect NH3 demand sources'!AL$3</f>
        <v>1.1823959104313009</v>
      </c>
      <c r="AM58">
        <f>'Export shares'!AM58*'Indirect NH3 demand sources'!AM$3</f>
        <v>1.321478608751913</v>
      </c>
      <c r="AN58">
        <f>'Export shares'!AN58*'Indirect NH3 demand sources'!AN$3</f>
        <v>1.4649071930146385</v>
      </c>
      <c r="AO58">
        <f>'Export shares'!AO58*'Indirect NH3 demand sources'!AO$3</f>
        <v>1.6127686210688448</v>
      </c>
      <c r="AP58">
        <f>'Export shares'!AP58*'Indirect NH3 demand sources'!AP$3</f>
        <v>1.7651689297951414</v>
      </c>
    </row>
    <row r="59" spans="1:42" x14ac:dyDescent="0.3">
      <c r="A59" t="s">
        <v>58</v>
      </c>
      <c r="B59">
        <f>'Export shares'!B59*'Indirect NH3 demand sources'!B$3</f>
        <v>0</v>
      </c>
      <c r="C59">
        <f>'Export shares'!C59*'Indirect NH3 demand sources'!C$3</f>
        <v>0</v>
      </c>
      <c r="D59">
        <f>'Export shares'!D59*'Indirect NH3 demand sources'!D$3</f>
        <v>0</v>
      </c>
      <c r="E59">
        <f>'Export shares'!E59*'Indirect NH3 demand sources'!E$3</f>
        <v>0</v>
      </c>
      <c r="F59">
        <f>'Export shares'!F59*'Indirect NH3 demand sources'!F$3</f>
        <v>0</v>
      </c>
      <c r="G59">
        <f>'Export shares'!G59*'Indirect NH3 demand sources'!G$3</f>
        <v>0</v>
      </c>
      <c r="H59">
        <f>'Export shares'!H59*'Indirect NH3 demand sources'!H$3</f>
        <v>0</v>
      </c>
      <c r="I59">
        <f>'Export shares'!I59*'Indirect NH3 demand sources'!I$3</f>
        <v>0</v>
      </c>
      <c r="J59">
        <f>'Export shares'!J59*'Indirect NH3 demand sources'!J$3</f>
        <v>0</v>
      </c>
      <c r="K59">
        <f>'Export shares'!K59*'Indirect NH3 demand sources'!K$3</f>
        <v>0</v>
      </c>
      <c r="L59">
        <f>'Export shares'!L59*'Indirect NH3 demand sources'!L$3</f>
        <v>0</v>
      </c>
      <c r="M59">
        <f>'Export shares'!M59*'Indirect NH3 demand sources'!M$3</f>
        <v>0</v>
      </c>
      <c r="N59">
        <f>'Export shares'!N59*'Indirect NH3 demand sources'!N$3</f>
        <v>0</v>
      </c>
      <c r="O59">
        <f>'Export shares'!O59*'Indirect NH3 demand sources'!O$3</f>
        <v>0</v>
      </c>
      <c r="P59">
        <f>'Export shares'!P59*'Indirect NH3 demand sources'!P$3</f>
        <v>0</v>
      </c>
      <c r="Q59">
        <f>'Export shares'!Q59*'Indirect NH3 demand sources'!Q$3</f>
        <v>0</v>
      </c>
      <c r="R59">
        <f>'Export shares'!R59*'Indirect NH3 demand sources'!R$3</f>
        <v>3.4580259652601418E-3</v>
      </c>
      <c r="S59">
        <f>'Export shares'!S59*'Indirect NH3 demand sources'!S$3</f>
        <v>6.8215131554852171E-3</v>
      </c>
      <c r="T59">
        <f>'Export shares'!T59*'Indirect NH3 demand sources'!T$3</f>
        <v>1.0054933545971383E-2</v>
      </c>
      <c r="U59">
        <f>'Export shares'!U59*'Indirect NH3 demand sources'!U$3</f>
        <v>1.3197176200212742E-2</v>
      </c>
      <c r="V59">
        <f>'Export shares'!V59*'Indirect NH3 demand sources'!V$3</f>
        <v>1.6845454383159097E-2</v>
      </c>
      <c r="W59">
        <f>'Export shares'!W59*'Indirect NH3 demand sources'!W$3</f>
        <v>4.5044171357250959E-2</v>
      </c>
      <c r="X59">
        <f>'Export shares'!X59*'Indirect NH3 demand sources'!X$3</f>
        <v>7.341023569955353E-2</v>
      </c>
      <c r="Y59">
        <f>'Export shares'!Y59*'Indirect NH3 demand sources'!Y$3</f>
        <v>0.10193466549755725</v>
      </c>
      <c r="Z59">
        <f>'Export shares'!Z59*'Indirect NH3 demand sources'!Z$3</f>
        <v>0.13058561940846136</v>
      </c>
      <c r="AA59">
        <f>'Export shares'!AA59*'Indirect NH3 demand sources'!AA$3</f>
        <v>0.15935164929081932</v>
      </c>
      <c r="AB59">
        <f>'Export shares'!AB59*'Indirect NH3 demand sources'!AB$3</f>
        <v>0.18823574549026234</v>
      </c>
      <c r="AC59">
        <f>'Export shares'!AC59*'Indirect NH3 demand sources'!AC$3</f>
        <v>0.21717152458026262</v>
      </c>
      <c r="AD59">
        <f>'Export shares'!AD59*'Indirect NH3 demand sources'!AD$3</f>
        <v>0.24619779215256904</v>
      </c>
      <c r="AE59">
        <f>'Export shares'!AE59*'Indirect NH3 demand sources'!AE$3</f>
        <v>0.27529843678009919</v>
      </c>
      <c r="AF59">
        <f>'Export shares'!AF59*'Indirect NH3 demand sources'!AF$3</f>
        <v>0.30443423906137979</v>
      </c>
      <c r="AG59">
        <f>'Export shares'!AG59*'Indirect NH3 demand sources'!AG$3</f>
        <v>0.37912318107928344</v>
      </c>
      <c r="AH59">
        <f>'Export shares'!AH59*'Indirect NH3 demand sources'!AH$3</f>
        <v>0.45403003505725914</v>
      </c>
      <c r="AI59">
        <f>'Export shares'!AI59*'Indirect NH3 demand sources'!AI$3</f>
        <v>0.52919985755980226</v>
      </c>
      <c r="AJ59">
        <f>'Export shares'!AJ59*'Indirect NH3 demand sources'!AJ$3</f>
        <v>0.60463264185478161</v>
      </c>
      <c r="AK59">
        <f>'Export shares'!AK59*'Indirect NH3 demand sources'!AK$3</f>
        <v>0.68025054347869718</v>
      </c>
      <c r="AL59">
        <f>'Export shares'!AL59*'Indirect NH3 demand sources'!AL$3</f>
        <v>0.75610894424331154</v>
      </c>
      <c r="AM59">
        <f>'Export shares'!AM59*'Indirect NH3 demand sources'!AM$3</f>
        <v>0.83220922028693423</v>
      </c>
      <c r="AN59">
        <f>'Export shares'!AN59*'Indirect NH3 demand sources'!AN$3</f>
        <v>0.90856526144098448</v>
      </c>
      <c r="AO59">
        <f>'Export shares'!AO59*'Indirect NH3 demand sources'!AO$3</f>
        <v>0.98514328588643207</v>
      </c>
      <c r="AP59">
        <f>'Export shares'!AP59*'Indirect NH3 demand sources'!AP$3</f>
        <v>1.0619920166609222</v>
      </c>
    </row>
    <row r="60" spans="1:42" x14ac:dyDescent="0.3">
      <c r="A60" t="s">
        <v>59</v>
      </c>
      <c r="B60">
        <f>'Export shares'!B60*'Indirect NH3 demand sources'!B$3</f>
        <v>0</v>
      </c>
      <c r="C60">
        <f>'Export shares'!C60*'Indirect NH3 demand sources'!C$3</f>
        <v>0</v>
      </c>
      <c r="D60">
        <f>'Export shares'!D60*'Indirect NH3 demand sources'!D$3</f>
        <v>0</v>
      </c>
      <c r="E60">
        <f>'Export shares'!E60*'Indirect NH3 demand sources'!E$3</f>
        <v>0</v>
      </c>
      <c r="F60">
        <f>'Export shares'!F60*'Indirect NH3 demand sources'!F$3</f>
        <v>0</v>
      </c>
      <c r="G60">
        <f>'Export shares'!G60*'Indirect NH3 demand sources'!G$3</f>
        <v>0</v>
      </c>
      <c r="H60">
        <f>'Export shares'!H60*'Indirect NH3 demand sources'!H$3</f>
        <v>0</v>
      </c>
      <c r="I60">
        <f>'Export shares'!I60*'Indirect NH3 demand sources'!I$3</f>
        <v>0</v>
      </c>
      <c r="J60">
        <f>'Export shares'!J60*'Indirect NH3 demand sources'!J$3</f>
        <v>0</v>
      </c>
      <c r="K60">
        <f>'Export shares'!K60*'Indirect NH3 demand sources'!K$3</f>
        <v>0</v>
      </c>
      <c r="L60">
        <f>'Export shares'!L60*'Indirect NH3 demand sources'!L$3</f>
        <v>0</v>
      </c>
      <c r="M60">
        <f>'Export shares'!M60*'Indirect NH3 demand sources'!M$3</f>
        <v>0</v>
      </c>
      <c r="N60">
        <f>'Export shares'!N60*'Indirect NH3 demand sources'!N$3</f>
        <v>0</v>
      </c>
      <c r="O60">
        <f>'Export shares'!O60*'Indirect NH3 demand sources'!O$3</f>
        <v>0</v>
      </c>
      <c r="P60">
        <f>'Export shares'!P60*'Indirect NH3 demand sources'!P$3</f>
        <v>0</v>
      </c>
      <c r="Q60">
        <f>'Export shares'!Q60*'Indirect NH3 demand sources'!Q$3</f>
        <v>0</v>
      </c>
      <c r="R60">
        <f>'Export shares'!R60*'Indirect NH3 demand sources'!R$3</f>
        <v>9.7480309495730786E-4</v>
      </c>
      <c r="S60">
        <f>'Export shares'!S60*'Indirect NH3 demand sources'!S$3</f>
        <v>1.9394551926258203E-3</v>
      </c>
      <c r="T60">
        <f>'Export shares'!T60*'Indirect NH3 demand sources'!T$3</f>
        <v>3.0041141158735261E-3</v>
      </c>
      <c r="U60">
        <f>'Export shares'!U60*'Indirect NH3 demand sources'!U$3</f>
        <v>4.0647308083283937E-3</v>
      </c>
      <c r="V60">
        <f>'Export shares'!V60*'Indirect NH3 demand sources'!V$3</f>
        <v>5.202204208814014E-3</v>
      </c>
      <c r="W60">
        <f>'Export shares'!W60*'Indirect NH3 demand sources'!W$3</f>
        <v>1.4136205347647006E-2</v>
      </c>
      <c r="X60">
        <f>'Export shares'!X60*'Indirect NH3 demand sources'!X$3</f>
        <v>2.3410960253042686E-2</v>
      </c>
      <c r="Y60">
        <f>'Export shares'!Y60*'Indirect NH3 demand sources'!Y$3</f>
        <v>3.3027315543872275E-2</v>
      </c>
      <c r="Z60">
        <f>'Export shares'!Z60*'Indirect NH3 demand sources'!Z$3</f>
        <v>4.2984022700255135E-2</v>
      </c>
      <c r="AA60">
        <f>'Export shares'!AA60*'Indirect NH3 demand sources'!AA$3</f>
        <v>5.328596371124552E-2</v>
      </c>
      <c r="AB60">
        <f>'Export shares'!AB60*'Indirect NH3 demand sources'!AB$3</f>
        <v>6.3932963468926227E-2</v>
      </c>
      <c r="AC60">
        <f>'Export shares'!AC60*'Indirect NH3 demand sources'!AC$3</f>
        <v>7.492264777478333E-2</v>
      </c>
      <c r="AD60">
        <f>'Export shares'!AD60*'Indirect NH3 demand sources'!AD$3</f>
        <v>8.626487166422156E-2</v>
      </c>
      <c r="AE60">
        <f>'Export shares'!AE60*'Indirect NH3 demand sources'!AE$3</f>
        <v>9.7956890976144545E-2</v>
      </c>
      <c r="AF60">
        <f>'Export shares'!AF60*'Indirect NH3 demand sources'!AF$3</f>
        <v>0.11000747255411401</v>
      </c>
      <c r="AG60">
        <f>'Export shares'!AG60*'Indirect NH3 demand sources'!AG$3</f>
        <v>0.13911385770266479</v>
      </c>
      <c r="AH60">
        <f>'Export shares'!AH60*'Indirect NH3 demand sources'!AH$3</f>
        <v>0.16917813284845221</v>
      </c>
      <c r="AI60">
        <f>'Export shares'!AI60*'Indirect NH3 demand sources'!AI$3</f>
        <v>0.20020926298699154</v>
      </c>
      <c r="AJ60">
        <f>'Export shares'!AJ60*'Indirect NH3 demand sources'!AJ$3</f>
        <v>0.23221287779049432</v>
      </c>
      <c r="AK60">
        <f>'Export shares'!AK60*'Indirect NH3 demand sources'!AK$3</f>
        <v>0.26523829213246758</v>
      </c>
      <c r="AL60">
        <f>'Export shares'!AL60*'Indirect NH3 demand sources'!AL$3</f>
        <v>0.29931005486748929</v>
      </c>
      <c r="AM60">
        <f>'Export shares'!AM60*'Indirect NH3 demand sources'!AM$3</f>
        <v>0.33445510501339604</v>
      </c>
      <c r="AN60">
        <f>'Export shares'!AN60*'Indirect NH3 demand sources'!AN$3</f>
        <v>0.37066293690069624</v>
      </c>
      <c r="AO60">
        <f>'Export shares'!AO60*'Indirect NH3 demand sources'!AO$3</f>
        <v>0.40798469325722891</v>
      </c>
      <c r="AP60">
        <f>'Export shares'!AP60*'Indirect NH3 demand sources'!AP$3</f>
        <v>0.44642102151193275</v>
      </c>
    </row>
    <row r="61" spans="1:42" x14ac:dyDescent="0.3">
      <c r="A61" t="s">
        <v>60</v>
      </c>
      <c r="B61">
        <f>'Export shares'!B61*'Indirect NH3 demand sources'!B$3</f>
        <v>0</v>
      </c>
      <c r="C61">
        <f>'Export shares'!C61*'Indirect NH3 demand sources'!C$3</f>
        <v>0</v>
      </c>
      <c r="D61">
        <f>'Export shares'!D61*'Indirect NH3 demand sources'!D$3</f>
        <v>0</v>
      </c>
      <c r="E61">
        <f>'Export shares'!E61*'Indirect NH3 demand sources'!E$3</f>
        <v>0</v>
      </c>
      <c r="F61">
        <f>'Export shares'!F61*'Indirect NH3 demand sources'!F$3</f>
        <v>0</v>
      </c>
      <c r="G61">
        <f>'Export shares'!G61*'Indirect NH3 demand sources'!G$3</f>
        <v>0</v>
      </c>
      <c r="H61">
        <f>'Export shares'!H61*'Indirect NH3 demand sources'!H$3</f>
        <v>0</v>
      </c>
      <c r="I61">
        <f>'Export shares'!I61*'Indirect NH3 demand sources'!I$3</f>
        <v>0</v>
      </c>
      <c r="J61">
        <f>'Export shares'!J61*'Indirect NH3 demand sources'!J$3</f>
        <v>0</v>
      </c>
      <c r="K61">
        <f>'Export shares'!K61*'Indirect NH3 demand sources'!K$3</f>
        <v>0</v>
      </c>
      <c r="L61">
        <f>'Export shares'!L61*'Indirect NH3 demand sources'!L$3</f>
        <v>0</v>
      </c>
      <c r="M61">
        <f>'Export shares'!M61*'Indirect NH3 demand sources'!M$3</f>
        <v>0</v>
      </c>
      <c r="N61">
        <f>'Export shares'!N61*'Indirect NH3 demand sources'!N$3</f>
        <v>0</v>
      </c>
      <c r="O61">
        <f>'Export shares'!O61*'Indirect NH3 demand sources'!O$3</f>
        <v>0</v>
      </c>
      <c r="P61">
        <f>'Export shares'!P61*'Indirect NH3 demand sources'!P$3</f>
        <v>0</v>
      </c>
      <c r="Q61">
        <f>'Export shares'!Q61*'Indirect NH3 demand sources'!Q$3</f>
        <v>0</v>
      </c>
      <c r="R61">
        <f>'Export shares'!R61*'Indirect NH3 demand sources'!R$3</f>
        <v>1.868127290797245E-3</v>
      </c>
      <c r="S61">
        <f>'Export shares'!S61*'Indirect NH3 demand sources'!S$3</f>
        <v>3.7793731404512148E-3</v>
      </c>
      <c r="T61">
        <f>'Export shares'!T61*'Indirect NH3 demand sources'!T$3</f>
        <v>5.7784152382509418E-3</v>
      </c>
      <c r="U61">
        <f>'Export shares'!U61*'Indirect NH3 demand sources'!U$3</f>
        <v>7.8048993580190299E-3</v>
      </c>
      <c r="V61">
        <f>'Export shares'!V61*'Indirect NH3 demand sources'!V$3</f>
        <v>9.9936929301055952E-3</v>
      </c>
      <c r="W61">
        <f>'Export shares'!W61*'Indirect NH3 demand sources'!W$3</f>
        <v>2.7151209869347562E-2</v>
      </c>
      <c r="X61">
        <f>'Export shares'!X61*'Indirect NH3 demand sources'!X$3</f>
        <v>4.4953547729994894E-2</v>
      </c>
      <c r="Y61">
        <f>'Export shares'!Y61*'Indirect NH3 demand sources'!Y$3</f>
        <v>6.3406917740367941E-2</v>
      </c>
      <c r="Z61">
        <f>'Export shares'!Z61*'Indirect NH3 demand sources'!Z$3</f>
        <v>8.2511040842246003E-2</v>
      </c>
      <c r="AA61">
        <f>'Export shares'!AA61*'Indirect NH3 demand sources'!AA$3</f>
        <v>0.10227889487028927</v>
      </c>
      <c r="AB61">
        <f>'Export shares'!AB61*'Indirect NH3 demand sources'!AB$3</f>
        <v>0.12271181194753042</v>
      </c>
      <c r="AC61">
        <f>'Export shares'!AC61*'Indirect NH3 demand sources'!AC$3</f>
        <v>0.14381037332418248</v>
      </c>
      <c r="AD61">
        <f>'Export shares'!AD61*'Indirect NH3 demand sources'!AD$3</f>
        <v>0.16559069317666555</v>
      </c>
      <c r="AE61">
        <f>'Export shares'!AE61*'Indirect NH3 demand sources'!AE$3</f>
        <v>0.18805250396212186</v>
      </c>
      <c r="AF61">
        <f>'Export shares'!AF61*'Indirect NH3 demand sources'!AF$3</f>
        <v>0.21121643790936154</v>
      </c>
      <c r="AG61">
        <f>'Export shares'!AG61*'Indirect NH3 demand sources'!AG$3</f>
        <v>0.2671466060089237</v>
      </c>
      <c r="AH61">
        <f>'Export shares'!AH61*'Indirect NH3 demand sources'!AH$3</f>
        <v>0.32492977557660752</v>
      </c>
      <c r="AI61">
        <f>'Export shares'!AI61*'Indirect NH3 demand sources'!AI$3</f>
        <v>0.38459991236099939</v>
      </c>
      <c r="AJ61">
        <f>'Export shares'!AJ61*'Indirect NH3 demand sources'!AJ$3</f>
        <v>0.44616715093934822</v>
      </c>
      <c r="AK61">
        <f>'Export shares'!AK61*'Indirect NH3 demand sources'!AK$3</f>
        <v>0.5097375675871012</v>
      </c>
      <c r="AL61">
        <f>'Export shares'!AL61*'Indirect NH3 demand sources'!AL$3</f>
        <v>0.57534745601234272</v>
      </c>
      <c r="AM61">
        <f>'Export shares'!AM61*'Indirect NH3 demand sources'!AM$3</f>
        <v>0.64302559522924385</v>
      </c>
      <c r="AN61">
        <f>'Export shares'!AN61*'Indirect NH3 demand sources'!AN$3</f>
        <v>0.7128191808224279</v>
      </c>
      <c r="AO61">
        <f>'Export shares'!AO61*'Indirect NH3 demand sources'!AO$3</f>
        <v>0.78476969369913541</v>
      </c>
      <c r="AP61">
        <f>'Export shares'!AP61*'Indirect NH3 demand sources'!AP$3</f>
        <v>0.85888551331721674</v>
      </c>
    </row>
    <row r="62" spans="1:42" x14ac:dyDescent="0.3">
      <c r="A62" t="s">
        <v>61</v>
      </c>
      <c r="B62">
        <f>'Export shares'!B62*'Indirect NH3 demand sources'!B$3</f>
        <v>0</v>
      </c>
      <c r="C62">
        <f>'Export shares'!C62*'Indirect NH3 demand sources'!C$3</f>
        <v>0</v>
      </c>
      <c r="D62">
        <f>'Export shares'!D62*'Indirect NH3 demand sources'!D$3</f>
        <v>0</v>
      </c>
      <c r="E62">
        <f>'Export shares'!E62*'Indirect NH3 demand sources'!E$3</f>
        <v>0</v>
      </c>
      <c r="F62">
        <f>'Export shares'!F62*'Indirect NH3 demand sources'!F$3</f>
        <v>0</v>
      </c>
      <c r="G62">
        <f>'Export shares'!G62*'Indirect NH3 demand sources'!G$3</f>
        <v>0</v>
      </c>
      <c r="H62">
        <f>'Export shares'!H62*'Indirect NH3 demand sources'!H$3</f>
        <v>0</v>
      </c>
      <c r="I62">
        <f>'Export shares'!I62*'Indirect NH3 demand sources'!I$3</f>
        <v>0</v>
      </c>
      <c r="J62">
        <f>'Export shares'!J62*'Indirect NH3 demand sources'!J$3</f>
        <v>0</v>
      </c>
      <c r="K62">
        <f>'Export shares'!K62*'Indirect NH3 demand sources'!K$3</f>
        <v>0</v>
      </c>
      <c r="L62">
        <f>'Export shares'!L62*'Indirect NH3 demand sources'!L$3</f>
        <v>0</v>
      </c>
      <c r="M62">
        <f>'Export shares'!M62*'Indirect NH3 demand sources'!M$3</f>
        <v>0</v>
      </c>
      <c r="N62">
        <f>'Export shares'!N62*'Indirect NH3 demand sources'!N$3</f>
        <v>0</v>
      </c>
      <c r="O62">
        <f>'Export shares'!O62*'Indirect NH3 demand sources'!O$3</f>
        <v>0</v>
      </c>
      <c r="P62">
        <f>'Export shares'!P62*'Indirect NH3 demand sources'!P$3</f>
        <v>0</v>
      </c>
      <c r="Q62">
        <f>'Export shares'!Q62*'Indirect NH3 demand sources'!Q$3</f>
        <v>0</v>
      </c>
      <c r="R62">
        <f>'Export shares'!R62*'Indirect NH3 demand sources'!R$3</f>
        <v>7.8446221136362002E-3</v>
      </c>
      <c r="S62">
        <f>'Export shares'!S62*'Indirect NH3 demand sources'!S$3</f>
        <v>1.5792223062846684E-2</v>
      </c>
      <c r="T62">
        <f>'Export shares'!T62*'Indirect NH3 demand sources'!T$3</f>
        <v>2.4254857647205634E-2</v>
      </c>
      <c r="U62">
        <f>'Export shares'!U62*'Indirect NH3 demand sources'!U$3</f>
        <v>3.2906546285987597E-2</v>
      </c>
      <c r="V62">
        <f>'Export shares'!V62*'Indirect NH3 demand sources'!V$3</f>
        <v>4.1038135015068991E-2</v>
      </c>
      <c r="W62">
        <f>'Export shares'!W62*'Indirect NH3 demand sources'!W$3</f>
        <v>0.11027745354944195</v>
      </c>
      <c r="X62">
        <f>'Export shares'!X62*'Indirect NH3 demand sources'!X$3</f>
        <v>0.18059717347761209</v>
      </c>
      <c r="Y62">
        <f>'Export shares'!Y62*'Indirect NH3 demand sources'!Y$3</f>
        <v>0.25196982953466995</v>
      </c>
      <c r="Z62">
        <f>'Export shares'!Z62*'Indirect NH3 demand sources'!Z$3</f>
        <v>0.32434187741226261</v>
      </c>
      <c r="AA62">
        <f>'Export shares'!AA62*'Indirect NH3 demand sources'!AA$3</f>
        <v>0.39771704030304117</v>
      </c>
      <c r="AB62">
        <f>'Export shares'!AB62*'Indirect NH3 demand sources'!AB$3</f>
        <v>0.47205188993856761</v>
      </c>
      <c r="AC62">
        <f>'Export shares'!AC62*'Indirect NH3 demand sources'!AC$3</f>
        <v>0.54729030188126637</v>
      </c>
      <c r="AD62">
        <f>'Export shares'!AD62*'Indirect NH3 demand sources'!AD$3</f>
        <v>0.62344927826996055</v>
      </c>
      <c r="AE62">
        <f>'Export shares'!AE62*'Indirect NH3 demand sources'!AE$3</f>
        <v>0.70047281296567976</v>
      </c>
      <c r="AF62">
        <f>'Export shares'!AF62*'Indirect NH3 demand sources'!AF$3</f>
        <v>0.77847273107262949</v>
      </c>
      <c r="AG62">
        <f>'Export shares'!AG62*'Indirect NH3 demand sources'!AG$3</f>
        <v>0.97434988536489597</v>
      </c>
      <c r="AH62">
        <f>'Export shares'!AH62*'Indirect NH3 demand sources'!AH$3</f>
        <v>1.1726207763337846</v>
      </c>
      <c r="AI62">
        <f>'Export shares'!AI62*'Indirect NH3 demand sources'!AI$3</f>
        <v>1.3733574775413384</v>
      </c>
      <c r="AJ62">
        <f>'Export shares'!AJ62*'Indirect NH3 demand sources'!AJ$3</f>
        <v>1.5765711157623732</v>
      </c>
      <c r="AK62">
        <f>'Export shares'!AK62*'Indirect NH3 demand sources'!AK$3</f>
        <v>1.7823565273808921</v>
      </c>
      <c r="AL62">
        <f>'Export shares'!AL62*'Indirect NH3 demand sources'!AL$3</f>
        <v>1.9907694010518944</v>
      </c>
      <c r="AM62">
        <f>'Export shares'!AM62*'Indirect NH3 demand sources'!AM$3</f>
        <v>2.2018160227722472</v>
      </c>
      <c r="AN62">
        <f>'Export shares'!AN62*'Indirect NH3 demand sources'!AN$3</f>
        <v>2.4154766707334452</v>
      </c>
      <c r="AO62">
        <f>'Export shares'!AO62*'Indirect NH3 demand sources'!AO$3</f>
        <v>2.6317744248193753</v>
      </c>
      <c r="AP62">
        <f>'Export shares'!AP62*'Indirect NH3 demand sources'!AP$3</f>
        <v>2.85074868396558</v>
      </c>
    </row>
    <row r="63" spans="1:42" x14ac:dyDescent="0.3">
      <c r="A63" t="s">
        <v>62</v>
      </c>
      <c r="B63">
        <f>'Export shares'!B63*'Indirect NH3 demand sources'!B$3</f>
        <v>0</v>
      </c>
      <c r="C63">
        <f>'Export shares'!C63*'Indirect NH3 demand sources'!C$3</f>
        <v>0</v>
      </c>
      <c r="D63">
        <f>'Export shares'!D63*'Indirect NH3 demand sources'!D$3</f>
        <v>0</v>
      </c>
      <c r="E63">
        <f>'Export shares'!E63*'Indirect NH3 demand sources'!E$3</f>
        <v>0</v>
      </c>
      <c r="F63">
        <f>'Export shares'!F63*'Indirect NH3 demand sources'!F$3</f>
        <v>0</v>
      </c>
      <c r="G63">
        <f>'Export shares'!G63*'Indirect NH3 demand sources'!G$3</f>
        <v>0</v>
      </c>
      <c r="H63">
        <f>'Export shares'!H63*'Indirect NH3 demand sources'!H$3</f>
        <v>0</v>
      </c>
      <c r="I63">
        <f>'Export shares'!I63*'Indirect NH3 demand sources'!I$3</f>
        <v>0</v>
      </c>
      <c r="J63">
        <f>'Export shares'!J63*'Indirect NH3 demand sources'!J$3</f>
        <v>0</v>
      </c>
      <c r="K63">
        <f>'Export shares'!K63*'Indirect NH3 demand sources'!K$3</f>
        <v>0</v>
      </c>
      <c r="L63">
        <f>'Export shares'!L63*'Indirect NH3 demand sources'!L$3</f>
        <v>0</v>
      </c>
      <c r="M63">
        <f>'Export shares'!M63*'Indirect NH3 demand sources'!M$3</f>
        <v>0</v>
      </c>
      <c r="N63">
        <f>'Export shares'!N63*'Indirect NH3 demand sources'!N$3</f>
        <v>0</v>
      </c>
      <c r="O63">
        <f>'Export shares'!O63*'Indirect NH3 demand sources'!O$3</f>
        <v>0</v>
      </c>
      <c r="P63">
        <f>'Export shares'!P63*'Indirect NH3 demand sources'!P$3</f>
        <v>0</v>
      </c>
      <c r="Q63">
        <f>'Export shares'!Q63*'Indirect NH3 demand sources'!Q$3</f>
        <v>0</v>
      </c>
      <c r="R63">
        <f>'Export shares'!R63*'Indirect NH3 demand sources'!R$3</f>
        <v>1.9125692953572576E-3</v>
      </c>
      <c r="S63">
        <f>'Export shares'!S63*'Indirect NH3 demand sources'!S$3</f>
        <v>3.8235674676300054E-3</v>
      </c>
      <c r="T63">
        <f>'Export shares'!T63*'Indirect NH3 demand sources'!T$3</f>
        <v>6.0169836164983819E-3</v>
      </c>
      <c r="U63">
        <f>'Export shares'!U63*'Indirect NH3 demand sources'!U$3</f>
        <v>8.1582721898775506E-3</v>
      </c>
      <c r="V63">
        <f>'Export shares'!V63*'Indirect NH3 demand sources'!V$3</f>
        <v>1.033217087943648E-2</v>
      </c>
      <c r="W63">
        <f>'Export shares'!W63*'Indirect NH3 demand sources'!W$3</f>
        <v>2.7965455990974015E-2</v>
      </c>
      <c r="X63">
        <f>'Export shares'!X63*'Indirect NH3 demand sources'!X$3</f>
        <v>4.6094093609124059E-2</v>
      </c>
      <c r="Y63">
        <f>'Export shares'!Y63*'Indirect NH3 demand sources'!Y$3</f>
        <v>6.4674481369664555E-2</v>
      </c>
      <c r="Z63">
        <f>'Export shares'!Z63*'Indirect NH3 demand sources'!Z$3</f>
        <v>8.3664776517091907E-2</v>
      </c>
      <c r="AA63">
        <f>'Export shares'!AA63*'Indirect NH3 demand sources'!AA$3</f>
        <v>0.10302580518455089</v>
      </c>
      <c r="AB63">
        <f>'Export shares'!AB63*'Indirect NH3 demand sources'!AB$3</f>
        <v>0.12272021896897686</v>
      </c>
      <c r="AC63">
        <f>'Export shares'!AC63*'Indirect NH3 demand sources'!AC$3</f>
        <v>0.14269864721804476</v>
      </c>
      <c r="AD63">
        <f>'Export shares'!AD63*'Indirect NH3 demand sources'!AD$3</f>
        <v>0.16294022312804346</v>
      </c>
      <c r="AE63">
        <f>'Export shares'!AE63*'Indirect NH3 demand sources'!AE$3</f>
        <v>0.1834031283803052</v>
      </c>
      <c r="AF63">
        <f>'Export shares'!AF63*'Indirect NH3 demand sources'!AF$3</f>
        <v>0.20406424413772795</v>
      </c>
      <c r="AG63">
        <f>'Export shares'!AG63*'Indirect NH3 demand sources'!AG$3</f>
        <v>0.25556955282948596</v>
      </c>
      <c r="AH63">
        <f>'Export shares'!AH63*'Indirect NH3 demand sources'!AH$3</f>
        <v>0.30765079996017897</v>
      </c>
      <c r="AI63">
        <f>'Export shares'!AI63*'Indirect NH3 demand sources'!AI$3</f>
        <v>0.36024178740715923</v>
      </c>
      <c r="AJ63">
        <f>'Export shares'!AJ63*'Indirect NH3 demand sources'!AJ$3</f>
        <v>0.41325139829314467</v>
      </c>
      <c r="AK63">
        <f>'Export shares'!AK63*'Indirect NH3 demand sources'!AK$3</f>
        <v>0.46667792560649424</v>
      </c>
      <c r="AL63">
        <f>'Export shares'!AL63*'Indirect NH3 demand sources'!AL$3</f>
        <v>0.52043901190378383</v>
      </c>
      <c r="AM63">
        <f>'Export shares'!AM63*'Indirect NH3 demand sources'!AM$3</f>
        <v>0.57449460398006036</v>
      </c>
      <c r="AN63">
        <f>'Export shares'!AN63*'Indirect NH3 demand sources'!AN$3</f>
        <v>0.62878985545396138</v>
      </c>
      <c r="AO63">
        <f>'Export shares'!AO63*'Indirect NH3 demand sources'!AO$3</f>
        <v>0.68327771462730535</v>
      </c>
      <c r="AP63">
        <f>'Export shares'!AP63*'Indirect NH3 demand sources'!AP$3</f>
        <v>0.73787575139122896</v>
      </c>
    </row>
    <row r="64" spans="1:42" x14ac:dyDescent="0.3">
      <c r="A64" t="s">
        <v>63</v>
      </c>
      <c r="B64">
        <f>'Export shares'!B64*'Indirect NH3 demand sources'!B$3</f>
        <v>0</v>
      </c>
      <c r="C64">
        <f>'Export shares'!C64*'Indirect NH3 demand sources'!C$3</f>
        <v>0</v>
      </c>
      <c r="D64">
        <f>'Export shares'!D64*'Indirect NH3 demand sources'!D$3</f>
        <v>0</v>
      </c>
      <c r="E64">
        <f>'Export shares'!E64*'Indirect NH3 demand sources'!E$3</f>
        <v>0</v>
      </c>
      <c r="F64">
        <f>'Export shares'!F64*'Indirect NH3 demand sources'!F$3</f>
        <v>0</v>
      </c>
      <c r="G64">
        <f>'Export shares'!G64*'Indirect NH3 demand sources'!G$3</f>
        <v>0</v>
      </c>
      <c r="H64">
        <f>'Export shares'!H64*'Indirect NH3 demand sources'!H$3</f>
        <v>0</v>
      </c>
      <c r="I64">
        <f>'Export shares'!I64*'Indirect NH3 demand sources'!I$3</f>
        <v>0</v>
      </c>
      <c r="J64">
        <f>'Export shares'!J64*'Indirect NH3 demand sources'!J$3</f>
        <v>0</v>
      </c>
      <c r="K64">
        <f>'Export shares'!K64*'Indirect NH3 demand sources'!K$3</f>
        <v>0</v>
      </c>
      <c r="L64">
        <f>'Export shares'!L64*'Indirect NH3 demand sources'!L$3</f>
        <v>0</v>
      </c>
      <c r="M64">
        <f>'Export shares'!M64*'Indirect NH3 demand sources'!M$3</f>
        <v>0</v>
      </c>
      <c r="N64">
        <f>'Export shares'!N64*'Indirect NH3 demand sources'!N$3</f>
        <v>0</v>
      </c>
      <c r="O64">
        <f>'Export shares'!O64*'Indirect NH3 demand sources'!O$3</f>
        <v>0</v>
      </c>
      <c r="P64">
        <f>'Export shares'!P64*'Indirect NH3 demand sources'!P$3</f>
        <v>0</v>
      </c>
      <c r="Q64">
        <f>'Export shares'!Q64*'Indirect NH3 demand sources'!Q$3</f>
        <v>0</v>
      </c>
      <c r="R64">
        <f>'Export shares'!R64*'Indirect NH3 demand sources'!R$3</f>
        <v>2.0620172367091919E-3</v>
      </c>
      <c r="S64">
        <f>'Export shares'!S64*'Indirect NH3 demand sources'!S$3</f>
        <v>4.1643799294378064E-3</v>
      </c>
      <c r="T64">
        <f>'Export shares'!T64*'Indirect NH3 demand sources'!T$3</f>
        <v>6.3472868355373691E-3</v>
      </c>
      <c r="U64">
        <f>'Export shares'!U64*'Indirect NH3 demand sources'!U$3</f>
        <v>8.5727835251007255E-3</v>
      </c>
      <c r="V64">
        <f>'Export shares'!V64*'Indirect NH3 demand sources'!V$3</f>
        <v>1.0975771518196148E-2</v>
      </c>
      <c r="W64">
        <f>'Export shares'!W64*'Indirect NH3 demand sources'!W$3</f>
        <v>2.9805266790348024E-2</v>
      </c>
      <c r="X64">
        <f>'Export shares'!X64*'Indirect NH3 demand sources'!X$3</f>
        <v>4.9325169124364222E-2</v>
      </c>
      <c r="Y64">
        <f>'Export shares'!Y64*'Indirect NH3 demand sources'!Y$3</f>
        <v>6.9527537645408838E-2</v>
      </c>
      <c r="Z64">
        <f>'Export shares'!Z64*'Indirect NH3 demand sources'!Z$3</f>
        <v>9.0452173055149479E-2</v>
      </c>
      <c r="AA64">
        <f>'Export shares'!AA64*'Indirect NH3 demand sources'!AA$3</f>
        <v>0.11206996310192499</v>
      </c>
      <c r="AB64">
        <f>'Export shares'!AB64*'Indirect NH3 demand sources'!AB$3</f>
        <v>0.13441942689972067</v>
      </c>
      <c r="AC64">
        <f>'Export shares'!AC64*'Indirect NH3 demand sources'!AC$3</f>
        <v>0.15748311987808231</v>
      </c>
      <c r="AD64">
        <f>'Export shares'!AD64*'Indirect NH3 demand sources'!AD$3</f>
        <v>0.18126492228384705</v>
      </c>
      <c r="AE64">
        <f>'Export shares'!AE64*'Indirect NH3 demand sources'!AE$3</f>
        <v>0.20581366292512038</v>
      </c>
      <c r="AF64">
        <f>'Export shares'!AF64*'Indirect NH3 demand sources'!AF$3</f>
        <v>0.23102375046105991</v>
      </c>
      <c r="AG64">
        <f>'Export shares'!AG64*'Indirect NH3 demand sources'!AG$3</f>
        <v>0.29202230383867184</v>
      </c>
      <c r="AH64">
        <f>'Export shares'!AH64*'Indirect NH3 demand sources'!AH$3</f>
        <v>0.35499954485348723</v>
      </c>
      <c r="AI64">
        <f>'Export shares'!AI64*'Indirect NH3 demand sources'!AI$3</f>
        <v>0.42000047668274976</v>
      </c>
      <c r="AJ64">
        <f>'Export shares'!AJ64*'Indirect NH3 demand sources'!AJ$3</f>
        <v>0.48705313095069025</v>
      </c>
      <c r="AK64">
        <f>'Export shares'!AK64*'Indirect NH3 demand sources'!AK$3</f>
        <v>0.55628376239821176</v>
      </c>
      <c r="AL64">
        <f>'Export shares'!AL64*'Indirect NH3 demand sources'!AL$3</f>
        <v>0.62769694409346266</v>
      </c>
      <c r="AM64">
        <f>'Export shares'!AM64*'Indirect NH3 demand sources'!AM$3</f>
        <v>0.7012982417498872</v>
      </c>
      <c r="AN64">
        <f>'Export shares'!AN64*'Indirect NH3 demand sources'!AN$3</f>
        <v>0.77713947679909001</v>
      </c>
      <c r="AO64">
        <f>'Export shares'!AO64*'Indirect NH3 demand sources'!AO$3</f>
        <v>0.85530507845272719</v>
      </c>
      <c r="AP64">
        <f>'Export shares'!AP64*'Indirect NH3 demand sources'!AP$3</f>
        <v>0.93583743971280042</v>
      </c>
    </row>
    <row r="65" spans="1:42" x14ac:dyDescent="0.3">
      <c r="A65" t="s">
        <v>64</v>
      </c>
      <c r="B65">
        <f>'Export shares'!B65*'Indirect NH3 demand sources'!B$3</f>
        <v>0</v>
      </c>
      <c r="C65">
        <f>'Export shares'!C65*'Indirect NH3 demand sources'!C$3</f>
        <v>0</v>
      </c>
      <c r="D65">
        <f>'Export shares'!D65*'Indirect NH3 demand sources'!D$3</f>
        <v>0</v>
      </c>
      <c r="E65">
        <f>'Export shares'!E65*'Indirect NH3 demand sources'!E$3</f>
        <v>0</v>
      </c>
      <c r="F65">
        <f>'Export shares'!F65*'Indirect NH3 demand sources'!F$3</f>
        <v>0</v>
      </c>
      <c r="G65">
        <f>'Export shares'!G65*'Indirect NH3 demand sources'!G$3</f>
        <v>0</v>
      </c>
      <c r="H65">
        <f>'Export shares'!H65*'Indirect NH3 demand sources'!H$3</f>
        <v>0</v>
      </c>
      <c r="I65">
        <f>'Export shares'!I65*'Indirect NH3 demand sources'!I$3</f>
        <v>0</v>
      </c>
      <c r="J65">
        <f>'Export shares'!J65*'Indirect NH3 demand sources'!J$3</f>
        <v>0</v>
      </c>
      <c r="K65">
        <f>'Export shares'!K65*'Indirect NH3 demand sources'!K$3</f>
        <v>0</v>
      </c>
      <c r="L65">
        <f>'Export shares'!L65*'Indirect NH3 demand sources'!L$3</f>
        <v>0</v>
      </c>
      <c r="M65">
        <f>'Export shares'!M65*'Indirect NH3 demand sources'!M$3</f>
        <v>0</v>
      </c>
      <c r="N65">
        <f>'Export shares'!N65*'Indirect NH3 demand sources'!N$3</f>
        <v>0</v>
      </c>
      <c r="O65">
        <f>'Export shares'!O65*'Indirect NH3 demand sources'!O$3</f>
        <v>0</v>
      </c>
      <c r="P65">
        <f>'Export shares'!P65*'Indirect NH3 demand sources'!P$3</f>
        <v>0</v>
      </c>
      <c r="Q65">
        <f>'Export shares'!Q65*'Indirect NH3 demand sources'!Q$3</f>
        <v>0</v>
      </c>
      <c r="R65">
        <f>'Export shares'!R65*'Indirect NH3 demand sources'!R$3</f>
        <v>4.0651367069221244E-4</v>
      </c>
      <c r="S65">
        <f>'Export shares'!S65*'Indirect NH3 demand sources'!S$3</f>
        <v>8.2676140516946229E-4</v>
      </c>
      <c r="T65">
        <f>'Export shares'!T65*'Indirect NH3 demand sources'!T$3</f>
        <v>1.251907920243496E-3</v>
      </c>
      <c r="U65">
        <f>'Export shares'!U65*'Indirect NH3 demand sources'!U$3</f>
        <v>1.6909347308799131E-3</v>
      </c>
      <c r="V65">
        <f>'Export shares'!V65*'Indirect NH3 demand sources'!V$3</f>
        <v>2.1651319885321722E-3</v>
      </c>
      <c r="W65">
        <f>'Export shares'!W65*'Indirect NH3 demand sources'!W$3</f>
        <v>5.8820205466403857E-3</v>
      </c>
      <c r="X65">
        <f>'Export shares'!X65*'Indirect NH3 demand sources'!X$3</f>
        <v>9.7386651197432852E-3</v>
      </c>
      <c r="Y65">
        <f>'Export shares'!Y65*'Indirect NH3 demand sources'!Y$3</f>
        <v>1.3736231840881746E-2</v>
      </c>
      <c r="Z65">
        <f>'Export shares'!Z65*'Indirect NH3 demand sources'!Z$3</f>
        <v>1.7875728032347899E-2</v>
      </c>
      <c r="AA65">
        <f>'Export shares'!AA65*'Indirect NH3 demand sources'!AA$3</f>
        <v>2.2160080496921291E-2</v>
      </c>
      <c r="AB65">
        <f>'Export shares'!AB65*'Indirect NH3 demand sources'!AB$3</f>
        <v>2.658697680484683E-2</v>
      </c>
      <c r="AC65">
        <f>'Export shares'!AC65*'Indirect NH3 demand sources'!AC$3</f>
        <v>3.1158135909924809E-2</v>
      </c>
      <c r="AD65">
        <f>'Export shares'!AD65*'Indirect NH3 demand sources'!AD$3</f>
        <v>3.5877751394275702E-2</v>
      </c>
      <c r="AE65">
        <f>'Export shares'!AE65*'Indirect NH3 demand sources'!AE$3</f>
        <v>4.0746436926419001E-2</v>
      </c>
      <c r="AF65">
        <f>'Export shares'!AF65*'Indirect NH3 demand sources'!AF$3</f>
        <v>4.5762524297949657E-2</v>
      </c>
      <c r="AG65">
        <f>'Export shares'!AG65*'Indirect NH3 demand sources'!AG$3</f>
        <v>5.7874190903913485E-2</v>
      </c>
      <c r="AH65">
        <f>'Export shares'!AH65*'Indirect NH3 demand sources'!AH$3</f>
        <v>7.0389548985644187E-2</v>
      </c>
      <c r="AI65">
        <f>'Export shares'!AI65*'Indirect NH3 demand sources'!AI$3</f>
        <v>8.3313957262182659E-2</v>
      </c>
      <c r="AJ65">
        <f>'Export shares'!AJ65*'Indirect NH3 demand sources'!AJ$3</f>
        <v>9.6654995612274017E-2</v>
      </c>
      <c r="AK65">
        <f>'Export shares'!AK65*'Indirect NH3 demand sources'!AK$3</f>
        <v>0.11042691737437965</v>
      </c>
      <c r="AL65">
        <f>'Export shares'!AL65*'Indirect NH3 demand sources'!AL$3</f>
        <v>0.12463968670453418</v>
      </c>
      <c r="AM65">
        <f>'Export shares'!AM65*'Indirect NH3 demand sources'!AM$3</f>
        <v>0.13929693114106748</v>
      </c>
      <c r="AN65">
        <f>'Export shares'!AN65*'Indirect NH3 demand sources'!AN$3</f>
        <v>0.15441370407440308</v>
      </c>
      <c r="AO65">
        <f>'Export shares'!AO65*'Indirect NH3 demand sources'!AO$3</f>
        <v>0.16999772116025197</v>
      </c>
      <c r="AP65">
        <f>'Export shares'!AP65*'Indirect NH3 demand sources'!AP$3</f>
        <v>0.18605458097146993</v>
      </c>
    </row>
    <row r="66" spans="1:42" x14ac:dyDescent="0.3">
      <c r="A66" t="s">
        <v>65</v>
      </c>
      <c r="B66">
        <f>'Export shares'!B66*'Indirect NH3 demand sources'!B$3</f>
        <v>0</v>
      </c>
      <c r="C66">
        <f>'Export shares'!C66*'Indirect NH3 demand sources'!C$3</f>
        <v>0</v>
      </c>
      <c r="D66">
        <f>'Export shares'!D66*'Indirect NH3 demand sources'!D$3</f>
        <v>0</v>
      </c>
      <c r="E66">
        <f>'Export shares'!E66*'Indirect NH3 demand sources'!E$3</f>
        <v>0</v>
      </c>
      <c r="F66">
        <f>'Export shares'!F66*'Indirect NH3 demand sources'!F$3</f>
        <v>0</v>
      </c>
      <c r="G66">
        <f>'Export shares'!G66*'Indirect NH3 demand sources'!G$3</f>
        <v>0</v>
      </c>
      <c r="H66">
        <f>'Export shares'!H66*'Indirect NH3 demand sources'!H$3</f>
        <v>0</v>
      </c>
      <c r="I66">
        <f>'Export shares'!I66*'Indirect NH3 demand sources'!I$3</f>
        <v>0</v>
      </c>
      <c r="J66">
        <f>'Export shares'!J66*'Indirect NH3 demand sources'!J$3</f>
        <v>0</v>
      </c>
      <c r="K66">
        <f>'Export shares'!K66*'Indirect NH3 demand sources'!K$3</f>
        <v>0</v>
      </c>
      <c r="L66">
        <f>'Export shares'!L66*'Indirect NH3 demand sources'!L$3</f>
        <v>0</v>
      </c>
      <c r="M66">
        <f>'Export shares'!M66*'Indirect NH3 demand sources'!M$3</f>
        <v>0</v>
      </c>
      <c r="N66">
        <f>'Export shares'!N66*'Indirect NH3 demand sources'!N$3</f>
        <v>0</v>
      </c>
      <c r="O66">
        <f>'Export shares'!O66*'Indirect NH3 demand sources'!O$3</f>
        <v>0</v>
      </c>
      <c r="P66">
        <f>'Export shares'!P66*'Indirect NH3 demand sources'!P$3</f>
        <v>0</v>
      </c>
      <c r="Q66">
        <f>'Export shares'!Q66*'Indirect NH3 demand sources'!Q$3</f>
        <v>0</v>
      </c>
      <c r="R66">
        <f>'Export shares'!R66*'Indirect NH3 demand sources'!R$3</f>
        <v>2.4929572189830219E-3</v>
      </c>
      <c r="S66">
        <f>'Export shares'!S66*'Indirect NH3 demand sources'!S$3</f>
        <v>5.1570389567134065E-3</v>
      </c>
      <c r="T66">
        <f>'Export shares'!T66*'Indirect NH3 demand sources'!T$3</f>
        <v>7.7094771402998023E-3</v>
      </c>
      <c r="U66">
        <f>'Export shares'!U66*'Indirect NH3 demand sources'!U$3</f>
        <v>1.0413331778987628E-2</v>
      </c>
      <c r="V66">
        <f>'Export shares'!V66*'Indirect NH3 demand sources'!V$3</f>
        <v>1.3333697503113487E-2</v>
      </c>
      <c r="W66">
        <f>'Export shares'!W66*'Indirect NH3 demand sources'!W$3</f>
        <v>3.6224980626176191E-2</v>
      </c>
      <c r="X66">
        <f>'Export shares'!X66*'Indirect NH3 demand sources'!X$3</f>
        <v>5.9978323754483538E-2</v>
      </c>
      <c r="Y66">
        <f>'Export shares'!Y66*'Indirect NH3 demand sources'!Y$3</f>
        <v>8.4600554281344539E-2</v>
      </c>
      <c r="Z66">
        <f>'Export shares'!Z66*'Indirect NH3 demand sources'!Z$3</f>
        <v>0.11009311268015635</v>
      </c>
      <c r="AA66">
        <f>'Export shares'!AA66*'Indirect NH3 demand sources'!AA$3</f>
        <v>0.13647312577420279</v>
      </c>
      <c r="AB66">
        <f>'Export shares'!AB66*'Indirect NH3 demand sources'!AB$3</f>
        <v>0.16374071216736547</v>
      </c>
      <c r="AC66">
        <f>'Export shares'!AC66*'Indirect NH3 demand sources'!AC$3</f>
        <v>0.19189166384333584</v>
      </c>
      <c r="AD66">
        <f>'Export shares'!AD66*'Indirect NH3 demand sources'!AD$3</f>
        <v>0.22095826955417058</v>
      </c>
      <c r="AE66">
        <f>'Export shares'!AE66*'Indirect NH3 demand sources'!AE$3</f>
        <v>0.25092842532555881</v>
      </c>
      <c r="AF66">
        <f>'Export shares'!AF66*'Indirect NH3 demand sources'!AF$3</f>
        <v>0.28182952593856747</v>
      </c>
      <c r="AG66">
        <f>'Export shares'!AG66*'Indirect NH3 demand sources'!AG$3</f>
        <v>0.35644421122350256</v>
      </c>
      <c r="AH66">
        <f>'Export shares'!AH66*'Indirect NH3 demand sources'!AH$3</f>
        <v>0.43353514426093054</v>
      </c>
      <c r="AI66">
        <f>'Export shares'!AI66*'Indirect NH3 demand sources'!AI$3</f>
        <v>0.51314462532416616</v>
      </c>
      <c r="AJ66">
        <f>'Export shares'!AJ66*'Indirect NH3 demand sources'!AJ$3</f>
        <v>0.59529338751372274</v>
      </c>
      <c r="AK66">
        <f>'Export shares'!AK66*'Indirect NH3 demand sources'!AK$3</f>
        <v>0.68009978419291284</v>
      </c>
      <c r="AL66">
        <f>'Export shares'!AL66*'Indirect NH3 demand sources'!AL$3</f>
        <v>0.7676388873187</v>
      </c>
      <c r="AM66">
        <f>'Export shares'!AM66*'Indirect NH3 demand sources'!AM$3</f>
        <v>0.85792777616702842</v>
      </c>
      <c r="AN66">
        <f>'Export shares'!AN66*'Indirect NH3 demand sources'!AN$3</f>
        <v>0.95104052742647183</v>
      </c>
      <c r="AO66">
        <f>'Export shares'!AO66*'Indirect NH3 demand sources'!AO$3</f>
        <v>1.0470275151032582</v>
      </c>
      <c r="AP66">
        <f>'Export shares'!AP66*'Indirect NH3 demand sources'!AP$3</f>
        <v>1.14594857745673</v>
      </c>
    </row>
    <row r="67" spans="1:42" x14ac:dyDescent="0.3">
      <c r="A67" t="s">
        <v>66</v>
      </c>
      <c r="B67">
        <f>'Export shares'!B67*'Indirect NH3 demand sources'!B$3</f>
        <v>0</v>
      </c>
      <c r="C67">
        <f>'Export shares'!C67*'Indirect NH3 demand sources'!C$3</f>
        <v>0</v>
      </c>
      <c r="D67">
        <f>'Export shares'!D67*'Indirect NH3 demand sources'!D$3</f>
        <v>0</v>
      </c>
      <c r="E67">
        <f>'Export shares'!E67*'Indirect NH3 demand sources'!E$3</f>
        <v>0</v>
      </c>
      <c r="F67">
        <f>'Export shares'!F67*'Indirect NH3 demand sources'!F$3</f>
        <v>0</v>
      </c>
      <c r="G67">
        <f>'Export shares'!G67*'Indirect NH3 demand sources'!G$3</f>
        <v>0</v>
      </c>
      <c r="H67">
        <f>'Export shares'!H67*'Indirect NH3 demand sources'!H$3</f>
        <v>0</v>
      </c>
      <c r="I67">
        <f>'Export shares'!I67*'Indirect NH3 demand sources'!I$3</f>
        <v>0</v>
      </c>
      <c r="J67">
        <f>'Export shares'!J67*'Indirect NH3 demand sources'!J$3</f>
        <v>0</v>
      </c>
      <c r="K67">
        <f>'Export shares'!K67*'Indirect NH3 demand sources'!K$3</f>
        <v>0</v>
      </c>
      <c r="L67">
        <f>'Export shares'!L67*'Indirect NH3 demand sources'!L$3</f>
        <v>0</v>
      </c>
      <c r="M67">
        <f>'Export shares'!M67*'Indirect NH3 demand sources'!M$3</f>
        <v>0</v>
      </c>
      <c r="N67">
        <f>'Export shares'!N67*'Indirect NH3 demand sources'!N$3</f>
        <v>0</v>
      </c>
      <c r="O67">
        <f>'Export shares'!O67*'Indirect NH3 demand sources'!O$3</f>
        <v>0</v>
      </c>
      <c r="P67">
        <f>'Export shares'!P67*'Indirect NH3 demand sources'!P$3</f>
        <v>0</v>
      </c>
      <c r="Q67">
        <f>'Export shares'!Q67*'Indirect NH3 demand sources'!Q$3</f>
        <v>0</v>
      </c>
      <c r="R67">
        <f>'Export shares'!R67*'Indirect NH3 demand sources'!R$3</f>
        <v>1.9836834889290374E-3</v>
      </c>
      <c r="S67">
        <f>'Export shares'!S67*'Indirect NH3 demand sources'!S$3</f>
        <v>4.1168051409083964E-3</v>
      </c>
      <c r="T67">
        <f>'Export shares'!T67*'Indirect NH3 demand sources'!T$3</f>
        <v>6.1163066509280009E-3</v>
      </c>
      <c r="U67">
        <f>'Export shares'!U67*'Indirect NH3 demand sources'!U$3</f>
        <v>8.2626856500872901E-3</v>
      </c>
      <c r="V67">
        <f>'Export shares'!V67*'Indirect NH3 demand sources'!V$3</f>
        <v>1.0580621560845157E-2</v>
      </c>
      <c r="W67">
        <f>'Export shares'!W67*'Indirect NH3 demand sources'!W$3</f>
        <v>2.8744405805564692E-2</v>
      </c>
      <c r="X67">
        <f>'Export shares'!X67*'Indirect NH3 demand sources'!X$3</f>
        <v>4.7589386309462925E-2</v>
      </c>
      <c r="Y67">
        <f>'Export shares'!Y67*'Indirect NH3 demand sources'!Y$3</f>
        <v>6.7120138989863173E-2</v>
      </c>
      <c r="Z67">
        <f>'Export shares'!Z67*'Indirect NH3 demand sources'!Z$3</f>
        <v>8.7343054549635216E-2</v>
      </c>
      <c r="AA67">
        <f>'Export shares'!AA67*'Indirect NH3 demand sources'!AA$3</f>
        <v>0.10826416590253368</v>
      </c>
      <c r="AB67">
        <f>'Export shares'!AB67*'Indirect NH3 demand sources'!AB$3</f>
        <v>0.12989202880457631</v>
      </c>
      <c r="AC67">
        <f>'Export shares'!AC67*'Indirect NH3 demand sources'!AC$3</f>
        <v>0.15222798215543143</v>
      </c>
      <c r="AD67">
        <f>'Export shares'!AD67*'Indirect NH3 demand sources'!AD$3</f>
        <v>0.17528291919880362</v>
      </c>
      <c r="AE67">
        <f>'Export shares'!AE67*'Indirect NH3 demand sources'!AE$3</f>
        <v>0.19906290341141067</v>
      </c>
      <c r="AF67">
        <f>'Export shares'!AF67*'Indirect NH3 demand sources'!AF$3</f>
        <v>0.22357388650605278</v>
      </c>
      <c r="AG67">
        <f>'Export shares'!AG67*'Indirect NH3 demand sources'!AG$3</f>
        <v>0.28276218862093011</v>
      </c>
      <c r="AH67">
        <f>'Export shares'!AH67*'Indirect NH3 demand sources'!AH$3</f>
        <v>0.34391373182908203</v>
      </c>
      <c r="AI67">
        <f>'Export shares'!AI67*'Indirect NH3 demand sources'!AI$3</f>
        <v>0.40706658141826835</v>
      </c>
      <c r="AJ67">
        <f>'Export shares'!AJ67*'Indirect NH3 demand sources'!AJ$3</f>
        <v>0.47225665205741579</v>
      </c>
      <c r="AK67">
        <f>'Export shares'!AK67*'Indirect NH3 demand sources'!AK$3</f>
        <v>0.53956175232381265</v>
      </c>
      <c r="AL67">
        <f>'Export shares'!AL67*'Indirect NH3 demand sources'!AL$3</f>
        <v>0.6090121862724881</v>
      </c>
      <c r="AM67">
        <f>'Export shares'!AM67*'Indirect NH3 demand sources'!AM$3</f>
        <v>0.68063537985696243</v>
      </c>
      <c r="AN67">
        <f>'Export shares'!AN67*'Indirect NH3 demand sources'!AN$3</f>
        <v>0.75341713999781812</v>
      </c>
      <c r="AO67">
        <f>'Export shares'!AO67*'Indirect NH3 demand sources'!AO$3</f>
        <v>0.82989285404609869</v>
      </c>
      <c r="AP67">
        <f>'Export shares'!AP67*'Indirect NH3 demand sources'!AP$3</f>
        <v>0.90886996425625921</v>
      </c>
    </row>
    <row r="68" spans="1:42" x14ac:dyDescent="0.3">
      <c r="A68" t="s">
        <v>67</v>
      </c>
      <c r="B68">
        <f>'Export shares'!B68*'Indirect NH3 demand sources'!B$3</f>
        <v>0</v>
      </c>
      <c r="C68">
        <f>'Export shares'!C68*'Indirect NH3 demand sources'!C$3</f>
        <v>0</v>
      </c>
      <c r="D68">
        <f>'Export shares'!D68*'Indirect NH3 demand sources'!D$3</f>
        <v>0</v>
      </c>
      <c r="E68">
        <f>'Export shares'!E68*'Indirect NH3 demand sources'!E$3</f>
        <v>0</v>
      </c>
      <c r="F68">
        <f>'Export shares'!F68*'Indirect NH3 demand sources'!F$3</f>
        <v>0</v>
      </c>
      <c r="G68">
        <f>'Export shares'!G68*'Indirect NH3 demand sources'!G$3</f>
        <v>0</v>
      </c>
      <c r="H68">
        <f>'Export shares'!H68*'Indirect NH3 demand sources'!H$3</f>
        <v>0</v>
      </c>
      <c r="I68">
        <f>'Export shares'!I68*'Indirect NH3 demand sources'!I$3</f>
        <v>0</v>
      </c>
      <c r="J68">
        <f>'Export shares'!J68*'Indirect NH3 demand sources'!J$3</f>
        <v>0</v>
      </c>
      <c r="K68">
        <f>'Export shares'!K68*'Indirect NH3 demand sources'!K$3</f>
        <v>0</v>
      </c>
      <c r="L68">
        <f>'Export shares'!L68*'Indirect NH3 demand sources'!L$3</f>
        <v>0</v>
      </c>
      <c r="M68">
        <f>'Export shares'!M68*'Indirect NH3 demand sources'!M$3</f>
        <v>0</v>
      </c>
      <c r="N68">
        <f>'Export shares'!N68*'Indirect NH3 demand sources'!N$3</f>
        <v>0</v>
      </c>
      <c r="O68">
        <f>'Export shares'!O68*'Indirect NH3 demand sources'!O$3</f>
        <v>0</v>
      </c>
      <c r="P68">
        <f>'Export shares'!P68*'Indirect NH3 demand sources'!P$3</f>
        <v>0</v>
      </c>
      <c r="Q68">
        <f>'Export shares'!Q68*'Indirect NH3 demand sources'!Q$3</f>
        <v>0</v>
      </c>
      <c r="R68">
        <f>'Export shares'!R68*'Indirect NH3 demand sources'!R$3</f>
        <v>1.2473927107468177E-3</v>
      </c>
      <c r="S68">
        <f>'Export shares'!S68*'Indirect NH3 demand sources'!S$3</f>
        <v>2.560829928309871E-3</v>
      </c>
      <c r="T68">
        <f>'Export shares'!T68*'Indirect NH3 demand sources'!T$3</f>
        <v>3.8465339355910518E-3</v>
      </c>
      <c r="U68">
        <f>'Export shares'!U68*'Indirect NH3 demand sources'!U$3</f>
        <v>5.1962730391185681E-3</v>
      </c>
      <c r="V68">
        <f>'Export shares'!V68*'Indirect NH3 demand sources'!V$3</f>
        <v>6.6515676361949211E-3</v>
      </c>
      <c r="W68">
        <f>'Export shares'!W68*'Indirect NH3 demand sources'!W$3</f>
        <v>1.8066466202136481E-2</v>
      </c>
      <c r="X68">
        <f>'Export shares'!X68*'Indirect NH3 demand sources'!X$3</f>
        <v>2.9911580367070999E-2</v>
      </c>
      <c r="Y68">
        <f>'Export shares'!Y68*'Indirect NH3 demand sources'!Y$3</f>
        <v>4.2187644358645769E-2</v>
      </c>
      <c r="Z68">
        <f>'Export shares'!Z68*'Indirect NH3 demand sources'!Z$3</f>
        <v>5.4898363496913842E-2</v>
      </c>
      <c r="AA68">
        <f>'Export shares'!AA68*'Indirect NH3 demand sources'!AA$3</f>
        <v>6.8050549814329508E-2</v>
      </c>
      <c r="AB68">
        <f>'Export shares'!AB68*'Indirect NH3 demand sources'!AB$3</f>
        <v>8.1639008302412247E-2</v>
      </c>
      <c r="AC68">
        <f>'Export shares'!AC68*'Indirect NH3 demand sources'!AC$3</f>
        <v>9.5673341446283283E-2</v>
      </c>
      <c r="AD68">
        <f>'Export shares'!AD68*'Indirect NH3 demand sources'!AD$3</f>
        <v>0.11015562145551464</v>
      </c>
      <c r="AE68">
        <f>'Export shares'!AE68*'Indirect NH3 demand sources'!AE$3</f>
        <v>0.1250972003775444</v>
      </c>
      <c r="AF68">
        <f>'Export shares'!AF68*'Indirect NH3 demand sources'!AF$3</f>
        <v>0.14050875005015995</v>
      </c>
      <c r="AG68">
        <f>'Export shares'!AG68*'Indirect NH3 demand sources'!AG$3</f>
        <v>0.17772229582570406</v>
      </c>
      <c r="AH68">
        <f>'Export shares'!AH68*'Indirect NH3 demand sources'!AH$3</f>
        <v>0.2161602972213976</v>
      </c>
      <c r="AI68">
        <f>'Export shares'!AI68*'Indirect NH3 demand sources'!AI$3</f>
        <v>0.25584751882570439</v>
      </c>
      <c r="AJ68">
        <f>'Export shares'!AJ68*'Indirect NH3 demand sources'!AJ$3</f>
        <v>0.29677092869348526</v>
      </c>
      <c r="AK68">
        <f>'Export shares'!AK68*'Indirect NH3 demand sources'!AK$3</f>
        <v>0.3390541622636446</v>
      </c>
      <c r="AL68">
        <f>'Export shares'!AL68*'Indirect NH3 demand sources'!AL$3</f>
        <v>0.38265653156419993</v>
      </c>
      <c r="AM68">
        <f>'Export shares'!AM68*'Indirect NH3 demand sources'!AM$3</f>
        <v>0.42765876982360668</v>
      </c>
      <c r="AN68">
        <f>'Export shares'!AN68*'Indirect NH3 demand sources'!AN$3</f>
        <v>0.47405196422774115</v>
      </c>
      <c r="AO68">
        <f>'Export shares'!AO68*'Indirect NH3 demand sources'!AO$3</f>
        <v>0.52194087851426629</v>
      </c>
      <c r="AP68">
        <f>'Export shares'!AP68*'Indirect NH3 demand sources'!AP$3</f>
        <v>0.57128300604216575</v>
      </c>
    </row>
    <row r="69" spans="1:42" x14ac:dyDescent="0.3">
      <c r="A69" t="s">
        <v>68</v>
      </c>
      <c r="B69">
        <f>'Export shares'!B69*'Indirect NH3 demand sources'!B$3</f>
        <v>0</v>
      </c>
      <c r="C69">
        <f>'Export shares'!C69*'Indirect NH3 demand sources'!C$3</f>
        <v>0</v>
      </c>
      <c r="D69">
        <f>'Export shares'!D69*'Indirect NH3 demand sources'!D$3</f>
        <v>0</v>
      </c>
      <c r="E69">
        <f>'Export shares'!E69*'Indirect NH3 demand sources'!E$3</f>
        <v>0</v>
      </c>
      <c r="F69">
        <f>'Export shares'!F69*'Indirect NH3 demand sources'!F$3</f>
        <v>0</v>
      </c>
      <c r="G69">
        <f>'Export shares'!G69*'Indirect NH3 demand sources'!G$3</f>
        <v>0</v>
      </c>
      <c r="H69">
        <f>'Export shares'!H69*'Indirect NH3 demand sources'!H$3</f>
        <v>0</v>
      </c>
      <c r="I69">
        <f>'Export shares'!I69*'Indirect NH3 demand sources'!I$3</f>
        <v>0</v>
      </c>
      <c r="J69">
        <f>'Export shares'!J69*'Indirect NH3 demand sources'!J$3</f>
        <v>0</v>
      </c>
      <c r="K69">
        <f>'Export shares'!K69*'Indirect NH3 demand sources'!K$3</f>
        <v>0</v>
      </c>
      <c r="L69">
        <f>'Export shares'!L69*'Indirect NH3 demand sources'!L$3</f>
        <v>0</v>
      </c>
      <c r="M69">
        <f>'Export shares'!M69*'Indirect NH3 demand sources'!M$3</f>
        <v>0</v>
      </c>
      <c r="N69">
        <f>'Export shares'!N69*'Indirect NH3 demand sources'!N$3</f>
        <v>0</v>
      </c>
      <c r="O69">
        <f>'Export shares'!O69*'Indirect NH3 demand sources'!O$3</f>
        <v>0</v>
      </c>
      <c r="P69">
        <f>'Export shares'!P69*'Indirect NH3 demand sources'!P$3</f>
        <v>0</v>
      </c>
      <c r="Q69">
        <f>'Export shares'!Q69*'Indirect NH3 demand sources'!Q$3</f>
        <v>0</v>
      </c>
      <c r="R69">
        <f>'Export shares'!R69*'Indirect NH3 demand sources'!R$3</f>
        <v>3.7461359766215469E-3</v>
      </c>
      <c r="S69">
        <f>'Export shares'!S69*'Indirect NH3 demand sources'!S$3</f>
        <v>7.7210838980287626E-3</v>
      </c>
      <c r="T69">
        <f>'Export shares'!T69*'Indirect NH3 demand sources'!T$3</f>
        <v>1.1549608363761359E-2</v>
      </c>
      <c r="U69">
        <f>'Export shares'!U69*'Indirect NH3 demand sources'!U$3</f>
        <v>1.5599736269290638E-2</v>
      </c>
      <c r="V69">
        <f>'Export shares'!V69*'Indirect NH3 demand sources'!V$3</f>
        <v>1.9974242007620466E-2</v>
      </c>
      <c r="W69">
        <f>'Export shares'!W69*'Indirect NH3 demand sources'!W$3</f>
        <v>5.4264028270511591E-2</v>
      </c>
      <c r="X69">
        <f>'Export shares'!X69*'Indirect NH3 demand sources'!X$3</f>
        <v>8.9840567764377544E-2</v>
      </c>
      <c r="Y69">
        <f>'Export shares'!Y69*'Indirect NH3 demand sources'!Y$3</f>
        <v>0.12671101559316175</v>
      </c>
      <c r="Z69">
        <f>'Export shares'!Z69*'Indirect NH3 demand sources'!Z$3</f>
        <v>0.16488793705425178</v>
      </c>
      <c r="AA69">
        <f>'Export shares'!AA69*'Indirect NH3 demand sources'!AA$3</f>
        <v>0.2043837031874442</v>
      </c>
      <c r="AB69">
        <f>'Export shares'!AB69*'Indirect NH3 demand sources'!AB$3</f>
        <v>0.24519912303912583</v>
      </c>
      <c r="AC69">
        <f>'Export shares'!AC69*'Indirect NH3 demand sources'!AC$3</f>
        <v>0.28734293010114437</v>
      </c>
      <c r="AD69">
        <f>'Export shares'!AD69*'Indirect NH3 demand sources'!AD$3</f>
        <v>0.3308396817403661</v>
      </c>
      <c r="AE69">
        <f>'Export shares'!AE69*'Indirect NH3 demand sources'!AE$3</f>
        <v>0.37571286930264813</v>
      </c>
      <c r="AF69">
        <f>'Export shares'!AF69*'Indirect NH3 demand sources'!AF$3</f>
        <v>0.42196150032319385</v>
      </c>
      <c r="AG69">
        <f>'Export shares'!AG69*'Indirect NH3 demand sources'!AG$3</f>
        <v>0.53366214205359641</v>
      </c>
      <c r="AH69">
        <f>'Export shares'!AH69*'Indirect NH3 demand sources'!AH$3</f>
        <v>0.64908343546453107</v>
      </c>
      <c r="AI69">
        <f>'Export shares'!AI69*'Indirect NH3 demand sources'!AI$3</f>
        <v>0.76827497701010916</v>
      </c>
      <c r="AJ69">
        <f>'Export shares'!AJ69*'Indirect NH3 demand sources'!AJ$3</f>
        <v>0.8912697198327475</v>
      </c>
      <c r="AK69">
        <f>'Export shares'!AK69*'Indirect NH3 demand sources'!AK$3</f>
        <v>1.0182259261492073</v>
      </c>
      <c r="AL69">
        <f>'Export shares'!AL69*'Indirect NH3 demand sources'!AL$3</f>
        <v>1.1492502291898021</v>
      </c>
      <c r="AM69">
        <f>'Export shares'!AM69*'Indirect NH3 demand sources'!AM$3</f>
        <v>1.2844248911487053</v>
      </c>
      <c r="AN69">
        <f>'Export shares'!AN69*'Indirect NH3 demand sources'!AN$3</f>
        <v>1.4238399441689757</v>
      </c>
      <c r="AO69">
        <f>'Export shares'!AO69*'Indirect NH3 demand sources'!AO$3</f>
        <v>1.5675139071785962</v>
      </c>
      <c r="AP69">
        <f>'Export shares'!AP69*'Indirect NH3 demand sources'!AP$3</f>
        <v>1.7156019909737124</v>
      </c>
    </row>
    <row r="70" spans="1:42" x14ac:dyDescent="0.3">
      <c r="A70" t="s">
        <v>69</v>
      </c>
      <c r="B70">
        <f>'Export shares'!B70*'Indirect NH3 demand sources'!B$3</f>
        <v>0</v>
      </c>
      <c r="C70">
        <f>'Export shares'!C70*'Indirect NH3 demand sources'!C$3</f>
        <v>0</v>
      </c>
      <c r="D70">
        <f>'Export shares'!D70*'Indirect NH3 demand sources'!D$3</f>
        <v>0</v>
      </c>
      <c r="E70">
        <f>'Export shares'!E70*'Indirect NH3 demand sources'!E$3</f>
        <v>0</v>
      </c>
      <c r="F70">
        <f>'Export shares'!F70*'Indirect NH3 demand sources'!F$3</f>
        <v>0</v>
      </c>
      <c r="G70">
        <f>'Export shares'!G70*'Indirect NH3 demand sources'!G$3</f>
        <v>0</v>
      </c>
      <c r="H70">
        <f>'Export shares'!H70*'Indirect NH3 demand sources'!H$3</f>
        <v>0</v>
      </c>
      <c r="I70">
        <f>'Export shares'!I70*'Indirect NH3 demand sources'!I$3</f>
        <v>0</v>
      </c>
      <c r="J70">
        <f>'Export shares'!J70*'Indirect NH3 demand sources'!J$3</f>
        <v>0</v>
      </c>
      <c r="K70">
        <f>'Export shares'!K70*'Indirect NH3 demand sources'!K$3</f>
        <v>0</v>
      </c>
      <c r="L70">
        <f>'Export shares'!L70*'Indirect NH3 demand sources'!L$3</f>
        <v>0</v>
      </c>
      <c r="M70">
        <f>'Export shares'!M70*'Indirect NH3 demand sources'!M$3</f>
        <v>0</v>
      </c>
      <c r="N70">
        <f>'Export shares'!N70*'Indirect NH3 demand sources'!N$3</f>
        <v>0</v>
      </c>
      <c r="O70">
        <f>'Export shares'!O70*'Indirect NH3 demand sources'!O$3</f>
        <v>0</v>
      </c>
      <c r="P70">
        <f>'Export shares'!P70*'Indirect NH3 demand sources'!P$3</f>
        <v>0</v>
      </c>
      <c r="Q70">
        <f>'Export shares'!Q70*'Indirect NH3 demand sources'!Q$3</f>
        <v>0</v>
      </c>
      <c r="R70">
        <f>'Export shares'!R70*'Indirect NH3 demand sources'!R$3</f>
        <v>3.9705714547347553E-4</v>
      </c>
      <c r="S70">
        <f>'Export shares'!S70*'Indirect NH3 demand sources'!S$3</f>
        <v>8.1634220011568255E-4</v>
      </c>
      <c r="T70">
        <f>'Export shares'!T70*'Indirect NH3 demand sources'!T$3</f>
        <v>1.2164574578182547E-3</v>
      </c>
      <c r="U70">
        <f>'Export shares'!U70*'Indirect NH3 demand sources'!U$3</f>
        <v>1.6432559442663855E-3</v>
      </c>
      <c r="V70">
        <f>'Export shares'!V70*'Indirect NH3 demand sources'!V$3</f>
        <v>2.1040876610026555E-3</v>
      </c>
      <c r="W70">
        <f>'Export shares'!W70*'Indirect NH3 demand sources'!W$3</f>
        <v>5.7164606898823271E-3</v>
      </c>
      <c r="X70">
        <f>'Export shares'!X70*'Indirect NH3 demand sources'!X$3</f>
        <v>9.4645508090896186E-3</v>
      </c>
      <c r="Y70">
        <f>'Export shares'!Y70*'Indirect NH3 demand sources'!Y$3</f>
        <v>1.3349685163006036E-2</v>
      </c>
      <c r="Z70">
        <f>'Export shares'!Z70*'Indirect NH3 demand sources'!Z$3</f>
        <v>1.73722596939139E-2</v>
      </c>
      <c r="AA70">
        <f>'Export shares'!AA70*'Indirect NH3 demand sources'!AA$3</f>
        <v>2.1534465156831811E-2</v>
      </c>
      <c r="AB70">
        <f>'Export shares'!AB70*'Indirect NH3 demand sources'!AB$3</f>
        <v>2.5836789738710446E-2</v>
      </c>
      <c r="AC70">
        <f>'Export shares'!AC70*'Indirect NH3 demand sources'!AC$3</f>
        <v>3.0279248435907256E-2</v>
      </c>
      <c r="AD70">
        <f>'Export shares'!AD70*'Indirect NH3 demand sources'!AD$3</f>
        <v>3.4865172803421551E-2</v>
      </c>
      <c r="AE70">
        <f>'Export shares'!AE70*'Indirect NH3 demand sources'!AE$3</f>
        <v>3.9594103957238502E-2</v>
      </c>
      <c r="AF70">
        <f>'Export shares'!AF70*'Indirect NH3 demand sources'!AF$3</f>
        <v>4.4470157851587401E-2</v>
      </c>
      <c r="AG70">
        <f>'Export shares'!AG70*'Indirect NH3 demand sources'!AG$3</f>
        <v>5.62447609188933E-2</v>
      </c>
      <c r="AH70">
        <f>'Export shares'!AH70*'Indirect NH3 demand sources'!AH$3</f>
        <v>6.8410254500149703E-2</v>
      </c>
      <c r="AI70">
        <f>'Export shares'!AI70*'Indirect NH3 demand sources'!AI$3</f>
        <v>8.097213392284805E-2</v>
      </c>
      <c r="AJ70">
        <f>'Export shares'!AJ70*'Indirect NH3 demand sources'!AJ$3</f>
        <v>9.3935290713468428E-2</v>
      </c>
      <c r="AK70">
        <f>'Export shares'!AK70*'Indirect NH3 demand sources'!AK$3</f>
        <v>0.1073141781585496</v>
      </c>
      <c r="AL70">
        <f>'Export shares'!AL70*'Indirect NH3 demand sources'!AL$3</f>
        <v>0.12111708628500867</v>
      </c>
      <c r="AM70">
        <f>'Export shares'!AM70*'Indirect NH3 demand sources'!AM$3</f>
        <v>0.13535484670187334</v>
      </c>
      <c r="AN70">
        <f>'Export shares'!AN70*'Indirect NH3 demand sources'!AN$3</f>
        <v>0.15004501534669101</v>
      </c>
      <c r="AO70">
        <f>'Export shares'!AO70*'Indirect NH3 demand sources'!AO$3</f>
        <v>0.16519681672467146</v>
      </c>
      <c r="AP70">
        <f>'Export shares'!AP70*'Indirect NH3 demand sources'!AP$3</f>
        <v>0.1807293718142772</v>
      </c>
    </row>
    <row r="71" spans="1:42" x14ac:dyDescent="0.3">
      <c r="A71" t="s">
        <v>70</v>
      </c>
      <c r="B71">
        <f>'Export shares'!B71*'Indirect NH3 demand sources'!B$3</f>
        <v>0</v>
      </c>
      <c r="C71">
        <f>'Export shares'!C71*'Indirect NH3 demand sources'!C$3</f>
        <v>0</v>
      </c>
      <c r="D71">
        <f>'Export shares'!D71*'Indirect NH3 demand sources'!D$3</f>
        <v>0</v>
      </c>
      <c r="E71">
        <f>'Export shares'!E71*'Indirect NH3 demand sources'!E$3</f>
        <v>0</v>
      </c>
      <c r="F71">
        <f>'Export shares'!F71*'Indirect NH3 demand sources'!F$3</f>
        <v>0</v>
      </c>
      <c r="G71">
        <f>'Export shares'!G71*'Indirect NH3 demand sources'!G$3</f>
        <v>0</v>
      </c>
      <c r="H71">
        <f>'Export shares'!H71*'Indirect NH3 demand sources'!H$3</f>
        <v>0</v>
      </c>
      <c r="I71">
        <f>'Export shares'!I71*'Indirect NH3 demand sources'!I$3</f>
        <v>0</v>
      </c>
      <c r="J71">
        <f>'Export shares'!J71*'Indirect NH3 demand sources'!J$3</f>
        <v>0</v>
      </c>
      <c r="K71">
        <f>'Export shares'!K71*'Indirect NH3 demand sources'!K$3</f>
        <v>0</v>
      </c>
      <c r="L71">
        <f>'Export shares'!L71*'Indirect NH3 demand sources'!L$3</f>
        <v>0</v>
      </c>
      <c r="M71">
        <f>'Export shares'!M71*'Indirect NH3 demand sources'!M$3</f>
        <v>0</v>
      </c>
      <c r="N71">
        <f>'Export shares'!N71*'Indirect NH3 demand sources'!N$3</f>
        <v>0</v>
      </c>
      <c r="O71">
        <f>'Export shares'!O71*'Indirect NH3 demand sources'!O$3</f>
        <v>0</v>
      </c>
      <c r="P71">
        <f>'Export shares'!P71*'Indirect NH3 demand sources'!P$3</f>
        <v>0</v>
      </c>
      <c r="Q71">
        <f>'Export shares'!Q71*'Indirect NH3 demand sources'!Q$3</f>
        <v>0</v>
      </c>
      <c r="R71">
        <f>'Export shares'!R71*'Indirect NH3 demand sources'!R$3</f>
        <v>3.5218078018137768E-4</v>
      </c>
      <c r="S71">
        <f>'Export shares'!S71*'Indirect NH3 demand sources'!S$3</f>
        <v>7.2316238715714875E-4</v>
      </c>
      <c r="T71">
        <f>'Export shares'!T71*'Indirect NH3 demand sources'!T$3</f>
        <v>1.0852283665870796E-3</v>
      </c>
      <c r="U71">
        <f>'Export shares'!U71*'Indirect NH3 demand sources'!U$3</f>
        <v>1.4659123128725315E-3</v>
      </c>
      <c r="V71">
        <f>'Export shares'!V71*'Indirect NH3 demand sources'!V$3</f>
        <v>1.8771223488303762E-3</v>
      </c>
      <c r="W71">
        <f>'Export shares'!W71*'Indirect NH3 demand sources'!W$3</f>
        <v>5.0998261537299758E-3</v>
      </c>
      <c r="X71">
        <f>'Export shares'!X71*'Indirect NH3 demand sources'!X$3</f>
        <v>8.4438964222629011E-3</v>
      </c>
      <c r="Y71">
        <f>'Export shares'!Y71*'Indirect NH3 demand sources'!Y$3</f>
        <v>1.1909889528320856E-2</v>
      </c>
      <c r="Z71">
        <f>'Export shares'!Z71*'Indirect NH3 demand sources'!Z$3</f>
        <v>1.5498743085446156E-2</v>
      </c>
      <c r="AA71">
        <f>'Export shares'!AA71*'Indirect NH3 demand sources'!AA$3</f>
        <v>1.9210929171501245E-2</v>
      </c>
      <c r="AB71">
        <f>'Export shares'!AB71*'Indirect NH3 demand sources'!AB$3</f>
        <v>2.304807071293638E-2</v>
      </c>
      <c r="AC71">
        <f>'Export shares'!AC71*'Indirect NH3 demand sources'!AC$3</f>
        <v>2.7010598835583967E-2</v>
      </c>
      <c r="AD71">
        <f>'Export shares'!AD71*'Indirect NH3 demand sources'!AD$3</f>
        <v>3.1101537699547828E-2</v>
      </c>
      <c r="AE71">
        <f>'Export shares'!AE71*'Indirect NH3 demand sources'!AE$3</f>
        <v>3.5321864582671572E-2</v>
      </c>
      <c r="AF71">
        <f>'Export shares'!AF71*'Indirect NH3 demand sources'!AF$3</f>
        <v>3.9672247429358182E-2</v>
      </c>
      <c r="AG71">
        <f>'Export shares'!AG71*'Indirect NH3 demand sources'!AG$3</f>
        <v>5.0175812934981724E-2</v>
      </c>
      <c r="AH71">
        <f>'Export shares'!AH71*'Indirect NH3 demand sources'!AH$3</f>
        <v>6.1030345799177668E-2</v>
      </c>
      <c r="AI71">
        <f>'Export shares'!AI71*'Indirect NH3 demand sources'!AI$3</f>
        <v>7.2240195086558934E-2</v>
      </c>
      <c r="AJ71">
        <f>'Export shares'!AJ71*'Indirect NH3 demand sources'!AJ$3</f>
        <v>8.3813015525804946E-2</v>
      </c>
      <c r="AK71">
        <f>'Export shares'!AK71*'Indirect NH3 demand sources'!AK$3</f>
        <v>9.5760468360043746E-2</v>
      </c>
      <c r="AL71">
        <f>'Export shares'!AL71*'Indirect NH3 demand sources'!AL$3</f>
        <v>0.10809126751041045</v>
      </c>
      <c r="AM71">
        <f>'Export shares'!AM71*'Indirect NH3 demand sources'!AM$3</f>
        <v>0.12080964944592333</v>
      </c>
      <c r="AN71">
        <f>'Export shares'!AN71*'Indirect NH3 demand sources'!AN$3</f>
        <v>0.13392355882225168</v>
      </c>
      <c r="AO71">
        <f>'Export shares'!AO71*'Indirect NH3 demand sources'!AO$3</f>
        <v>0.1474511375705865</v>
      </c>
      <c r="AP71">
        <f>'Export shares'!AP71*'Indirect NH3 demand sources'!AP$3</f>
        <v>0.1613924820135984</v>
      </c>
    </row>
    <row r="72" spans="1:42" x14ac:dyDescent="0.3">
      <c r="A72" t="s">
        <v>71</v>
      </c>
      <c r="B72">
        <f>'Export shares'!B72*'Indirect NH3 demand sources'!B$3</f>
        <v>0</v>
      </c>
      <c r="C72">
        <f>'Export shares'!C72*'Indirect NH3 demand sources'!C$3</f>
        <v>0</v>
      </c>
      <c r="D72">
        <f>'Export shares'!D72*'Indirect NH3 demand sources'!D$3</f>
        <v>0</v>
      </c>
      <c r="E72">
        <f>'Export shares'!E72*'Indirect NH3 demand sources'!E$3</f>
        <v>0</v>
      </c>
      <c r="F72">
        <f>'Export shares'!F72*'Indirect NH3 demand sources'!F$3</f>
        <v>0</v>
      </c>
      <c r="G72">
        <f>'Export shares'!G72*'Indirect NH3 demand sources'!G$3</f>
        <v>0</v>
      </c>
      <c r="H72">
        <f>'Export shares'!H72*'Indirect NH3 demand sources'!H$3</f>
        <v>0</v>
      </c>
      <c r="I72">
        <f>'Export shares'!I72*'Indirect NH3 demand sources'!I$3</f>
        <v>0</v>
      </c>
      <c r="J72">
        <f>'Export shares'!J72*'Indirect NH3 demand sources'!J$3</f>
        <v>0</v>
      </c>
      <c r="K72">
        <f>'Export shares'!K72*'Indirect NH3 demand sources'!K$3</f>
        <v>0</v>
      </c>
      <c r="L72">
        <f>'Export shares'!L72*'Indirect NH3 demand sources'!L$3</f>
        <v>0</v>
      </c>
      <c r="M72">
        <f>'Export shares'!M72*'Indirect NH3 demand sources'!M$3</f>
        <v>0</v>
      </c>
      <c r="N72">
        <f>'Export shares'!N72*'Indirect NH3 demand sources'!N$3</f>
        <v>0</v>
      </c>
      <c r="O72">
        <f>'Export shares'!O72*'Indirect NH3 demand sources'!O$3</f>
        <v>0</v>
      </c>
      <c r="P72">
        <f>'Export shares'!P72*'Indirect NH3 demand sources'!P$3</f>
        <v>0</v>
      </c>
      <c r="Q72">
        <f>'Export shares'!Q72*'Indirect NH3 demand sources'!Q$3</f>
        <v>0</v>
      </c>
      <c r="R72">
        <f>'Export shares'!R72*'Indirect NH3 demand sources'!R$3</f>
        <v>1.4363962560128668E-2</v>
      </c>
      <c r="S72">
        <f>'Export shares'!S72*'Indirect NH3 demand sources'!S$3</f>
        <v>2.9200328302056162E-2</v>
      </c>
      <c r="T72">
        <f>'Export shares'!T72*'Indirect NH3 demand sources'!T$3</f>
        <v>4.3200140489527451E-2</v>
      </c>
      <c r="U72">
        <f>'Export shares'!U72*'Indirect NH3 demand sources'!U$3</f>
        <v>5.7602203382451339E-2</v>
      </c>
      <c r="V72">
        <f>'Export shares'!V72*'Indirect NH3 demand sources'!V$3</f>
        <v>7.2950419536589081E-2</v>
      </c>
      <c r="W72">
        <f>'Export shares'!W72*'Indirect NH3 demand sources'!W$3</f>
        <v>0.19583678176630367</v>
      </c>
      <c r="X72">
        <f>'Export shares'!X72*'Indirect NH3 demand sources'!X$3</f>
        <v>0.32039729019412566</v>
      </c>
      <c r="Y72">
        <f>'Export shares'!Y72*'Indirect NH3 demand sources'!Y$3</f>
        <v>0.44657260522986608</v>
      </c>
      <c r="Z72">
        <f>'Export shares'!Z72*'Indirect NH3 demand sources'!Z$3</f>
        <v>0.57427847064842741</v>
      </c>
      <c r="AA72">
        <f>'Export shares'!AA72*'Indirect NH3 demand sources'!AA$3</f>
        <v>0.70348373743571069</v>
      </c>
      <c r="AB72">
        <f>'Export shares'!AB72*'Indirect NH3 demand sources'!AB$3</f>
        <v>0.83413221816748973</v>
      </c>
      <c r="AC72">
        <f>'Export shares'!AC72*'Indirect NH3 demand sources'!AC$3</f>
        <v>0.96611568809668213</v>
      </c>
      <c r="AD72">
        <f>'Export shares'!AD72*'Indirect NH3 demand sources'!AD$3</f>
        <v>1.0994834582237942</v>
      </c>
      <c r="AE72">
        <f>'Export shares'!AE72*'Indirect NH3 demand sources'!AE$3</f>
        <v>1.2341454532827552</v>
      </c>
      <c r="AF72">
        <f>'Export shares'!AF72*'Indirect NH3 demand sources'!AF$3</f>
        <v>1.3700868808406823</v>
      </c>
      <c r="AG72">
        <f>'Export shares'!AG72*'Indirect NH3 demand sources'!AG$3</f>
        <v>1.7128555741557272</v>
      </c>
      <c r="AH72">
        <f>'Export shares'!AH72*'Indirect NH3 demand sources'!AH$3</f>
        <v>2.0593780907785653</v>
      </c>
      <c r="AI72">
        <f>'Export shares'!AI72*'Indirect NH3 demand sources'!AI$3</f>
        <v>2.4095986561378151</v>
      </c>
      <c r="AJ72">
        <f>'Export shares'!AJ72*'Indirect NH3 demand sources'!AJ$3</f>
        <v>2.7633684381395813</v>
      </c>
      <c r="AK72">
        <f>'Export shares'!AK72*'Indirect NH3 demand sources'!AK$3</f>
        <v>3.1209960000433985</v>
      </c>
      <c r="AL72">
        <f>'Export shares'!AL72*'Indirect NH3 demand sources'!AL$3</f>
        <v>3.4824361559196588</v>
      </c>
      <c r="AM72">
        <f>'Export shares'!AM72*'Indirect NH3 demand sources'!AM$3</f>
        <v>3.8478557277495011</v>
      </c>
      <c r="AN72">
        <f>'Export shares'!AN72*'Indirect NH3 demand sources'!AN$3</f>
        <v>4.2171345127153268</v>
      </c>
      <c r="AO72">
        <f>'Export shares'!AO72*'Indirect NH3 demand sources'!AO$3</f>
        <v>4.5904159126600632</v>
      </c>
      <c r="AP72">
        <f>'Export shares'!AP72*'Indirect NH3 demand sources'!AP$3</f>
        <v>4.9675791719922993</v>
      </c>
    </row>
    <row r="73" spans="1:42" x14ac:dyDescent="0.3">
      <c r="A73" t="s">
        <v>72</v>
      </c>
      <c r="B73">
        <f>'Export shares'!B73*'Indirect NH3 demand sources'!B$3</f>
        <v>0</v>
      </c>
      <c r="C73">
        <f>'Export shares'!C73*'Indirect NH3 demand sources'!C$3</f>
        <v>0</v>
      </c>
      <c r="D73">
        <f>'Export shares'!D73*'Indirect NH3 demand sources'!D$3</f>
        <v>0</v>
      </c>
      <c r="E73">
        <f>'Export shares'!E73*'Indirect NH3 demand sources'!E$3</f>
        <v>0</v>
      </c>
      <c r="F73">
        <f>'Export shares'!F73*'Indirect NH3 demand sources'!F$3</f>
        <v>0</v>
      </c>
      <c r="G73">
        <f>'Export shares'!G73*'Indirect NH3 demand sources'!G$3</f>
        <v>0</v>
      </c>
      <c r="H73">
        <f>'Export shares'!H73*'Indirect NH3 demand sources'!H$3</f>
        <v>0</v>
      </c>
      <c r="I73">
        <f>'Export shares'!I73*'Indirect NH3 demand sources'!I$3</f>
        <v>0</v>
      </c>
      <c r="J73">
        <f>'Export shares'!J73*'Indirect NH3 demand sources'!J$3</f>
        <v>0</v>
      </c>
      <c r="K73">
        <f>'Export shares'!K73*'Indirect NH3 demand sources'!K$3</f>
        <v>0</v>
      </c>
      <c r="L73">
        <f>'Export shares'!L73*'Indirect NH3 demand sources'!L$3</f>
        <v>0</v>
      </c>
      <c r="M73">
        <f>'Export shares'!M73*'Indirect NH3 demand sources'!M$3</f>
        <v>0</v>
      </c>
      <c r="N73">
        <f>'Export shares'!N73*'Indirect NH3 demand sources'!N$3</f>
        <v>0</v>
      </c>
      <c r="O73">
        <f>'Export shares'!O73*'Indirect NH3 demand sources'!O$3</f>
        <v>0</v>
      </c>
      <c r="P73">
        <f>'Export shares'!P73*'Indirect NH3 demand sources'!P$3</f>
        <v>0</v>
      </c>
      <c r="Q73">
        <f>'Export shares'!Q73*'Indirect NH3 demand sources'!Q$3</f>
        <v>0</v>
      </c>
      <c r="R73">
        <f>'Export shares'!R73*'Indirect NH3 demand sources'!R$3</f>
        <v>8.0527570125346799E-4</v>
      </c>
      <c r="S73">
        <f>'Export shares'!S73*'Indirect NH3 demand sources'!S$3</f>
        <v>1.6453778162092367E-3</v>
      </c>
      <c r="T73">
        <f>'Export shares'!T73*'Indirect NH3 demand sources'!T$3</f>
        <v>2.5769518607463536E-3</v>
      </c>
      <c r="U73">
        <f>'Export shares'!U73*'Indirect NH3 demand sources'!U$3</f>
        <v>3.5342615849261933E-3</v>
      </c>
      <c r="V73">
        <f>'Export shares'!V73*'Indirect NH3 demand sources'!V$3</f>
        <v>4.493197960546336E-3</v>
      </c>
      <c r="W73">
        <f>'Export shares'!W73*'Indirect NH3 demand sources'!W$3</f>
        <v>1.2246485084152719E-2</v>
      </c>
      <c r="X73">
        <f>'Export shares'!X73*'Indirect NH3 demand sources'!X$3</f>
        <v>2.0324845903088352E-2</v>
      </c>
      <c r="Y73">
        <f>'Export shares'!Y73*'Indirect NH3 demand sources'!Y$3</f>
        <v>2.8713690794971096E-2</v>
      </c>
      <c r="Z73">
        <f>'Export shares'!Z73*'Indirect NH3 demand sources'!Z$3</f>
        <v>3.7397308421705425E-2</v>
      </c>
      <c r="AA73">
        <f>'Export shares'!AA73*'Indirect NH3 demand sources'!AA$3</f>
        <v>4.6364586723091857E-2</v>
      </c>
      <c r="AB73">
        <f>'Export shares'!AB73*'Indirect NH3 demand sources'!AB$3</f>
        <v>5.5600519438190693E-2</v>
      </c>
      <c r="AC73">
        <f>'Export shares'!AC73*'Indirect NH3 demand sources'!AC$3</f>
        <v>6.5085105570828319E-2</v>
      </c>
      <c r="AD73">
        <f>'Export shares'!AD73*'Indirect NH3 demand sources'!AD$3</f>
        <v>7.4814672202120375E-2</v>
      </c>
      <c r="AE73">
        <f>'Export shares'!AE73*'Indirect NH3 demand sources'!AE$3</f>
        <v>8.4767293523029696E-2</v>
      </c>
      <c r="AF73">
        <f>'Export shares'!AF73*'Indirect NH3 demand sources'!AF$3</f>
        <v>9.4932616260518091E-2</v>
      </c>
      <c r="AG73">
        <f>'Export shares'!AG73*'Indirect NH3 demand sources'!AG$3</f>
        <v>0.11966679255575745</v>
      </c>
      <c r="AH73">
        <f>'Export shares'!AH73*'Indirect NH3 demand sources'!AH$3</f>
        <v>0.14498662377893023</v>
      </c>
      <c r="AI73">
        <f>'Export shares'!AI73*'Indirect NH3 demand sources'!AI$3</f>
        <v>0.17086468448265113</v>
      </c>
      <c r="AJ73">
        <f>'Export shares'!AJ73*'Indirect NH3 demand sources'!AJ$3</f>
        <v>0.19725906297861728</v>
      </c>
      <c r="AK73">
        <f>'Export shares'!AK73*'Indirect NH3 demand sources'!AK$3</f>
        <v>0.22416827784313745</v>
      </c>
      <c r="AL73">
        <f>'Export shares'!AL73*'Indirect NH3 demand sources'!AL$3</f>
        <v>0.25157676562869713</v>
      </c>
      <c r="AM73">
        <f>'Export shares'!AM73*'Indirect NH3 demand sources'!AM$3</f>
        <v>0.27944796717109399</v>
      </c>
      <c r="AN73">
        <f>'Export shares'!AN73*'Indirect NH3 demand sources'!AN$3</f>
        <v>0.30775585157028401</v>
      </c>
      <c r="AO73">
        <f>'Export shares'!AO73*'Indirect NH3 demand sources'!AO$3</f>
        <v>0.33647625213785493</v>
      </c>
      <c r="AP73">
        <f>'Export shares'!AP73*'Indirect NH3 demand sources'!AP$3</f>
        <v>0.3655688633318212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DFDD-01AF-471F-B7F9-F80689B137E9}">
  <sheetPr>
    <tabColor theme="4"/>
  </sheetPr>
  <dimension ref="A1:AP73"/>
  <sheetViews>
    <sheetView workbookViewId="0">
      <selection activeCell="F24" sqref="F24"/>
    </sheetView>
  </sheetViews>
  <sheetFormatPr defaultRowHeight="15.75" x14ac:dyDescent="0.3"/>
  <sheetData>
    <row r="1" spans="1:42" x14ac:dyDescent="0.3">
      <c r="A1" t="s">
        <v>77</v>
      </c>
    </row>
    <row r="2" spans="1:42" x14ac:dyDescent="0.3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3">
      <c r="A3" t="s">
        <v>78</v>
      </c>
      <c r="B3">
        <v>94315.699500000002</v>
      </c>
      <c r="C3">
        <v>90294.200299999997</v>
      </c>
      <c r="D3">
        <v>82744.999899999995</v>
      </c>
      <c r="E3">
        <v>83071.600600000005</v>
      </c>
      <c r="F3">
        <v>72118.699699999997</v>
      </c>
      <c r="G3">
        <v>69239.099700000006</v>
      </c>
      <c r="H3">
        <v>85085.399399999995</v>
      </c>
      <c r="I3">
        <v>86067.900399999999</v>
      </c>
      <c r="J3">
        <v>74552.599799999996</v>
      </c>
      <c r="K3">
        <v>93210.002199999901</v>
      </c>
      <c r="L3">
        <v>89012.047300000006</v>
      </c>
      <c r="M3">
        <v>100008.05530000001</v>
      </c>
      <c r="N3">
        <v>95576.564099999901</v>
      </c>
      <c r="O3">
        <v>98050.910699999993</v>
      </c>
      <c r="P3">
        <v>100414.279099999</v>
      </c>
      <c r="Q3">
        <v>103066.981599999</v>
      </c>
      <c r="R3">
        <v>107374.12729999999</v>
      </c>
      <c r="S3">
        <v>112115.0321</v>
      </c>
      <c r="T3">
        <v>117362.306</v>
      </c>
      <c r="U3">
        <v>123175.5727</v>
      </c>
      <c r="V3">
        <v>129593.65829999901</v>
      </c>
      <c r="W3">
        <v>133959.86799999999</v>
      </c>
      <c r="X3">
        <v>138654.01069999899</v>
      </c>
      <c r="Y3">
        <v>143678.41279999999</v>
      </c>
      <c r="Z3">
        <v>149118.538399999</v>
      </c>
      <c r="AA3">
        <v>154914.68899999899</v>
      </c>
      <c r="AB3">
        <v>156151.59299999999</v>
      </c>
      <c r="AC3">
        <v>157416.981</v>
      </c>
      <c r="AD3">
        <v>158651.21179999999</v>
      </c>
      <c r="AE3">
        <v>159851.44140000001</v>
      </c>
      <c r="AF3">
        <v>161040.2487</v>
      </c>
      <c r="AG3">
        <v>161831.64790000001</v>
      </c>
      <c r="AH3">
        <v>162622.49470000001</v>
      </c>
      <c r="AI3">
        <v>163380.1998</v>
      </c>
      <c r="AJ3">
        <v>164102.00279999999</v>
      </c>
      <c r="AK3">
        <v>164806.4553</v>
      </c>
      <c r="AL3">
        <v>165381.3529</v>
      </c>
      <c r="AM3">
        <v>165949.94130000001</v>
      </c>
      <c r="AN3">
        <v>166509.18040000001</v>
      </c>
      <c r="AO3">
        <v>167074.8677</v>
      </c>
      <c r="AP3">
        <v>167652.98120000001</v>
      </c>
    </row>
    <row r="4" spans="1:42" x14ac:dyDescent="0.3">
      <c r="A4" t="s">
        <v>79</v>
      </c>
      <c r="B4">
        <v>38862.031999999999</v>
      </c>
      <c r="C4">
        <v>35229.069100000001</v>
      </c>
      <c r="D4">
        <v>30700.701700000001</v>
      </c>
      <c r="E4">
        <v>34742.088199999998</v>
      </c>
      <c r="F4">
        <v>32184.0118</v>
      </c>
      <c r="G4">
        <v>28940.631600000001</v>
      </c>
      <c r="H4">
        <v>30538.406500000001</v>
      </c>
      <c r="I4">
        <v>31022.552800000001</v>
      </c>
      <c r="J4">
        <v>30369.762599999998</v>
      </c>
      <c r="K4">
        <v>29516.955699999999</v>
      </c>
      <c r="L4">
        <v>28786.5563</v>
      </c>
      <c r="M4">
        <v>33136.777300000002</v>
      </c>
      <c r="N4">
        <v>35200.887699999999</v>
      </c>
      <c r="O4">
        <v>37065.123099999997</v>
      </c>
      <c r="P4">
        <v>38634.258199999997</v>
      </c>
      <c r="Q4">
        <v>40157.343099999998</v>
      </c>
      <c r="R4">
        <v>41329.957199999997</v>
      </c>
      <c r="S4">
        <v>42714.533199999998</v>
      </c>
      <c r="T4">
        <v>44173.466</v>
      </c>
      <c r="U4">
        <v>45706.2406999999</v>
      </c>
      <c r="V4">
        <v>47273.168899999997</v>
      </c>
      <c r="W4">
        <v>47788.105499999998</v>
      </c>
      <c r="X4">
        <v>48317.9323</v>
      </c>
      <c r="Y4">
        <v>48854.728600000002</v>
      </c>
      <c r="Z4">
        <v>49383.684099999999</v>
      </c>
      <c r="AA4">
        <v>49905.128599999996</v>
      </c>
      <c r="AB4">
        <v>50543.527600000001</v>
      </c>
      <c r="AC4">
        <v>51162.0675999999</v>
      </c>
      <c r="AD4">
        <v>51756.631599999899</v>
      </c>
      <c r="AE4">
        <v>52329.311999999998</v>
      </c>
      <c r="AF4">
        <v>52877.729399999997</v>
      </c>
      <c r="AG4">
        <v>53325.5726</v>
      </c>
      <c r="AH4">
        <v>53757.503799999999</v>
      </c>
      <c r="AI4">
        <v>54178.6106</v>
      </c>
      <c r="AJ4">
        <v>54592.686799999901</v>
      </c>
      <c r="AK4">
        <v>55001.6633</v>
      </c>
      <c r="AL4">
        <v>55324.308400000002</v>
      </c>
      <c r="AM4">
        <v>55648.338000000003</v>
      </c>
      <c r="AN4">
        <v>55970.933799999999</v>
      </c>
      <c r="AO4">
        <v>56289.439899999998</v>
      </c>
      <c r="AP4">
        <v>56606.896599999898</v>
      </c>
    </row>
    <row r="5" spans="1:42" x14ac:dyDescent="0.3">
      <c r="A5" t="s">
        <v>80</v>
      </c>
      <c r="B5">
        <v>631038</v>
      </c>
      <c r="C5">
        <v>611023</v>
      </c>
      <c r="D5">
        <v>626495</v>
      </c>
      <c r="E5">
        <v>636936</v>
      </c>
      <c r="F5">
        <v>625783</v>
      </c>
      <c r="G5">
        <v>646485</v>
      </c>
      <c r="H5">
        <v>648561</v>
      </c>
      <c r="I5">
        <v>652022</v>
      </c>
      <c r="J5">
        <v>638902</v>
      </c>
      <c r="K5">
        <v>605430</v>
      </c>
      <c r="L5">
        <v>574349.30839999998</v>
      </c>
      <c r="M5">
        <v>591693.35009999899</v>
      </c>
      <c r="N5">
        <v>579398.92119999998</v>
      </c>
      <c r="O5">
        <v>587570.98620000004</v>
      </c>
      <c r="P5">
        <v>594648.76879999996</v>
      </c>
      <c r="Q5">
        <v>602864.49410000001</v>
      </c>
      <c r="R5">
        <v>613517.60249999899</v>
      </c>
      <c r="S5">
        <v>625178.80810000002</v>
      </c>
      <c r="T5">
        <v>637868.89170000004</v>
      </c>
      <c r="U5">
        <v>651609.69929999998</v>
      </c>
      <c r="V5">
        <v>666534.21880000003</v>
      </c>
      <c r="W5">
        <v>671924.69660000002</v>
      </c>
      <c r="X5">
        <v>677985.64630000002</v>
      </c>
      <c r="Y5">
        <v>684470.34539999999</v>
      </c>
      <c r="Z5">
        <v>691368.57609999995</v>
      </c>
      <c r="AA5">
        <v>698561.56539999996</v>
      </c>
      <c r="AB5">
        <v>705274.29790000001</v>
      </c>
      <c r="AC5">
        <v>711982.01409999898</v>
      </c>
      <c r="AD5">
        <v>718531.15429999901</v>
      </c>
      <c r="AE5">
        <v>724878.29310000001</v>
      </c>
      <c r="AF5">
        <v>731384.29130000004</v>
      </c>
      <c r="AG5">
        <v>741186.28119999997</v>
      </c>
      <c r="AH5">
        <v>750421.76749999996</v>
      </c>
      <c r="AI5">
        <v>759434.28870000003</v>
      </c>
      <c r="AJ5">
        <v>768280.41019999899</v>
      </c>
      <c r="AK5">
        <v>776940.68889999995</v>
      </c>
      <c r="AL5">
        <v>787831.75939999998</v>
      </c>
      <c r="AM5">
        <v>798629.44640000002</v>
      </c>
      <c r="AN5">
        <v>809464.62060000002</v>
      </c>
      <c r="AO5">
        <v>820386.94460000005</v>
      </c>
      <c r="AP5">
        <v>831381.66769999999</v>
      </c>
    </row>
    <row r="6" spans="1:42" x14ac:dyDescent="0.3">
      <c r="A6" t="s">
        <v>81</v>
      </c>
      <c r="B6">
        <v>57405.48</v>
      </c>
      <c r="C6">
        <v>59436.05</v>
      </c>
      <c r="D6">
        <v>60959.12</v>
      </c>
      <c r="E6">
        <v>57151.97</v>
      </c>
      <c r="F6">
        <v>50473.85</v>
      </c>
      <c r="G6">
        <v>51874.13</v>
      </c>
      <c r="H6">
        <v>54439.46</v>
      </c>
      <c r="I6">
        <v>55266.09</v>
      </c>
      <c r="J6">
        <v>53262.780899999903</v>
      </c>
      <c r="K6">
        <v>48626.173999999999</v>
      </c>
      <c r="L6">
        <v>48352.1083</v>
      </c>
      <c r="M6">
        <v>54857.119100000004</v>
      </c>
      <c r="N6">
        <v>52787.066299999999</v>
      </c>
      <c r="O6">
        <v>54178.429799999998</v>
      </c>
      <c r="P6">
        <v>55371.801800000001</v>
      </c>
      <c r="Q6">
        <v>56796.204400000002</v>
      </c>
      <c r="R6">
        <v>56744.987199999901</v>
      </c>
      <c r="S6">
        <v>56692.859399999899</v>
      </c>
      <c r="T6">
        <v>56653.886499999899</v>
      </c>
      <c r="U6">
        <v>56666.448499999999</v>
      </c>
      <c r="V6">
        <v>56726.226600000002</v>
      </c>
      <c r="W6">
        <v>56883.929599999901</v>
      </c>
      <c r="X6">
        <v>57072.099199999997</v>
      </c>
      <c r="Y6">
        <v>57296.002899999898</v>
      </c>
      <c r="Z6">
        <v>57553.0393999999</v>
      </c>
      <c r="AA6">
        <v>57851.510199999902</v>
      </c>
      <c r="AB6">
        <v>58205.8845</v>
      </c>
      <c r="AC6">
        <v>58601.487699999998</v>
      </c>
      <c r="AD6">
        <v>59029.051800000001</v>
      </c>
      <c r="AE6">
        <v>59490.2958</v>
      </c>
      <c r="AF6">
        <v>59998.006300000001</v>
      </c>
      <c r="AG6">
        <v>60877.499900000003</v>
      </c>
      <c r="AH6">
        <v>61774.040299999899</v>
      </c>
      <c r="AI6">
        <v>62688.5046</v>
      </c>
      <c r="AJ6">
        <v>63646.465100000001</v>
      </c>
      <c r="AK6">
        <v>64644.732499999998</v>
      </c>
      <c r="AL6">
        <v>66154.664999999994</v>
      </c>
      <c r="AM6">
        <v>67709.296699999904</v>
      </c>
      <c r="AN6">
        <v>69339.147400000002</v>
      </c>
      <c r="AO6">
        <v>71036.346399999995</v>
      </c>
      <c r="AP6">
        <v>72807.495599999995</v>
      </c>
    </row>
    <row r="7" spans="1:42" x14ac:dyDescent="0.3">
      <c r="A7" t="s">
        <v>82</v>
      </c>
      <c r="B7">
        <v>301368.2</v>
      </c>
      <c r="C7">
        <v>293676</v>
      </c>
      <c r="D7">
        <v>297383.62410000002</v>
      </c>
      <c r="E7">
        <v>285631.11919999903</v>
      </c>
      <c r="F7">
        <v>278749.28129999997</v>
      </c>
      <c r="G7">
        <v>280695.45360000001</v>
      </c>
      <c r="H7">
        <v>274663.76539999997</v>
      </c>
      <c r="I7">
        <v>275635</v>
      </c>
      <c r="J7">
        <v>274358</v>
      </c>
      <c r="K7">
        <v>273118</v>
      </c>
      <c r="L7">
        <v>263281.96879999997</v>
      </c>
      <c r="M7">
        <v>274107.78629999998</v>
      </c>
      <c r="N7">
        <v>292248.05209999997</v>
      </c>
      <c r="O7">
        <v>294731.54430000001</v>
      </c>
      <c r="P7">
        <v>296520.01400000002</v>
      </c>
      <c r="Q7">
        <v>298465.84249999898</v>
      </c>
      <c r="R7">
        <v>301232.39969999902</v>
      </c>
      <c r="S7">
        <v>304058.85969999997</v>
      </c>
      <c r="T7">
        <v>307035.64029999898</v>
      </c>
      <c r="U7">
        <v>310254.55339999998</v>
      </c>
      <c r="V7">
        <v>313716.14870000002</v>
      </c>
      <c r="W7">
        <v>315929.32160000002</v>
      </c>
      <c r="X7">
        <v>318438.35489999998</v>
      </c>
      <c r="Y7">
        <v>321176.93799999898</v>
      </c>
      <c r="Z7">
        <v>324189.38889999897</v>
      </c>
      <c r="AA7">
        <v>327512.84509999998</v>
      </c>
      <c r="AB7">
        <v>330598.29139999999</v>
      </c>
      <c r="AC7">
        <v>333955.65999999997</v>
      </c>
      <c r="AD7">
        <v>337521.1728</v>
      </c>
      <c r="AE7">
        <v>341305.66629999998</v>
      </c>
      <c r="AF7">
        <v>345224.5601</v>
      </c>
      <c r="AG7">
        <v>349394.50439999998</v>
      </c>
      <c r="AH7">
        <v>353455.36089999898</v>
      </c>
      <c r="AI7">
        <v>357385.4129</v>
      </c>
      <c r="AJ7">
        <v>361065.32510000002</v>
      </c>
      <c r="AK7">
        <v>364517.07030000002</v>
      </c>
      <c r="AL7">
        <v>367451.70280000003</v>
      </c>
      <c r="AM7">
        <v>369910.83850000001</v>
      </c>
      <c r="AN7">
        <v>372072.90370000002</v>
      </c>
      <c r="AO7">
        <v>374053.60119999998</v>
      </c>
      <c r="AP7">
        <v>375900.2108</v>
      </c>
    </row>
    <row r="8" spans="1:42" x14ac:dyDescent="0.3">
      <c r="A8" t="s">
        <v>83</v>
      </c>
      <c r="B8">
        <v>569152.73439999996</v>
      </c>
      <c r="C8">
        <v>572557.74319999898</v>
      </c>
      <c r="D8">
        <v>572006.43669999996</v>
      </c>
      <c r="E8">
        <v>581632.64630000002</v>
      </c>
      <c r="F8">
        <v>571999.60580000002</v>
      </c>
      <c r="G8">
        <v>578874.70799999998</v>
      </c>
      <c r="H8">
        <v>563488.97139999899</v>
      </c>
      <c r="I8">
        <v>561223.26300000004</v>
      </c>
      <c r="J8">
        <v>581074.16189999995</v>
      </c>
      <c r="K8">
        <v>570226.05909999995</v>
      </c>
      <c r="L8">
        <v>532133.1226</v>
      </c>
      <c r="M8">
        <v>554988.05680000002</v>
      </c>
      <c r="N8">
        <v>474675.3015</v>
      </c>
      <c r="O8">
        <v>552905.69480000006</v>
      </c>
      <c r="P8">
        <v>551764.47990000003</v>
      </c>
      <c r="Q8">
        <v>550930.36410000001</v>
      </c>
      <c r="R8">
        <v>552486.94319999998</v>
      </c>
      <c r="S8">
        <v>554669.68119999999</v>
      </c>
      <c r="T8">
        <v>557359.41749999998</v>
      </c>
      <c r="U8">
        <v>560718.34849999996</v>
      </c>
      <c r="V8">
        <v>564754.52529999998</v>
      </c>
      <c r="W8">
        <v>566614.78049999999</v>
      </c>
      <c r="X8">
        <v>569105.30240000004</v>
      </c>
      <c r="Y8">
        <v>572222.22699999996</v>
      </c>
      <c r="Z8">
        <v>576032.07689999999</v>
      </c>
      <c r="AA8">
        <v>580193.08589999995</v>
      </c>
      <c r="AB8">
        <v>583135.32400000002</v>
      </c>
      <c r="AC8">
        <v>586459.46719999996</v>
      </c>
      <c r="AD8">
        <v>590055.65769999998</v>
      </c>
      <c r="AE8">
        <v>593972.59619999898</v>
      </c>
      <c r="AF8">
        <v>597564.81709999999</v>
      </c>
      <c r="AG8">
        <v>601210.22479999997</v>
      </c>
      <c r="AH8">
        <v>605023.46939999994</v>
      </c>
      <c r="AI8">
        <v>608477.52280000004</v>
      </c>
      <c r="AJ8">
        <v>611628.50769999996</v>
      </c>
      <c r="AK8">
        <v>614403.07179999899</v>
      </c>
      <c r="AL8">
        <v>617132.59120000002</v>
      </c>
      <c r="AM8">
        <v>619408.73620000004</v>
      </c>
      <c r="AN8">
        <v>621594.26329999999</v>
      </c>
      <c r="AO8">
        <v>623872.01539999899</v>
      </c>
      <c r="AP8">
        <v>626188.59920000006</v>
      </c>
    </row>
    <row r="9" spans="1:42" x14ac:dyDescent="0.3">
      <c r="A9" t="s">
        <v>84</v>
      </c>
      <c r="B9">
        <v>28353.253799999999</v>
      </c>
      <c r="C9">
        <v>27164.027999999998</v>
      </c>
      <c r="D9">
        <v>27355.031999999999</v>
      </c>
      <c r="E9">
        <v>25920.542300000001</v>
      </c>
      <c r="F9">
        <v>26085.748899999999</v>
      </c>
      <c r="G9">
        <v>28389.2821</v>
      </c>
      <c r="H9">
        <v>30511.5344</v>
      </c>
      <c r="I9">
        <v>30874.196499999998</v>
      </c>
      <c r="J9">
        <v>31134.985499999999</v>
      </c>
      <c r="K9">
        <v>30955.543799999901</v>
      </c>
      <c r="L9">
        <v>32277.7687999999</v>
      </c>
      <c r="M9">
        <v>31873.037899999999</v>
      </c>
      <c r="N9">
        <v>33867.530700000003</v>
      </c>
      <c r="O9">
        <v>34697.046199999997</v>
      </c>
      <c r="P9">
        <v>35549.1541</v>
      </c>
      <c r="Q9">
        <v>36468.0795</v>
      </c>
      <c r="R9">
        <v>37028.5003</v>
      </c>
      <c r="S9">
        <v>37622.582900000001</v>
      </c>
      <c r="T9">
        <v>38252.432499999901</v>
      </c>
      <c r="U9">
        <v>38925.3567999999</v>
      </c>
      <c r="V9">
        <v>39638.006599999899</v>
      </c>
      <c r="W9">
        <v>39925.708799999898</v>
      </c>
      <c r="X9">
        <v>40249.049399999902</v>
      </c>
      <c r="Y9">
        <v>40616.1902999999</v>
      </c>
      <c r="Z9">
        <v>41028.593500000003</v>
      </c>
      <c r="AA9">
        <v>41483.027300000002</v>
      </c>
      <c r="AB9">
        <v>41954.143899999901</v>
      </c>
      <c r="AC9">
        <v>42455.2114</v>
      </c>
      <c r="AD9">
        <v>42987.496299999999</v>
      </c>
      <c r="AE9">
        <v>43545.982299999901</v>
      </c>
      <c r="AF9">
        <v>44114.485999999997</v>
      </c>
      <c r="AG9">
        <v>44873.749499999998</v>
      </c>
      <c r="AH9">
        <v>45632.420599999998</v>
      </c>
      <c r="AI9">
        <v>46383.1692999999</v>
      </c>
      <c r="AJ9">
        <v>47124.8057999999</v>
      </c>
      <c r="AK9">
        <v>47851.152699999897</v>
      </c>
      <c r="AL9">
        <v>48749.988899999997</v>
      </c>
      <c r="AM9">
        <v>49631.639299999901</v>
      </c>
      <c r="AN9">
        <v>50513.8004</v>
      </c>
      <c r="AO9">
        <v>51402.633099999999</v>
      </c>
      <c r="AP9">
        <v>52294.133699999998</v>
      </c>
    </row>
    <row r="10" spans="1:42" x14ac:dyDescent="0.3">
      <c r="A10" t="s">
        <v>85</v>
      </c>
      <c r="B10">
        <v>301285.54889999999</v>
      </c>
      <c r="C10">
        <v>301773.97669999901</v>
      </c>
      <c r="D10">
        <v>298525.736199999</v>
      </c>
      <c r="E10">
        <v>289051.18579999998</v>
      </c>
      <c r="F10">
        <v>279165.61780000001</v>
      </c>
      <c r="G10">
        <v>282396.788</v>
      </c>
      <c r="H10">
        <v>289032.66930000001</v>
      </c>
      <c r="I10">
        <v>295169.01429999998</v>
      </c>
      <c r="J10">
        <v>289107.24019999901</v>
      </c>
      <c r="K10">
        <v>293203.34450000001</v>
      </c>
      <c r="L10">
        <v>280677.76860000001</v>
      </c>
      <c r="M10">
        <v>289157.05589999998</v>
      </c>
      <c r="N10">
        <v>283937.32169999997</v>
      </c>
      <c r="O10">
        <v>288242.19239999901</v>
      </c>
      <c r="P10">
        <v>292288.88250000001</v>
      </c>
      <c r="Q10">
        <v>296246.20029999898</v>
      </c>
      <c r="R10">
        <v>300924.29979999998</v>
      </c>
      <c r="S10">
        <v>305814.08889999997</v>
      </c>
      <c r="T10">
        <v>311046.04180000001</v>
      </c>
      <c r="U10">
        <v>316560.6912</v>
      </c>
      <c r="V10">
        <v>322428.902</v>
      </c>
      <c r="W10">
        <v>323709.1495</v>
      </c>
      <c r="X10">
        <v>325262.58319999999</v>
      </c>
      <c r="Y10">
        <v>327071.58020000003</v>
      </c>
      <c r="Z10">
        <v>329079.97360000003</v>
      </c>
      <c r="AA10">
        <v>331352.55499999999</v>
      </c>
      <c r="AB10">
        <v>334768.82939999999</v>
      </c>
      <c r="AC10">
        <v>338467.30200000003</v>
      </c>
      <c r="AD10">
        <v>342400.11119999998</v>
      </c>
      <c r="AE10">
        <v>346591.64849999902</v>
      </c>
      <c r="AF10">
        <v>350836.42819999898</v>
      </c>
      <c r="AG10">
        <v>355630.14529999899</v>
      </c>
      <c r="AH10">
        <v>360352.679</v>
      </c>
      <c r="AI10">
        <v>364939.29249999998</v>
      </c>
      <c r="AJ10">
        <v>369368.92709999997</v>
      </c>
      <c r="AK10">
        <v>373550.69469999999</v>
      </c>
      <c r="AL10">
        <v>378095.6361</v>
      </c>
      <c r="AM10">
        <v>382408.3872</v>
      </c>
      <c r="AN10">
        <v>386508.78249999997</v>
      </c>
      <c r="AO10">
        <v>390424.26759999897</v>
      </c>
      <c r="AP10">
        <v>394188.79989999998</v>
      </c>
    </row>
    <row r="11" spans="1:42" x14ac:dyDescent="0.3">
      <c r="A11" t="s">
        <v>86</v>
      </c>
      <c r="B11">
        <v>4591.2790999999997</v>
      </c>
      <c r="C11">
        <v>3716.2970999999998</v>
      </c>
      <c r="D11">
        <v>3816.9739999999902</v>
      </c>
      <c r="E11">
        <v>2889.1309999999999</v>
      </c>
      <c r="F11">
        <v>2964.982</v>
      </c>
      <c r="G11">
        <v>2766.0799999999899</v>
      </c>
      <c r="H11">
        <v>2197.5810000000001</v>
      </c>
      <c r="I11">
        <v>2235.1439</v>
      </c>
      <c r="J11">
        <v>2199.683</v>
      </c>
      <c r="K11">
        <v>1908.4259999999899</v>
      </c>
      <c r="L11">
        <v>2238.2836000000002</v>
      </c>
      <c r="M11">
        <v>2215.1653999999999</v>
      </c>
      <c r="N11">
        <v>2241.9274999999998</v>
      </c>
      <c r="O11">
        <v>2132.1050999999902</v>
      </c>
      <c r="P11">
        <v>2025.0210999999999</v>
      </c>
      <c r="Q11">
        <v>1936.8803</v>
      </c>
      <c r="R11">
        <v>2005.5802000000001</v>
      </c>
      <c r="S11">
        <v>2089.6050999999902</v>
      </c>
      <c r="T11">
        <v>2178.3458000000001</v>
      </c>
      <c r="U11">
        <v>2277.1768000000002</v>
      </c>
      <c r="V11">
        <v>2383.3719000000001</v>
      </c>
      <c r="W11">
        <v>2421.2759000000001</v>
      </c>
      <c r="X11">
        <v>2465.9713999999999</v>
      </c>
      <c r="Y11">
        <v>2519.1876000000002</v>
      </c>
      <c r="Z11">
        <v>2581.1532999999999</v>
      </c>
      <c r="AA11">
        <v>2654.2988</v>
      </c>
      <c r="AB11">
        <v>2694.7790999999902</v>
      </c>
      <c r="AC11">
        <v>2748.9930999999901</v>
      </c>
      <c r="AD11">
        <v>2818.3964999999998</v>
      </c>
      <c r="AE11">
        <v>2906.31229999999</v>
      </c>
      <c r="AF11">
        <v>3015.4187999999999</v>
      </c>
      <c r="AG11">
        <v>3113.8868000000002</v>
      </c>
      <c r="AH11">
        <v>3240.1804999999999</v>
      </c>
      <c r="AI11">
        <v>3395.7474999999899</v>
      </c>
      <c r="AJ11">
        <v>3582.4737999999902</v>
      </c>
      <c r="AK11">
        <v>3799.7635</v>
      </c>
      <c r="AL11">
        <v>4063.1592000000001</v>
      </c>
      <c r="AM11">
        <v>4349.8128999999999</v>
      </c>
      <c r="AN11">
        <v>4654.8903</v>
      </c>
      <c r="AO11">
        <v>4969.8543</v>
      </c>
      <c r="AP11">
        <v>5285.9083000000001</v>
      </c>
    </row>
    <row r="12" spans="1:42" x14ac:dyDescent="0.3">
      <c r="A12" t="s">
        <v>87</v>
      </c>
      <c r="B12">
        <v>119116.000099999</v>
      </c>
      <c r="C12">
        <v>113814.9999</v>
      </c>
      <c r="D12">
        <v>103087.0001</v>
      </c>
      <c r="E12">
        <v>101507.00019999999</v>
      </c>
      <c r="F12">
        <v>103214.0001</v>
      </c>
      <c r="G12">
        <v>108842.9997</v>
      </c>
      <c r="H12">
        <v>113861</v>
      </c>
      <c r="I12">
        <v>115631.5906</v>
      </c>
      <c r="J12">
        <v>113808.455</v>
      </c>
      <c r="K12">
        <v>120863.879099999</v>
      </c>
      <c r="L12">
        <v>122860.3379</v>
      </c>
      <c r="M12">
        <v>121684.5307</v>
      </c>
      <c r="N12">
        <v>121299.9506</v>
      </c>
      <c r="O12">
        <v>123823.5983</v>
      </c>
      <c r="P12">
        <v>125646.051599999</v>
      </c>
      <c r="Q12">
        <v>127774.2258</v>
      </c>
      <c r="R12">
        <v>130321.0159</v>
      </c>
      <c r="S12">
        <v>133087.48800000001</v>
      </c>
      <c r="T12">
        <v>136072.25169999999</v>
      </c>
      <c r="U12">
        <v>139317.44469999999</v>
      </c>
      <c r="V12">
        <v>142772.8058</v>
      </c>
      <c r="W12">
        <v>144711.2874</v>
      </c>
      <c r="X12">
        <v>146773.44639999999</v>
      </c>
      <c r="Y12">
        <v>148912.4921</v>
      </c>
      <c r="Z12">
        <v>151090.66940000001</v>
      </c>
      <c r="AA12">
        <v>153303.250299999</v>
      </c>
      <c r="AB12">
        <v>155299.5447</v>
      </c>
      <c r="AC12">
        <v>157276.37210000001</v>
      </c>
      <c r="AD12">
        <v>159208.05129999999</v>
      </c>
      <c r="AE12">
        <v>161091.462</v>
      </c>
      <c r="AF12">
        <v>162937.12479999999</v>
      </c>
      <c r="AG12">
        <v>165372.95420000001</v>
      </c>
      <c r="AH12">
        <v>167755.99429999999</v>
      </c>
      <c r="AI12">
        <v>170127.56390000001</v>
      </c>
      <c r="AJ12">
        <v>172489.86840000001</v>
      </c>
      <c r="AK12">
        <v>174864.97330000001</v>
      </c>
      <c r="AL12">
        <v>178668.15839999999</v>
      </c>
      <c r="AM12">
        <v>182508.88549999901</v>
      </c>
      <c r="AN12">
        <v>186436.37079999899</v>
      </c>
      <c r="AO12">
        <v>190475.3026</v>
      </c>
      <c r="AP12">
        <v>194631.68830000001</v>
      </c>
    </row>
    <row r="13" spans="1:42" x14ac:dyDescent="0.3">
      <c r="A13" t="s">
        <v>88</v>
      </c>
      <c r="B13">
        <v>71110.107799999896</v>
      </c>
      <c r="C13">
        <v>65801.611199999999</v>
      </c>
      <c r="D13">
        <v>72591.975799999898</v>
      </c>
      <c r="E13">
        <v>68342.636700000003</v>
      </c>
      <c r="F13">
        <v>65425.475599999903</v>
      </c>
      <c r="G13">
        <v>65284.544900000001</v>
      </c>
      <c r="H13">
        <v>68292.708199999994</v>
      </c>
      <c r="I13">
        <v>71311.912100000001</v>
      </c>
      <c r="J13">
        <v>68604.744900000005</v>
      </c>
      <c r="K13">
        <v>74221.532800000001</v>
      </c>
      <c r="L13">
        <v>72595.578799999901</v>
      </c>
      <c r="M13">
        <v>70788.117599999998</v>
      </c>
      <c r="N13">
        <v>69263.353199999998</v>
      </c>
      <c r="O13">
        <v>69587.2978</v>
      </c>
      <c r="P13">
        <v>69791.6103</v>
      </c>
      <c r="Q13">
        <v>70127.048299999995</v>
      </c>
      <c r="R13">
        <v>70617.909899999999</v>
      </c>
      <c r="S13">
        <v>71184.199800000002</v>
      </c>
      <c r="T13">
        <v>71841.235000000001</v>
      </c>
      <c r="U13">
        <v>72607.415899999905</v>
      </c>
      <c r="V13">
        <v>73487.305300000007</v>
      </c>
      <c r="W13">
        <v>73973.2212</v>
      </c>
      <c r="X13">
        <v>74562.3511</v>
      </c>
      <c r="Y13">
        <v>75257.436799999996</v>
      </c>
      <c r="Z13">
        <v>76051.963199999998</v>
      </c>
      <c r="AA13">
        <v>76928.597800000003</v>
      </c>
      <c r="AB13">
        <v>78129.160199999998</v>
      </c>
      <c r="AC13">
        <v>79364.945000000007</v>
      </c>
      <c r="AD13">
        <v>80610.280700000003</v>
      </c>
      <c r="AE13">
        <v>81846.346099999995</v>
      </c>
      <c r="AF13">
        <v>83093.045899999997</v>
      </c>
      <c r="AG13">
        <v>84411.014599999995</v>
      </c>
      <c r="AH13">
        <v>85676.147500000006</v>
      </c>
      <c r="AI13">
        <v>86810.227400000003</v>
      </c>
      <c r="AJ13">
        <v>87884.809099999999</v>
      </c>
      <c r="AK13">
        <v>88917.273400000005</v>
      </c>
      <c r="AL13">
        <v>89825.570999999996</v>
      </c>
      <c r="AM13">
        <v>90674.643800000005</v>
      </c>
      <c r="AN13">
        <v>91488.404500000004</v>
      </c>
      <c r="AO13">
        <v>92275.774299999903</v>
      </c>
      <c r="AP13">
        <v>93032.834199999998</v>
      </c>
    </row>
    <row r="14" spans="1:42" x14ac:dyDescent="0.3">
      <c r="A14" t="s">
        <v>89</v>
      </c>
      <c r="B14">
        <v>54087.320399999997</v>
      </c>
      <c r="C14">
        <v>52458.662499999897</v>
      </c>
      <c r="D14">
        <v>46610.239699999896</v>
      </c>
      <c r="E14">
        <v>51667.923499999997</v>
      </c>
      <c r="F14">
        <v>52796.975899999998</v>
      </c>
      <c r="G14">
        <v>52411.5363</v>
      </c>
      <c r="H14">
        <v>60328.447099999998</v>
      </c>
      <c r="I14">
        <v>59431.718399999998</v>
      </c>
      <c r="J14">
        <v>59636.0821</v>
      </c>
      <c r="K14">
        <v>53154.168899999997</v>
      </c>
      <c r="L14">
        <v>53134.720899999898</v>
      </c>
      <c r="M14">
        <v>51042.8633999999</v>
      </c>
      <c r="N14">
        <v>48884.784800000001</v>
      </c>
      <c r="O14">
        <v>49666.863799999999</v>
      </c>
      <c r="P14">
        <v>50297.767500000002</v>
      </c>
      <c r="Q14">
        <v>50990.862299999899</v>
      </c>
      <c r="R14">
        <v>51061.628100000002</v>
      </c>
      <c r="S14">
        <v>51127.627199999901</v>
      </c>
      <c r="T14">
        <v>51219.89</v>
      </c>
      <c r="U14">
        <v>51349.201200000003</v>
      </c>
      <c r="V14">
        <v>51526.030299999999</v>
      </c>
      <c r="W14">
        <v>52158.462</v>
      </c>
      <c r="X14">
        <v>52840.384599999903</v>
      </c>
      <c r="Y14">
        <v>53569.253199999897</v>
      </c>
      <c r="Z14">
        <v>54360.145399999899</v>
      </c>
      <c r="AA14">
        <v>55184.881699999998</v>
      </c>
      <c r="AB14">
        <v>55821.487200000003</v>
      </c>
      <c r="AC14">
        <v>56473.1031</v>
      </c>
      <c r="AD14">
        <v>57118.769399999997</v>
      </c>
      <c r="AE14">
        <v>57760.091099999903</v>
      </c>
      <c r="AF14">
        <v>58363.964399999997</v>
      </c>
      <c r="AG14">
        <v>59145.528299999998</v>
      </c>
      <c r="AH14">
        <v>59892.068899999998</v>
      </c>
      <c r="AI14">
        <v>60606.628100000002</v>
      </c>
      <c r="AJ14">
        <v>61294.601300000002</v>
      </c>
      <c r="AK14">
        <v>61948.023699999903</v>
      </c>
      <c r="AL14">
        <v>62260.747600000002</v>
      </c>
      <c r="AM14">
        <v>62527.700799999999</v>
      </c>
      <c r="AN14">
        <v>62760.452400000002</v>
      </c>
      <c r="AO14">
        <v>62977.195699999997</v>
      </c>
      <c r="AP14">
        <v>63180.0622</v>
      </c>
    </row>
    <row r="15" spans="1:42" x14ac:dyDescent="0.3">
      <c r="A15" t="s">
        <v>90</v>
      </c>
      <c r="B15">
        <v>80366</v>
      </c>
      <c r="C15">
        <v>73201</v>
      </c>
      <c r="D15">
        <v>70092</v>
      </c>
      <c r="E15">
        <v>70968</v>
      </c>
      <c r="F15">
        <v>67803.999899999995</v>
      </c>
      <c r="G15">
        <v>68351</v>
      </c>
      <c r="H15">
        <v>68491</v>
      </c>
      <c r="I15">
        <v>67123.167600000001</v>
      </c>
      <c r="J15">
        <v>69981.746799999994</v>
      </c>
      <c r="K15">
        <v>68386.319199999998</v>
      </c>
      <c r="L15">
        <v>69155.962599999999</v>
      </c>
      <c r="M15">
        <v>72000.949299999993</v>
      </c>
      <c r="N15">
        <v>72061.580600000001</v>
      </c>
      <c r="O15">
        <v>72032.665299999993</v>
      </c>
      <c r="P15">
        <v>72089.410300000003</v>
      </c>
      <c r="Q15">
        <v>72304.429799999998</v>
      </c>
      <c r="R15">
        <v>72454.339299999905</v>
      </c>
      <c r="S15">
        <v>72732.8842</v>
      </c>
      <c r="T15">
        <v>73125.944799999997</v>
      </c>
      <c r="U15">
        <v>73672.106199999995</v>
      </c>
      <c r="V15">
        <v>74310.216999999902</v>
      </c>
      <c r="W15">
        <v>73962.181599999996</v>
      </c>
      <c r="X15">
        <v>73645.099799999996</v>
      </c>
      <c r="Y15">
        <v>73384.283100000001</v>
      </c>
      <c r="Z15">
        <v>73186.183299999902</v>
      </c>
      <c r="AA15">
        <v>73005.601299999995</v>
      </c>
      <c r="AB15">
        <v>73589.337400000004</v>
      </c>
      <c r="AC15">
        <v>74205.721900000004</v>
      </c>
      <c r="AD15">
        <v>74840.916499999905</v>
      </c>
      <c r="AE15">
        <v>75495.799999999901</v>
      </c>
      <c r="AF15">
        <v>76163.582299999995</v>
      </c>
      <c r="AG15">
        <v>76618.820399999997</v>
      </c>
      <c r="AH15">
        <v>77078.492499999993</v>
      </c>
      <c r="AI15">
        <v>77550.323799999998</v>
      </c>
      <c r="AJ15">
        <v>78032.872900000002</v>
      </c>
      <c r="AK15">
        <v>78528.930200000003</v>
      </c>
      <c r="AL15">
        <v>79449.23</v>
      </c>
      <c r="AM15">
        <v>80389.274999999994</v>
      </c>
      <c r="AN15">
        <v>81352.598599999998</v>
      </c>
      <c r="AO15">
        <v>82344.891300000003</v>
      </c>
      <c r="AP15">
        <v>83351.143299999996</v>
      </c>
    </row>
    <row r="16" spans="1:42" x14ac:dyDescent="0.3">
      <c r="A16" t="s">
        <v>91</v>
      </c>
      <c r="B16">
        <v>148548</v>
      </c>
      <c r="C16">
        <v>150405</v>
      </c>
      <c r="D16">
        <v>166561</v>
      </c>
      <c r="E16">
        <v>153165.71</v>
      </c>
      <c r="F16">
        <v>153663.46</v>
      </c>
      <c r="G16">
        <v>162112.26999999999</v>
      </c>
      <c r="H16">
        <v>156009.72</v>
      </c>
      <c r="I16">
        <v>164250</v>
      </c>
      <c r="J16">
        <v>163400</v>
      </c>
      <c r="K16">
        <v>168439</v>
      </c>
      <c r="L16">
        <v>163943.57560000001</v>
      </c>
      <c r="M16">
        <v>171927.53269999899</v>
      </c>
      <c r="N16">
        <v>173288.78039999999</v>
      </c>
      <c r="O16">
        <v>172492.47700000001</v>
      </c>
      <c r="P16">
        <v>171843.3204</v>
      </c>
      <c r="Q16">
        <v>171441.85279999999</v>
      </c>
      <c r="R16">
        <v>172061.24979999999</v>
      </c>
      <c r="S16">
        <v>172857.00930000001</v>
      </c>
      <c r="T16">
        <v>173842.9118</v>
      </c>
      <c r="U16">
        <v>174991.56479999999</v>
      </c>
      <c r="V16">
        <v>176275.19519999999</v>
      </c>
      <c r="W16">
        <v>176637.69390000001</v>
      </c>
      <c r="X16">
        <v>177082.10459999999</v>
      </c>
      <c r="Y16">
        <v>177585.092199999</v>
      </c>
      <c r="Z16">
        <v>178130.84899999999</v>
      </c>
      <c r="AA16">
        <v>178700.10869999899</v>
      </c>
      <c r="AB16">
        <v>179393.90820000001</v>
      </c>
      <c r="AC16">
        <v>180099.2476</v>
      </c>
      <c r="AD16">
        <v>180813.56169999999</v>
      </c>
      <c r="AE16">
        <v>181537.32870000001</v>
      </c>
      <c r="AF16">
        <v>182254.0275</v>
      </c>
      <c r="AG16">
        <v>183088.49239999999</v>
      </c>
      <c r="AH16">
        <v>183935.36719999899</v>
      </c>
      <c r="AI16">
        <v>184799.38020000001</v>
      </c>
      <c r="AJ16">
        <v>185675.32009999899</v>
      </c>
      <c r="AK16">
        <v>186573.90039999899</v>
      </c>
      <c r="AL16">
        <v>187487.489</v>
      </c>
      <c r="AM16">
        <v>188423.30239999999</v>
      </c>
      <c r="AN16">
        <v>189377.4057</v>
      </c>
      <c r="AO16">
        <v>190359.8155</v>
      </c>
      <c r="AP16">
        <v>191352.17689999999</v>
      </c>
    </row>
    <row r="17" spans="1:42" x14ac:dyDescent="0.3">
      <c r="A17" t="s">
        <v>92</v>
      </c>
      <c r="B17">
        <v>382790.41749999998</v>
      </c>
      <c r="C17">
        <v>367954.03629999998</v>
      </c>
      <c r="D17">
        <v>364053.49449999898</v>
      </c>
      <c r="E17">
        <v>358197.34840000002</v>
      </c>
      <c r="F17">
        <v>337713.16210000002</v>
      </c>
      <c r="G17">
        <v>338035.4228</v>
      </c>
      <c r="H17">
        <v>337246.49119999999</v>
      </c>
      <c r="I17">
        <v>337429.31650000002</v>
      </c>
      <c r="J17">
        <v>332408.94089999999</v>
      </c>
      <c r="K17">
        <v>323341.73389999999</v>
      </c>
      <c r="L17">
        <v>310834.80699999997</v>
      </c>
      <c r="M17">
        <v>308151.25170000002</v>
      </c>
      <c r="N17">
        <v>324299.353</v>
      </c>
      <c r="O17">
        <v>327378.06339999998</v>
      </c>
      <c r="P17">
        <v>330556.78320000001</v>
      </c>
      <c r="Q17">
        <v>334207.82819999999</v>
      </c>
      <c r="R17">
        <v>336842.42090000003</v>
      </c>
      <c r="S17">
        <v>340049.60509999999</v>
      </c>
      <c r="T17">
        <v>343852.07069999998</v>
      </c>
      <c r="U17">
        <v>348217.07880000002</v>
      </c>
      <c r="V17">
        <v>353165.91419999901</v>
      </c>
      <c r="W17">
        <v>358164.3774</v>
      </c>
      <c r="X17">
        <v>363744.29829999898</v>
      </c>
      <c r="Y17">
        <v>369849.05659999902</v>
      </c>
      <c r="Z17">
        <v>376400.34229999903</v>
      </c>
      <c r="AA17">
        <v>383285.88699999999</v>
      </c>
      <c r="AB17">
        <v>389795.61090000003</v>
      </c>
      <c r="AC17">
        <v>396376.32119999902</v>
      </c>
      <c r="AD17">
        <v>402874.7035</v>
      </c>
      <c r="AE17">
        <v>409159.27850000001</v>
      </c>
      <c r="AF17">
        <v>415259.94089999999</v>
      </c>
      <c r="AG17">
        <v>422044.2475</v>
      </c>
      <c r="AH17">
        <v>428612.7316</v>
      </c>
      <c r="AI17">
        <v>435013.16970000003</v>
      </c>
      <c r="AJ17">
        <v>441271.23759999999</v>
      </c>
      <c r="AK17">
        <v>447455.88799999998</v>
      </c>
      <c r="AL17">
        <v>455554.90840000001</v>
      </c>
      <c r="AM17">
        <v>463764.62400000001</v>
      </c>
      <c r="AN17">
        <v>472033.90360000002</v>
      </c>
      <c r="AO17">
        <v>480424.91930000001</v>
      </c>
      <c r="AP17">
        <v>488988.04949999898</v>
      </c>
    </row>
    <row r="18" spans="1:42" x14ac:dyDescent="0.3">
      <c r="A18" t="s">
        <v>93</v>
      </c>
      <c r="B18">
        <v>85818.11</v>
      </c>
      <c r="C18">
        <v>87392.86</v>
      </c>
      <c r="D18">
        <v>87343.98</v>
      </c>
      <c r="E18">
        <v>86837.77</v>
      </c>
      <c r="F18">
        <v>86059.53</v>
      </c>
      <c r="G18">
        <v>83811.960000000006</v>
      </c>
      <c r="H18">
        <v>83212.55</v>
      </c>
      <c r="I18">
        <v>86952.765799999994</v>
      </c>
      <c r="J18">
        <v>87912.861300000004</v>
      </c>
      <c r="K18">
        <v>86911.077099999995</v>
      </c>
      <c r="L18">
        <v>81461.980599999995</v>
      </c>
      <c r="M18">
        <v>84937.022100000002</v>
      </c>
      <c r="N18">
        <v>84776.052100000001</v>
      </c>
      <c r="O18">
        <v>85023.194799999997</v>
      </c>
      <c r="P18">
        <v>85345.260399999999</v>
      </c>
      <c r="Q18">
        <v>85711.13</v>
      </c>
      <c r="R18">
        <v>86886.456399999894</v>
      </c>
      <c r="S18">
        <v>88160.018299999894</v>
      </c>
      <c r="T18">
        <v>89535.972200000004</v>
      </c>
      <c r="U18">
        <v>91034.570999999996</v>
      </c>
      <c r="V18">
        <v>92652.652799999996</v>
      </c>
      <c r="W18">
        <v>93024.2625999999</v>
      </c>
      <c r="X18">
        <v>93437.237999999998</v>
      </c>
      <c r="Y18">
        <v>93893.882500000007</v>
      </c>
      <c r="Z18">
        <v>94385.835399999996</v>
      </c>
      <c r="AA18">
        <v>94937.577000000005</v>
      </c>
      <c r="AB18">
        <v>95495.055999999997</v>
      </c>
      <c r="AC18">
        <v>96097.425499999998</v>
      </c>
      <c r="AD18">
        <v>96749.151100000003</v>
      </c>
      <c r="AE18">
        <v>97448.771200000003</v>
      </c>
      <c r="AF18">
        <v>98235.659299999999</v>
      </c>
      <c r="AG18">
        <v>99137.878599999996</v>
      </c>
      <c r="AH18">
        <v>100102.435799999</v>
      </c>
      <c r="AI18">
        <v>101136.2352</v>
      </c>
      <c r="AJ18">
        <v>102243.605</v>
      </c>
      <c r="AK18">
        <v>103422.7806</v>
      </c>
      <c r="AL18">
        <v>104584.92939999999</v>
      </c>
      <c r="AM18">
        <v>105783.7365</v>
      </c>
      <c r="AN18">
        <v>107018.2455</v>
      </c>
      <c r="AO18">
        <v>108265.9354</v>
      </c>
      <c r="AP18">
        <v>109515.0239</v>
      </c>
    </row>
    <row r="19" spans="1:42" x14ac:dyDescent="0.3">
      <c r="A19" t="s">
        <v>94</v>
      </c>
      <c r="B19">
        <v>12964</v>
      </c>
      <c r="C19">
        <v>12893</v>
      </c>
      <c r="D19">
        <v>11967</v>
      </c>
      <c r="E19">
        <v>13275</v>
      </c>
      <c r="F19">
        <v>12446</v>
      </c>
      <c r="G19">
        <v>10148.83</v>
      </c>
      <c r="H19">
        <v>12169.923999999901</v>
      </c>
      <c r="I19">
        <v>13160.460499999999</v>
      </c>
      <c r="J19">
        <v>12364.171</v>
      </c>
      <c r="K19">
        <v>7615.5851000000002</v>
      </c>
      <c r="L19">
        <v>6105.49009999999</v>
      </c>
      <c r="M19">
        <v>7229.8900999999996</v>
      </c>
      <c r="N19">
        <v>8959.8541000000005</v>
      </c>
      <c r="O19">
        <v>9020.5455999999995</v>
      </c>
      <c r="P19">
        <v>9070.0486000000001</v>
      </c>
      <c r="Q19">
        <v>9135.1561000000002</v>
      </c>
      <c r="R19">
        <v>9221.6468000000004</v>
      </c>
      <c r="S19">
        <v>9316.0256000000008</v>
      </c>
      <c r="T19">
        <v>9414.8546999999999</v>
      </c>
      <c r="U19">
        <v>9518.8191999999908</v>
      </c>
      <c r="V19">
        <v>9629.5232999999898</v>
      </c>
      <c r="W19">
        <v>9692.9519999999993</v>
      </c>
      <c r="X19">
        <v>9760.54179999999</v>
      </c>
      <c r="Y19">
        <v>9831.4807000000001</v>
      </c>
      <c r="Z19">
        <v>9906.7428999999902</v>
      </c>
      <c r="AA19">
        <v>9990.4321</v>
      </c>
      <c r="AB19">
        <v>10077.5834</v>
      </c>
      <c r="AC19">
        <v>10170.5461</v>
      </c>
      <c r="AD19">
        <v>10269.2720999999</v>
      </c>
      <c r="AE19">
        <v>10376.0882</v>
      </c>
      <c r="AF19">
        <v>10490.4087</v>
      </c>
      <c r="AG19">
        <v>10624.553599999999</v>
      </c>
      <c r="AH19">
        <v>10768.106100000001</v>
      </c>
      <c r="AI19">
        <v>10919.8087</v>
      </c>
      <c r="AJ19">
        <v>11079.7429999999</v>
      </c>
      <c r="AK19">
        <v>11247.345600000001</v>
      </c>
      <c r="AL19">
        <v>11426.0123</v>
      </c>
      <c r="AM19">
        <v>11618.5659</v>
      </c>
      <c r="AN19">
        <v>11811.038699999999</v>
      </c>
      <c r="AO19">
        <v>12002.6013</v>
      </c>
      <c r="AP19">
        <v>12187.6866999999</v>
      </c>
    </row>
    <row r="20" spans="1:42" x14ac:dyDescent="0.3">
      <c r="A20" t="s">
        <v>95</v>
      </c>
      <c r="B20">
        <v>5322.1180000000004</v>
      </c>
      <c r="C20">
        <v>4929.6019999999999</v>
      </c>
      <c r="D20">
        <v>4717.0230000000001</v>
      </c>
      <c r="E20">
        <v>4290.1449999999904</v>
      </c>
      <c r="F20">
        <v>4350.4399999999996</v>
      </c>
      <c r="G20">
        <v>4534.5159999999996</v>
      </c>
      <c r="H20">
        <v>4887.6379999999999</v>
      </c>
      <c r="I20">
        <v>5004.3648000000003</v>
      </c>
      <c r="J20">
        <v>5060.5672000000004</v>
      </c>
      <c r="K20">
        <v>5141.4907999999996</v>
      </c>
      <c r="L20">
        <v>4855.1674999999996</v>
      </c>
      <c r="M20">
        <v>5127.1705999999904</v>
      </c>
      <c r="N20">
        <v>5276.7704999999996</v>
      </c>
      <c r="O20">
        <v>5557.1178</v>
      </c>
      <c r="P20">
        <v>5853.2492999999904</v>
      </c>
      <c r="Q20">
        <v>6179.7221999999902</v>
      </c>
      <c r="R20">
        <v>6263.6025</v>
      </c>
      <c r="S20">
        <v>6352.9771000000001</v>
      </c>
      <c r="T20">
        <v>6445.2151999999996</v>
      </c>
      <c r="U20">
        <v>6541.6813999999904</v>
      </c>
      <c r="V20">
        <v>6642.7293</v>
      </c>
      <c r="W20">
        <v>6711.6004000000003</v>
      </c>
      <c r="X20">
        <v>6785.6080000000002</v>
      </c>
      <c r="Y20">
        <v>6864.5783000000001</v>
      </c>
      <c r="Z20">
        <v>6951.4987000000001</v>
      </c>
      <c r="AA20">
        <v>7050.91859999999</v>
      </c>
      <c r="AB20">
        <v>7101.3211000000001</v>
      </c>
      <c r="AC20">
        <v>7154.0744999999997</v>
      </c>
      <c r="AD20">
        <v>7209.69559999999</v>
      </c>
      <c r="AE20">
        <v>7267.0565999999999</v>
      </c>
      <c r="AF20">
        <v>7326.8225999999904</v>
      </c>
      <c r="AG20">
        <v>7401.8018000000002</v>
      </c>
      <c r="AH20">
        <v>7480.2784000000001</v>
      </c>
      <c r="AI20">
        <v>7563.2266</v>
      </c>
      <c r="AJ20">
        <v>7652.2608</v>
      </c>
      <c r="AK20">
        <v>7749.1867999999904</v>
      </c>
      <c r="AL20">
        <v>7846.3425999999999</v>
      </c>
      <c r="AM20">
        <v>7955.4988999999996</v>
      </c>
      <c r="AN20">
        <v>8075.0291999999999</v>
      </c>
      <c r="AO20">
        <v>8206.6435000000001</v>
      </c>
      <c r="AP20">
        <v>8348.7086999999992</v>
      </c>
    </row>
    <row r="21" spans="1:42" x14ac:dyDescent="0.3">
      <c r="A21" t="s">
        <v>96</v>
      </c>
      <c r="B21">
        <v>6627</v>
      </c>
      <c r="C21">
        <v>6093.8620000000001</v>
      </c>
      <c r="D21">
        <v>6167.2330000000002</v>
      </c>
      <c r="E21">
        <v>6209.1301000000003</v>
      </c>
      <c r="F21">
        <v>5139.45</v>
      </c>
      <c r="G21">
        <v>5533.7249999999904</v>
      </c>
      <c r="H21">
        <v>6424.7920000000004</v>
      </c>
      <c r="I21">
        <v>7531.1889999999903</v>
      </c>
      <c r="J21">
        <v>6724.8750999999902</v>
      </c>
      <c r="K21">
        <v>6438.3849</v>
      </c>
      <c r="L21">
        <v>5735.4690000000001</v>
      </c>
      <c r="M21">
        <v>5856.4659999999903</v>
      </c>
      <c r="N21">
        <v>5007.12139999999</v>
      </c>
      <c r="O21">
        <v>6405.0989</v>
      </c>
      <c r="P21">
        <v>6419.6643999999997</v>
      </c>
      <c r="Q21">
        <v>6440.7683999999999</v>
      </c>
      <c r="R21">
        <v>6447.7159999999903</v>
      </c>
      <c r="S21">
        <v>6458.7916999999998</v>
      </c>
      <c r="T21">
        <v>6474.8</v>
      </c>
      <c r="U21">
        <v>6495.3221999999996</v>
      </c>
      <c r="V21">
        <v>6518.8356999999996</v>
      </c>
      <c r="W21">
        <v>6596.3125</v>
      </c>
      <c r="X21">
        <v>6676.3751000000002</v>
      </c>
      <c r="Y21">
        <v>6759.3420999999998</v>
      </c>
      <c r="Z21">
        <v>6847.4893999999904</v>
      </c>
      <c r="AA21">
        <v>6939.5397999999996</v>
      </c>
      <c r="AB21">
        <v>6999.8170999999902</v>
      </c>
      <c r="AC21">
        <v>7064.0969999999897</v>
      </c>
      <c r="AD21">
        <v>7132.1836999999996</v>
      </c>
      <c r="AE21">
        <v>7205.3026</v>
      </c>
      <c r="AF21">
        <v>7283.5195999999996</v>
      </c>
      <c r="AG21">
        <v>7345.3747999999996</v>
      </c>
      <c r="AH21">
        <v>7413.8176999999996</v>
      </c>
      <c r="AI21">
        <v>7489.2488000000003</v>
      </c>
      <c r="AJ21">
        <v>7571.7209999999995</v>
      </c>
      <c r="AK21">
        <v>7662.4020999999902</v>
      </c>
      <c r="AL21">
        <v>7726.8280999999997</v>
      </c>
      <c r="AM21">
        <v>7803.4741999999997</v>
      </c>
      <c r="AN21">
        <v>7884.5697</v>
      </c>
      <c r="AO21">
        <v>7968.6567999999997</v>
      </c>
      <c r="AP21">
        <v>8050.2973000000002</v>
      </c>
    </row>
    <row r="22" spans="1:42" x14ac:dyDescent="0.3">
      <c r="A22" t="s">
        <v>97</v>
      </c>
      <c r="B22">
        <v>5499</v>
      </c>
      <c r="C22">
        <v>4565</v>
      </c>
      <c r="D22">
        <v>4816</v>
      </c>
      <c r="E22">
        <v>4525</v>
      </c>
      <c r="F22">
        <v>4154</v>
      </c>
      <c r="G22">
        <v>4668</v>
      </c>
      <c r="H22">
        <v>3996</v>
      </c>
      <c r="I22">
        <v>3937</v>
      </c>
      <c r="J22">
        <v>3279.4</v>
      </c>
      <c r="K22">
        <v>3748.6</v>
      </c>
      <c r="L22">
        <v>5332.5527999999904</v>
      </c>
      <c r="M22">
        <v>4906.8510999999999</v>
      </c>
      <c r="N22">
        <v>4741.85249999999</v>
      </c>
      <c r="O22">
        <v>6819.3348999999998</v>
      </c>
      <c r="P22">
        <v>6860.7794999999996</v>
      </c>
      <c r="Q22">
        <v>6925.6512000000002</v>
      </c>
      <c r="R22">
        <v>6833.3960999999899</v>
      </c>
      <c r="S22">
        <v>6743.8020999999899</v>
      </c>
      <c r="T22">
        <v>6663.4898000000003</v>
      </c>
      <c r="U22">
        <v>6586.9336000000003</v>
      </c>
      <c r="V22">
        <v>6517.8843999999999</v>
      </c>
      <c r="W22">
        <v>6546.5470999999898</v>
      </c>
      <c r="X22">
        <v>6580.8901999999998</v>
      </c>
      <c r="Y22">
        <v>6618.8175000000001</v>
      </c>
      <c r="Z22">
        <v>6662.2969999999996</v>
      </c>
      <c r="AA22">
        <v>6710.4440999999997</v>
      </c>
      <c r="AB22">
        <v>6757.8797999999997</v>
      </c>
      <c r="AC22">
        <v>6809.9252999999999</v>
      </c>
      <c r="AD22">
        <v>6868.0185999999903</v>
      </c>
      <c r="AE22">
        <v>6932.1297000000004</v>
      </c>
      <c r="AF22">
        <v>6996.7287999999999</v>
      </c>
      <c r="AG22">
        <v>7140.8819999999996</v>
      </c>
      <c r="AH22">
        <v>7286.9876000000004</v>
      </c>
      <c r="AI22">
        <v>7435.8425999999999</v>
      </c>
      <c r="AJ22">
        <v>7586.9641000000001</v>
      </c>
      <c r="AK22">
        <v>7739.9465</v>
      </c>
      <c r="AL22">
        <v>7863.61239999999</v>
      </c>
      <c r="AM22">
        <v>7979.0348000000004</v>
      </c>
      <c r="AN22">
        <v>8092.9685999999901</v>
      </c>
      <c r="AO22">
        <v>8205.9115999999995</v>
      </c>
      <c r="AP22">
        <v>8318.5581999999995</v>
      </c>
    </row>
    <row r="23" spans="1:42" x14ac:dyDescent="0.3">
      <c r="A23" t="s">
        <v>98</v>
      </c>
      <c r="B23">
        <v>37370.570099999997</v>
      </c>
      <c r="C23">
        <v>36019.61</v>
      </c>
      <c r="D23">
        <v>34635.4761</v>
      </c>
      <c r="E23">
        <v>30260.875</v>
      </c>
      <c r="F23">
        <v>29347.247100000001</v>
      </c>
      <c r="G23">
        <v>30296.409100000001</v>
      </c>
      <c r="H23">
        <v>31823.845000000001</v>
      </c>
      <c r="I23">
        <v>32833</v>
      </c>
      <c r="J23">
        <v>31928</v>
      </c>
      <c r="K23">
        <v>34180</v>
      </c>
      <c r="L23">
        <v>34809.181700000001</v>
      </c>
      <c r="M23">
        <v>35998.245799999997</v>
      </c>
      <c r="N23">
        <v>35723.540999999997</v>
      </c>
      <c r="O23">
        <v>36593.250099999903</v>
      </c>
      <c r="P23">
        <v>37316.180699999903</v>
      </c>
      <c r="Q23">
        <v>38160.110999999997</v>
      </c>
      <c r="R23">
        <v>39202.909200000002</v>
      </c>
      <c r="S23">
        <v>40295.668899999997</v>
      </c>
      <c r="T23">
        <v>41477.846799999999</v>
      </c>
      <c r="U23">
        <v>42751.258199999997</v>
      </c>
      <c r="V23">
        <v>44111.442999999999</v>
      </c>
      <c r="W23">
        <v>44483.235000000001</v>
      </c>
      <c r="X23">
        <v>44907.200899999902</v>
      </c>
      <c r="Y23">
        <v>45368.5844</v>
      </c>
      <c r="Z23">
        <v>45879.624100000001</v>
      </c>
      <c r="AA23">
        <v>46443.026299999998</v>
      </c>
      <c r="AB23">
        <v>47098.866899999899</v>
      </c>
      <c r="AC23">
        <v>47854.658799999997</v>
      </c>
      <c r="AD23">
        <v>48680.514799999903</v>
      </c>
      <c r="AE23">
        <v>49517.104099999997</v>
      </c>
      <c r="AF23">
        <v>50418.445899999999</v>
      </c>
      <c r="AG23">
        <v>51536.245799999997</v>
      </c>
      <c r="AH23">
        <v>52716.114699999998</v>
      </c>
      <c r="AI23">
        <v>53966.951399999998</v>
      </c>
      <c r="AJ23">
        <v>55280.071899999901</v>
      </c>
      <c r="AK23">
        <v>56647.974099999999</v>
      </c>
      <c r="AL23">
        <v>58284.359199999999</v>
      </c>
      <c r="AM23">
        <v>59963.519</v>
      </c>
      <c r="AN23">
        <v>61698.125200000002</v>
      </c>
      <c r="AO23">
        <v>63485.600299999998</v>
      </c>
      <c r="AP23">
        <v>65317.653200000001</v>
      </c>
    </row>
    <row r="24" spans="1:42" x14ac:dyDescent="0.3">
      <c r="A24" t="s">
        <v>99</v>
      </c>
      <c r="B24">
        <v>2114</v>
      </c>
      <c r="C24">
        <v>2179</v>
      </c>
      <c r="D24">
        <v>2294</v>
      </c>
      <c r="E24">
        <v>2251</v>
      </c>
      <c r="F24">
        <v>2245</v>
      </c>
      <c r="G24">
        <v>1304.99</v>
      </c>
      <c r="H24">
        <v>857.08399999999995</v>
      </c>
      <c r="I24">
        <v>1651.778</v>
      </c>
      <c r="J24">
        <v>1962.48</v>
      </c>
      <c r="K24">
        <v>2059.8290999999999</v>
      </c>
      <c r="L24">
        <v>2145.6882999999998</v>
      </c>
      <c r="M24">
        <v>2217.7003</v>
      </c>
      <c r="N24">
        <v>2296.6295</v>
      </c>
      <c r="O24">
        <v>2495.7134000000001</v>
      </c>
      <c r="P24">
        <v>2699.3851</v>
      </c>
      <c r="Q24">
        <v>2963.0464000000002</v>
      </c>
      <c r="R24">
        <v>3003.5214999999998</v>
      </c>
      <c r="S24">
        <v>3047.6873000000001</v>
      </c>
      <c r="T24">
        <v>3092.6352999999899</v>
      </c>
      <c r="U24">
        <v>3139.2302999999902</v>
      </c>
      <c r="V24">
        <v>3187.7524999999901</v>
      </c>
      <c r="W24">
        <v>3227.7660999999898</v>
      </c>
      <c r="X24">
        <v>3270.3094999999998</v>
      </c>
      <c r="Y24">
        <v>3314.6408999999999</v>
      </c>
      <c r="Z24">
        <v>3361.6386000000002</v>
      </c>
      <c r="AA24">
        <v>3408.3993</v>
      </c>
      <c r="AB24">
        <v>3406.3917999999999</v>
      </c>
      <c r="AC24">
        <v>3407.0542999999998</v>
      </c>
      <c r="AD24">
        <v>3410.1900999999998</v>
      </c>
      <c r="AE24">
        <v>3415.9876999999901</v>
      </c>
      <c r="AF24">
        <v>3421.7386999999999</v>
      </c>
      <c r="AG24">
        <v>3448.3710000000001</v>
      </c>
      <c r="AH24">
        <v>3476.5048999999999</v>
      </c>
      <c r="AI24">
        <v>3505.9043999999999</v>
      </c>
      <c r="AJ24">
        <v>3536.5518999999999</v>
      </c>
      <c r="AK24">
        <v>3567.6686999999902</v>
      </c>
      <c r="AL24">
        <v>3599.3119999999999</v>
      </c>
      <c r="AM24">
        <v>3630.2750999999998</v>
      </c>
      <c r="AN24">
        <v>3661.1206000000002</v>
      </c>
      <c r="AO24">
        <v>3692.0699999999902</v>
      </c>
      <c r="AP24">
        <v>3723.2889999999902</v>
      </c>
    </row>
    <row r="25" spans="1:42" x14ac:dyDescent="0.3">
      <c r="A25" t="s">
        <v>100</v>
      </c>
      <c r="B25">
        <v>157574.20000000001</v>
      </c>
      <c r="C25">
        <v>163443.23000000001</v>
      </c>
      <c r="D25">
        <v>162058.48000000001</v>
      </c>
      <c r="E25">
        <v>164468.76</v>
      </c>
      <c r="F25">
        <v>158917.34</v>
      </c>
      <c r="G25">
        <v>164827.99</v>
      </c>
      <c r="H25">
        <v>166568.24</v>
      </c>
      <c r="I25">
        <v>170403.56529999999</v>
      </c>
      <c r="J25">
        <v>169914.5871</v>
      </c>
      <c r="K25">
        <v>163751.08300000001</v>
      </c>
      <c r="L25">
        <v>158205.654899999</v>
      </c>
      <c r="M25">
        <v>179806.02600000001</v>
      </c>
      <c r="N25">
        <v>179976.64199999999</v>
      </c>
      <c r="O25">
        <v>183174.58859999999</v>
      </c>
      <c r="P25">
        <v>186513.59969999999</v>
      </c>
      <c r="Q25">
        <v>189964.848</v>
      </c>
      <c r="R25">
        <v>191626.1876</v>
      </c>
      <c r="S25">
        <v>193389.82479999901</v>
      </c>
      <c r="T25">
        <v>195299.5619</v>
      </c>
      <c r="U25">
        <v>197371.66249999899</v>
      </c>
      <c r="V25">
        <v>199631.3615</v>
      </c>
      <c r="W25">
        <v>201823.846499999</v>
      </c>
      <c r="X25">
        <v>204130.4797</v>
      </c>
      <c r="Y25">
        <v>206549.52470000001</v>
      </c>
      <c r="Z25">
        <v>209069.21399999899</v>
      </c>
      <c r="AA25">
        <v>211651.15859999901</v>
      </c>
      <c r="AB25">
        <v>213728.16099999999</v>
      </c>
      <c r="AC25">
        <v>215824.20329999999</v>
      </c>
      <c r="AD25">
        <v>217971.7598</v>
      </c>
      <c r="AE25">
        <v>220204.7513</v>
      </c>
      <c r="AF25">
        <v>222577.45689999999</v>
      </c>
      <c r="AG25">
        <v>225659.92979999899</v>
      </c>
      <c r="AH25">
        <v>228825.978299999</v>
      </c>
      <c r="AI25">
        <v>232124.8357</v>
      </c>
      <c r="AJ25">
        <v>235536.0943</v>
      </c>
      <c r="AK25">
        <v>239035.16379999899</v>
      </c>
      <c r="AL25">
        <v>242454.15349999999</v>
      </c>
      <c r="AM25">
        <v>245889.55599999899</v>
      </c>
      <c r="AN25">
        <v>249318.89799999999</v>
      </c>
      <c r="AO25">
        <v>252752.288</v>
      </c>
      <c r="AP25">
        <v>256178.68900000001</v>
      </c>
    </row>
    <row r="26" spans="1:42" x14ac:dyDescent="0.3">
      <c r="A26" t="s">
        <v>101</v>
      </c>
      <c r="B26">
        <v>16439.72</v>
      </c>
      <c r="C26">
        <v>16059.06</v>
      </c>
      <c r="D26">
        <v>15735.7</v>
      </c>
      <c r="E26">
        <v>16102.97</v>
      </c>
      <c r="F26">
        <v>17437.46</v>
      </c>
      <c r="G26">
        <v>15100.07</v>
      </c>
      <c r="H26">
        <v>16499.86</v>
      </c>
      <c r="I26">
        <v>16326.23</v>
      </c>
      <c r="J26">
        <v>16326.9318</v>
      </c>
      <c r="K26">
        <v>16099.560799999999</v>
      </c>
      <c r="L26">
        <v>17193.929800000002</v>
      </c>
      <c r="M26">
        <v>15880.137999999901</v>
      </c>
      <c r="N26">
        <v>13618.560799999999</v>
      </c>
      <c r="O26">
        <v>13953.168599999901</v>
      </c>
      <c r="P26">
        <v>14300.3343</v>
      </c>
      <c r="Q26">
        <v>14674.762999999901</v>
      </c>
      <c r="R26">
        <v>14874.0036</v>
      </c>
      <c r="S26">
        <v>15084.5382999999</v>
      </c>
      <c r="T26">
        <v>15307.2577</v>
      </c>
      <c r="U26">
        <v>15545.2107</v>
      </c>
      <c r="V26">
        <v>15796.8107</v>
      </c>
      <c r="W26">
        <v>15934.5656</v>
      </c>
      <c r="X26">
        <v>16084.834800000001</v>
      </c>
      <c r="Y26">
        <v>16250.777099999999</v>
      </c>
      <c r="Z26">
        <v>16435.807499999999</v>
      </c>
      <c r="AA26">
        <v>16639.5124</v>
      </c>
      <c r="AB26">
        <v>16810.866900000001</v>
      </c>
      <c r="AC26">
        <v>17006.7588</v>
      </c>
      <c r="AD26">
        <v>17229.142400000001</v>
      </c>
      <c r="AE26">
        <v>17479.460299999999</v>
      </c>
      <c r="AF26">
        <v>17753.256600000001</v>
      </c>
      <c r="AG26">
        <v>18038.1695</v>
      </c>
      <c r="AH26">
        <v>18342.254699999899</v>
      </c>
      <c r="AI26">
        <v>18662.8354</v>
      </c>
      <c r="AJ26">
        <v>18991.9009999999</v>
      </c>
      <c r="AK26">
        <v>19327.771599999902</v>
      </c>
      <c r="AL26">
        <v>19703.2592999999</v>
      </c>
      <c r="AM26">
        <v>20064.531299999999</v>
      </c>
      <c r="AN26">
        <v>20416.4424</v>
      </c>
      <c r="AO26">
        <v>20754.9424</v>
      </c>
      <c r="AP26">
        <v>21080.852800000001</v>
      </c>
    </row>
    <row r="27" spans="1:42" x14ac:dyDescent="0.3">
      <c r="A27" t="s">
        <v>102</v>
      </c>
      <c r="B27">
        <v>27818</v>
      </c>
      <c r="C27">
        <v>28578</v>
      </c>
      <c r="D27">
        <v>28595</v>
      </c>
      <c r="E27">
        <v>28763</v>
      </c>
      <c r="F27">
        <v>27283</v>
      </c>
      <c r="G27">
        <v>26803</v>
      </c>
      <c r="H27">
        <v>26934</v>
      </c>
      <c r="I27">
        <v>27583</v>
      </c>
      <c r="J27">
        <v>26855</v>
      </c>
      <c r="K27">
        <v>28401</v>
      </c>
      <c r="L27">
        <v>28824.2372</v>
      </c>
      <c r="M27">
        <v>29976.238300000001</v>
      </c>
      <c r="N27">
        <v>26806.225200000001</v>
      </c>
      <c r="O27">
        <v>27543.870200000001</v>
      </c>
      <c r="P27">
        <v>28360.723399999999</v>
      </c>
      <c r="Q27">
        <v>29205.778200000001</v>
      </c>
      <c r="R27">
        <v>29945.011900000001</v>
      </c>
      <c r="S27">
        <v>30757.619299999998</v>
      </c>
      <c r="T27">
        <v>31641.412499999999</v>
      </c>
      <c r="U27">
        <v>32585.471699999998</v>
      </c>
      <c r="V27">
        <v>33600.765999999901</v>
      </c>
      <c r="W27">
        <v>34131.18</v>
      </c>
      <c r="X27">
        <v>34686.246500000001</v>
      </c>
      <c r="Y27">
        <v>35267.2477</v>
      </c>
      <c r="Z27">
        <v>35881.701699999998</v>
      </c>
      <c r="AA27">
        <v>36522.602099999996</v>
      </c>
      <c r="AB27">
        <v>36942.298000000003</v>
      </c>
      <c r="AC27">
        <v>37382.251299999902</v>
      </c>
      <c r="AD27">
        <v>37845.575400000002</v>
      </c>
      <c r="AE27">
        <v>38335.996899999998</v>
      </c>
      <c r="AF27">
        <v>38849.6136999999</v>
      </c>
      <c r="AG27">
        <v>39435.943699999902</v>
      </c>
      <c r="AH27">
        <v>40056.387699999897</v>
      </c>
      <c r="AI27">
        <v>40712.5580999999</v>
      </c>
      <c r="AJ27">
        <v>41401.868699999999</v>
      </c>
      <c r="AK27">
        <v>42121.328800000003</v>
      </c>
      <c r="AL27">
        <v>42867.637000000002</v>
      </c>
      <c r="AM27">
        <v>43635.472300000001</v>
      </c>
      <c r="AN27">
        <v>44420.0579</v>
      </c>
      <c r="AO27">
        <v>45219.249899999901</v>
      </c>
      <c r="AP27">
        <v>46024.811799999901</v>
      </c>
    </row>
    <row r="28" spans="1:42" x14ac:dyDescent="0.3">
      <c r="A28" t="s">
        <v>103</v>
      </c>
      <c r="B28">
        <v>46639.18</v>
      </c>
      <c r="C28">
        <v>50774.33</v>
      </c>
      <c r="D28">
        <v>47279.07</v>
      </c>
      <c r="E28">
        <v>43798.92</v>
      </c>
      <c r="F28">
        <v>47475.8</v>
      </c>
      <c r="G28">
        <v>49203.76</v>
      </c>
      <c r="H28">
        <v>45244.51</v>
      </c>
      <c r="I28">
        <v>45578.7867999999</v>
      </c>
      <c r="J28">
        <v>46815.409099999997</v>
      </c>
      <c r="K28">
        <v>44245.5965</v>
      </c>
      <c r="L28">
        <v>40752.252699999997</v>
      </c>
      <c r="M28">
        <v>47575.034099999903</v>
      </c>
      <c r="N28">
        <v>50511.3894</v>
      </c>
      <c r="O28">
        <v>50665.954599999903</v>
      </c>
      <c r="P28">
        <v>50792.8724</v>
      </c>
      <c r="Q28">
        <v>50909.844700000001</v>
      </c>
      <c r="R28">
        <v>50829.695299999999</v>
      </c>
      <c r="S28">
        <v>50748.731999999902</v>
      </c>
      <c r="T28">
        <v>50682.837500000001</v>
      </c>
      <c r="U28">
        <v>50628.779799999997</v>
      </c>
      <c r="V28">
        <v>50588.624300000003</v>
      </c>
      <c r="W28">
        <v>50670.331199999899</v>
      </c>
      <c r="X28">
        <v>50762.417299999899</v>
      </c>
      <c r="Y28">
        <v>50864.635199999997</v>
      </c>
      <c r="Z28">
        <v>50975.4401</v>
      </c>
      <c r="AA28">
        <v>51093.818699999902</v>
      </c>
      <c r="AB28">
        <v>50930.992700000003</v>
      </c>
      <c r="AC28">
        <v>50779.393099999899</v>
      </c>
      <c r="AD28">
        <v>50637.118899999899</v>
      </c>
      <c r="AE28">
        <v>50507.894399999997</v>
      </c>
      <c r="AF28">
        <v>50383.767699999997</v>
      </c>
      <c r="AG28">
        <v>50358.652600000001</v>
      </c>
      <c r="AH28">
        <v>50337.3823999999</v>
      </c>
      <c r="AI28">
        <v>50325.0717</v>
      </c>
      <c r="AJ28">
        <v>50321.922400000003</v>
      </c>
      <c r="AK28">
        <v>50324.913500000002</v>
      </c>
      <c r="AL28">
        <v>50284.515099999997</v>
      </c>
      <c r="AM28">
        <v>50248.154600000002</v>
      </c>
      <c r="AN28">
        <v>50217.942600000002</v>
      </c>
      <c r="AO28">
        <v>50193.951399999998</v>
      </c>
      <c r="AP28">
        <v>50175.813300000002</v>
      </c>
    </row>
    <row r="29" spans="1:42" x14ac:dyDescent="0.3">
      <c r="A29" t="s">
        <v>104</v>
      </c>
      <c r="B29">
        <v>60979.1</v>
      </c>
      <c r="C29">
        <v>62216.86</v>
      </c>
      <c r="D29">
        <v>59044.93</v>
      </c>
      <c r="E29">
        <v>58886.86</v>
      </c>
      <c r="F29">
        <v>65676.479999999996</v>
      </c>
      <c r="G29">
        <v>66296.479999999996</v>
      </c>
      <c r="H29">
        <v>65102.98</v>
      </c>
      <c r="I29">
        <v>64296.0213</v>
      </c>
      <c r="J29">
        <v>64876.462399999997</v>
      </c>
      <c r="K29">
        <v>59622.806100000002</v>
      </c>
      <c r="L29">
        <v>56011.713400000001</v>
      </c>
      <c r="M29">
        <v>59544.625999999997</v>
      </c>
      <c r="N29">
        <v>56081.037400000001</v>
      </c>
      <c r="O29">
        <v>58084.631199999902</v>
      </c>
      <c r="P29">
        <v>60197.952199999898</v>
      </c>
      <c r="Q29">
        <v>62452.594299999902</v>
      </c>
      <c r="R29">
        <v>63953.268499999896</v>
      </c>
      <c r="S29">
        <v>65519.241600000001</v>
      </c>
      <c r="T29">
        <v>67160.4598999999</v>
      </c>
      <c r="U29">
        <v>68867.965799999904</v>
      </c>
      <c r="V29">
        <v>70653.844999999899</v>
      </c>
      <c r="W29">
        <v>70640.915199999901</v>
      </c>
      <c r="X29">
        <v>70657.816500000001</v>
      </c>
      <c r="Y29">
        <v>70717.951699999903</v>
      </c>
      <c r="Z29">
        <v>70835.741499999902</v>
      </c>
      <c r="AA29">
        <v>70963.862899999993</v>
      </c>
      <c r="AB29">
        <v>71454.100300000006</v>
      </c>
      <c r="AC29">
        <v>71988.516199999998</v>
      </c>
      <c r="AD29">
        <v>72555.002500000002</v>
      </c>
      <c r="AE29">
        <v>73184.239299999899</v>
      </c>
      <c r="AF29">
        <v>73830.659</v>
      </c>
      <c r="AG29">
        <v>74647.478499999997</v>
      </c>
      <c r="AH29">
        <v>75513.608500000002</v>
      </c>
      <c r="AI29">
        <v>76431.695899999904</v>
      </c>
      <c r="AJ29">
        <v>77383.821999999898</v>
      </c>
      <c r="AK29">
        <v>78361.892999999996</v>
      </c>
      <c r="AL29">
        <v>79458.235499999995</v>
      </c>
      <c r="AM29">
        <v>80520.811300000001</v>
      </c>
      <c r="AN29">
        <v>81583.794599999994</v>
      </c>
      <c r="AO29">
        <v>82645.945699999997</v>
      </c>
      <c r="AP29">
        <v>83698.521699999998</v>
      </c>
    </row>
    <row r="30" spans="1:42" x14ac:dyDescent="0.3">
      <c r="A30" t="s">
        <v>105</v>
      </c>
      <c r="B30">
        <v>123505</v>
      </c>
      <c r="C30">
        <v>127481</v>
      </c>
      <c r="D30">
        <v>147633</v>
      </c>
      <c r="E30">
        <v>133818</v>
      </c>
      <c r="F30">
        <v>141657</v>
      </c>
      <c r="G30">
        <v>144212</v>
      </c>
      <c r="H30">
        <v>148734</v>
      </c>
      <c r="I30">
        <v>149156</v>
      </c>
      <c r="J30">
        <v>146762.80850000001</v>
      </c>
      <c r="K30">
        <v>134578.34580000001</v>
      </c>
      <c r="L30">
        <v>154908.96779999899</v>
      </c>
      <c r="M30">
        <v>157541.29949999999</v>
      </c>
      <c r="N30">
        <v>146269.07399999999</v>
      </c>
      <c r="O30">
        <v>145889.2862</v>
      </c>
      <c r="P30">
        <v>144641.09570000001</v>
      </c>
      <c r="Q30">
        <v>143463.00260000001</v>
      </c>
      <c r="R30">
        <v>142811.51060000001</v>
      </c>
      <c r="S30">
        <v>142379.77029999901</v>
      </c>
      <c r="T30">
        <v>142212.26639999999</v>
      </c>
      <c r="U30">
        <v>142413.79109999901</v>
      </c>
      <c r="V30">
        <v>142885.76130000001</v>
      </c>
      <c r="W30">
        <v>143097.28389999899</v>
      </c>
      <c r="X30">
        <v>143442.82199999999</v>
      </c>
      <c r="Y30">
        <v>143878.15669999999</v>
      </c>
      <c r="Z30">
        <v>144373.3124</v>
      </c>
      <c r="AA30">
        <v>144899.80499999999</v>
      </c>
      <c r="AB30">
        <v>145521.85809999899</v>
      </c>
      <c r="AC30">
        <v>146163.45309999899</v>
      </c>
      <c r="AD30">
        <v>146830.2432</v>
      </c>
      <c r="AE30">
        <v>147516.18099999899</v>
      </c>
      <c r="AF30">
        <v>148213.50210000001</v>
      </c>
      <c r="AG30">
        <v>148918.27160000001</v>
      </c>
      <c r="AH30">
        <v>149634.46720000001</v>
      </c>
      <c r="AI30">
        <v>150361.98910000001</v>
      </c>
      <c r="AJ30">
        <v>151094.49189999999</v>
      </c>
      <c r="AK30">
        <v>151820.91459999999</v>
      </c>
      <c r="AL30">
        <v>152555.3101</v>
      </c>
      <c r="AM30">
        <v>153299.45809999999</v>
      </c>
      <c r="AN30">
        <v>154047.26669999899</v>
      </c>
      <c r="AO30">
        <v>154802.12210000001</v>
      </c>
      <c r="AP30">
        <v>155567.25629999899</v>
      </c>
    </row>
    <row r="31" spans="1:42" x14ac:dyDescent="0.3">
      <c r="A31" t="s">
        <v>106</v>
      </c>
      <c r="B31">
        <v>67815.132299999997</v>
      </c>
      <c r="C31">
        <v>64624.5003</v>
      </c>
      <c r="D31">
        <v>69838.762400000007</v>
      </c>
      <c r="E31">
        <v>70212.647400000002</v>
      </c>
      <c r="F31">
        <v>71743.126799999998</v>
      </c>
      <c r="G31">
        <v>67681.908800000005</v>
      </c>
      <c r="H31">
        <v>63168.534399999997</v>
      </c>
      <c r="I31">
        <v>63094.742200000001</v>
      </c>
      <c r="J31">
        <v>69109.304600000003</v>
      </c>
      <c r="K31">
        <v>73477.977700000003</v>
      </c>
      <c r="L31">
        <v>71674.304399999994</v>
      </c>
      <c r="M31">
        <v>66062.924899999998</v>
      </c>
      <c r="N31">
        <v>65687.347999999998</v>
      </c>
      <c r="O31">
        <v>66264.038499999995</v>
      </c>
      <c r="P31">
        <v>66588.218200000003</v>
      </c>
      <c r="Q31">
        <v>66869.482399999994</v>
      </c>
      <c r="R31">
        <v>67216.138399999996</v>
      </c>
      <c r="S31">
        <v>67628.465599999996</v>
      </c>
      <c r="T31">
        <v>68108.411299999905</v>
      </c>
      <c r="U31">
        <v>68660.025299999994</v>
      </c>
      <c r="V31">
        <v>69276.684800000003</v>
      </c>
      <c r="W31">
        <v>69847.986799999999</v>
      </c>
      <c r="X31">
        <v>70485.392099999997</v>
      </c>
      <c r="Y31">
        <v>71187.676299999905</v>
      </c>
      <c r="Z31">
        <v>71949.348800000007</v>
      </c>
      <c r="AA31">
        <v>72773.140899999999</v>
      </c>
      <c r="AB31">
        <v>73626.278699999995</v>
      </c>
      <c r="AC31">
        <v>74500.4283</v>
      </c>
      <c r="AD31">
        <v>75396.7668999999</v>
      </c>
      <c r="AE31">
        <v>76312.954599999997</v>
      </c>
      <c r="AF31">
        <v>77248.089699999997</v>
      </c>
      <c r="AG31">
        <v>78194.054499999998</v>
      </c>
      <c r="AH31">
        <v>79153.000599999999</v>
      </c>
      <c r="AI31">
        <v>80129.097800000003</v>
      </c>
      <c r="AJ31">
        <v>81118.171999999904</v>
      </c>
      <c r="AK31">
        <v>82123.146800000002</v>
      </c>
      <c r="AL31">
        <v>83139.663999999902</v>
      </c>
      <c r="AM31">
        <v>84175.971699999995</v>
      </c>
      <c r="AN31">
        <v>85227.979500000001</v>
      </c>
      <c r="AO31">
        <v>86308.605299999996</v>
      </c>
      <c r="AP31">
        <v>87417.486600000004</v>
      </c>
    </row>
    <row r="32" spans="1:42" x14ac:dyDescent="0.3">
      <c r="A32" t="s">
        <v>107</v>
      </c>
      <c r="B32">
        <v>17059</v>
      </c>
      <c r="C32">
        <v>17211</v>
      </c>
      <c r="D32">
        <v>17549</v>
      </c>
      <c r="E32">
        <v>18116</v>
      </c>
      <c r="F32">
        <v>18123</v>
      </c>
      <c r="G32">
        <v>18799</v>
      </c>
      <c r="H32">
        <v>18550</v>
      </c>
      <c r="I32">
        <v>19238.532800000001</v>
      </c>
      <c r="J32">
        <v>19829.7605</v>
      </c>
      <c r="K32">
        <v>19488.834999999999</v>
      </c>
      <c r="L32">
        <v>19127.368299999998</v>
      </c>
      <c r="M32">
        <v>19614.2588</v>
      </c>
      <c r="N32">
        <v>20120.553199999998</v>
      </c>
      <c r="O32">
        <v>20245.619199999899</v>
      </c>
      <c r="P32">
        <v>20346.910899999901</v>
      </c>
      <c r="Q32">
        <v>20449.754799999999</v>
      </c>
      <c r="R32">
        <v>20557.9267</v>
      </c>
      <c r="S32">
        <v>20667.079899999899</v>
      </c>
      <c r="T32">
        <v>20777.389299999999</v>
      </c>
      <c r="U32">
        <v>20889.269199999999</v>
      </c>
      <c r="V32">
        <v>21003.0906</v>
      </c>
      <c r="W32">
        <v>21079.8622</v>
      </c>
      <c r="X32">
        <v>21156.9676</v>
      </c>
      <c r="Y32">
        <v>21234.448400000001</v>
      </c>
      <c r="Z32">
        <v>21311.439799999898</v>
      </c>
      <c r="AA32">
        <v>21389.357400000001</v>
      </c>
      <c r="AB32">
        <v>21488.9391</v>
      </c>
      <c r="AC32">
        <v>21588.184300000001</v>
      </c>
      <c r="AD32">
        <v>21688.245200000001</v>
      </c>
      <c r="AE32">
        <v>21787.247599999999</v>
      </c>
      <c r="AF32">
        <v>21885.490600000001</v>
      </c>
      <c r="AG32">
        <v>21983.4719</v>
      </c>
      <c r="AH32">
        <v>22080.658299999999</v>
      </c>
      <c r="AI32">
        <v>22177.541199999901</v>
      </c>
      <c r="AJ32">
        <v>22273.675299999999</v>
      </c>
      <c r="AK32">
        <v>22369.281200000001</v>
      </c>
      <c r="AL32">
        <v>22463.938399999999</v>
      </c>
      <c r="AM32">
        <v>22557.600499999899</v>
      </c>
      <c r="AN32">
        <v>22650.499599999999</v>
      </c>
      <c r="AO32">
        <v>22742.297799999898</v>
      </c>
      <c r="AP32">
        <v>22832.8469999999</v>
      </c>
    </row>
    <row r="33" spans="1:42" x14ac:dyDescent="0.3">
      <c r="A33" t="s">
        <v>108</v>
      </c>
      <c r="B33">
        <v>14902.1</v>
      </c>
      <c r="C33">
        <v>11373.9</v>
      </c>
      <c r="D33">
        <v>10754.8</v>
      </c>
      <c r="E33">
        <v>14052.3</v>
      </c>
      <c r="F33">
        <v>13553.9</v>
      </c>
      <c r="G33">
        <v>11403</v>
      </c>
      <c r="H33">
        <v>12820.5</v>
      </c>
      <c r="I33">
        <v>11983.5</v>
      </c>
      <c r="J33">
        <v>13631.6999</v>
      </c>
      <c r="K33">
        <v>12760.3</v>
      </c>
      <c r="L33">
        <v>13413.7101</v>
      </c>
      <c r="M33">
        <v>15243.9604</v>
      </c>
      <c r="N33">
        <v>14255.1922</v>
      </c>
      <c r="O33">
        <v>14298.57</v>
      </c>
      <c r="P33">
        <v>14342.267400000001</v>
      </c>
      <c r="Q33">
        <v>14387.8877999999</v>
      </c>
      <c r="R33">
        <v>14785.605799999999</v>
      </c>
      <c r="S33">
        <v>15351.927599999901</v>
      </c>
      <c r="T33">
        <v>16155.415800000001</v>
      </c>
      <c r="U33">
        <v>17271.5288</v>
      </c>
      <c r="V33">
        <v>18816.6901</v>
      </c>
      <c r="W33">
        <v>18850.449699999899</v>
      </c>
      <c r="X33">
        <v>18893.750999999898</v>
      </c>
      <c r="Y33">
        <v>18943.574100000002</v>
      </c>
      <c r="Z33">
        <v>19001.129199999999</v>
      </c>
      <c r="AA33">
        <v>19057.195899999999</v>
      </c>
      <c r="AB33">
        <v>19149.5452999999</v>
      </c>
      <c r="AC33">
        <v>19249.083600000002</v>
      </c>
      <c r="AD33">
        <v>19358.800299999999</v>
      </c>
      <c r="AE33">
        <v>19476.307499999999</v>
      </c>
      <c r="AF33">
        <v>19598.541399999998</v>
      </c>
      <c r="AG33">
        <v>19718.8645</v>
      </c>
      <c r="AH33">
        <v>19841.072700000001</v>
      </c>
      <c r="AI33">
        <v>19968.309999999899</v>
      </c>
      <c r="AJ33">
        <v>20099.910100000001</v>
      </c>
      <c r="AK33">
        <v>20235.3874</v>
      </c>
      <c r="AL33">
        <v>20453.857400000001</v>
      </c>
      <c r="AM33">
        <v>20675.653999999999</v>
      </c>
      <c r="AN33">
        <v>20904.307000000001</v>
      </c>
      <c r="AO33">
        <v>21138.909799999899</v>
      </c>
      <c r="AP33">
        <v>21378.1388999999</v>
      </c>
    </row>
    <row r="34" spans="1:42" x14ac:dyDescent="0.3">
      <c r="A34" t="s">
        <v>109</v>
      </c>
      <c r="B34">
        <v>211097</v>
      </c>
      <c r="C34">
        <v>229287</v>
      </c>
      <c r="D34">
        <v>239384</v>
      </c>
      <c r="E34">
        <v>239876</v>
      </c>
      <c r="F34">
        <v>251625</v>
      </c>
      <c r="G34">
        <v>261288</v>
      </c>
      <c r="H34">
        <v>273695</v>
      </c>
      <c r="I34">
        <v>296429.20169999998</v>
      </c>
      <c r="J34">
        <v>303851.67739999999</v>
      </c>
      <c r="K34">
        <v>302796.09580000001</v>
      </c>
      <c r="L34">
        <v>305846.1446</v>
      </c>
      <c r="M34">
        <v>333948.719199999</v>
      </c>
      <c r="N34">
        <v>327625.57179999899</v>
      </c>
      <c r="O34">
        <v>329067.88530000002</v>
      </c>
      <c r="P34">
        <v>329527.2439</v>
      </c>
      <c r="Q34">
        <v>330168.46749999898</v>
      </c>
      <c r="R34">
        <v>332321.98289999901</v>
      </c>
      <c r="S34">
        <v>334621.9031</v>
      </c>
      <c r="T34">
        <v>337094.79840000003</v>
      </c>
      <c r="U34">
        <v>339759.12160000001</v>
      </c>
      <c r="V34">
        <v>342590.67709999997</v>
      </c>
      <c r="W34">
        <v>344246.09979999898</v>
      </c>
      <c r="X34">
        <v>346023.925099999</v>
      </c>
      <c r="Y34">
        <v>347914.02590000001</v>
      </c>
      <c r="Z34">
        <v>349770.93920000002</v>
      </c>
      <c r="AA34">
        <v>351971.62430000002</v>
      </c>
      <c r="AB34">
        <v>354381.70999999897</v>
      </c>
      <c r="AC34">
        <v>356908.68560000003</v>
      </c>
      <c r="AD34">
        <v>359580.36179999902</v>
      </c>
      <c r="AE34">
        <v>362334.66639999999</v>
      </c>
      <c r="AF34">
        <v>365413.40089999902</v>
      </c>
      <c r="AG34">
        <v>368670.41499999899</v>
      </c>
      <c r="AH34">
        <v>372019.69409999897</v>
      </c>
      <c r="AI34">
        <v>375516.31829999998</v>
      </c>
      <c r="AJ34">
        <v>379185.3394</v>
      </c>
      <c r="AK34">
        <v>382936.59279999998</v>
      </c>
      <c r="AL34">
        <v>386792.13909999997</v>
      </c>
      <c r="AM34">
        <v>390742.16639999999</v>
      </c>
      <c r="AN34">
        <v>394815.37529999902</v>
      </c>
      <c r="AO34">
        <v>398775.23079999897</v>
      </c>
      <c r="AP34">
        <v>402618.4939</v>
      </c>
    </row>
    <row r="35" spans="1:42" x14ac:dyDescent="0.3">
      <c r="A35" t="s">
        <v>110</v>
      </c>
      <c r="B35">
        <v>7260</v>
      </c>
      <c r="C35">
        <v>6759</v>
      </c>
      <c r="D35">
        <v>6262</v>
      </c>
      <c r="E35">
        <v>6094</v>
      </c>
      <c r="F35">
        <v>5374</v>
      </c>
      <c r="G35">
        <v>5646</v>
      </c>
      <c r="H35">
        <v>5629.5040999999901</v>
      </c>
      <c r="I35">
        <v>5600.1889000000001</v>
      </c>
      <c r="J35">
        <v>5607.1698999999999</v>
      </c>
      <c r="K35">
        <v>5869.7689999999902</v>
      </c>
      <c r="L35">
        <v>5348.2915999999996</v>
      </c>
      <c r="M35">
        <v>5532.9296000000004</v>
      </c>
      <c r="N35">
        <v>5935.2668999999996</v>
      </c>
      <c r="O35">
        <v>5925.5414999999903</v>
      </c>
      <c r="P35">
        <v>5905.8526999999904</v>
      </c>
      <c r="Q35">
        <v>5890.7114999999903</v>
      </c>
      <c r="R35">
        <v>5913.3393999999998</v>
      </c>
      <c r="S35">
        <v>5940.9722999999904</v>
      </c>
      <c r="T35">
        <v>5973.1283999999996</v>
      </c>
      <c r="U35">
        <v>6018.2809999999999</v>
      </c>
      <c r="V35">
        <v>6067.1516000000001</v>
      </c>
      <c r="W35">
        <v>6079.2714999999998</v>
      </c>
      <c r="X35">
        <v>6111.8209999999999</v>
      </c>
      <c r="Y35">
        <v>6146.03999999999</v>
      </c>
      <c r="Z35">
        <v>6176.05</v>
      </c>
      <c r="AA35">
        <v>6223.5833000000002</v>
      </c>
      <c r="AB35">
        <v>6277.2597999999998</v>
      </c>
      <c r="AC35">
        <v>6334.4359999999997</v>
      </c>
      <c r="AD35">
        <v>6391.7197999999999</v>
      </c>
      <c r="AE35">
        <v>6449.8723</v>
      </c>
      <c r="AF35">
        <v>6514.5418999999902</v>
      </c>
      <c r="AG35">
        <v>6582.4816000000001</v>
      </c>
      <c r="AH35">
        <v>6646.8575999999903</v>
      </c>
      <c r="AI35">
        <v>6712.6723000000002</v>
      </c>
      <c r="AJ35">
        <v>6778.8737999999903</v>
      </c>
      <c r="AK35">
        <v>6844.6647999999996</v>
      </c>
      <c r="AL35">
        <v>6909.0860000000002</v>
      </c>
      <c r="AM35">
        <v>6970.6414000000004</v>
      </c>
      <c r="AN35">
        <v>7030.2879000000003</v>
      </c>
      <c r="AO35">
        <v>7086.4004000000004</v>
      </c>
      <c r="AP35">
        <v>7140.5184999999901</v>
      </c>
    </row>
    <row r="36" spans="1:42" x14ac:dyDescent="0.3">
      <c r="A36" t="s">
        <v>111</v>
      </c>
      <c r="B36">
        <v>4374686</v>
      </c>
      <c r="C36">
        <v>4345375</v>
      </c>
      <c r="D36">
        <v>4286526</v>
      </c>
      <c r="E36">
        <v>4302015</v>
      </c>
      <c r="F36">
        <v>4336033.0061999997</v>
      </c>
      <c r="G36">
        <v>4311640.9924999997</v>
      </c>
      <c r="H36">
        <v>4316459.9976999899</v>
      </c>
      <c r="I36">
        <v>4280984.7542000003</v>
      </c>
      <c r="J36">
        <v>4450166.3582999902</v>
      </c>
      <c r="K36">
        <v>4386685.7111999998</v>
      </c>
      <c r="L36">
        <v>4256049.6370999999</v>
      </c>
      <c r="M36">
        <v>4370863.98559999</v>
      </c>
      <c r="N36">
        <v>4491737.5865000002</v>
      </c>
      <c r="O36">
        <v>4500653.5432999898</v>
      </c>
      <c r="P36">
        <v>4490826.3317999998</v>
      </c>
      <c r="Q36">
        <v>4483570.9488000004</v>
      </c>
      <c r="R36">
        <v>4487063.4952999996</v>
      </c>
      <c r="S36">
        <v>4495216.4456000002</v>
      </c>
      <c r="T36">
        <v>4508218.63309999</v>
      </c>
      <c r="U36">
        <v>4525530.8712999998</v>
      </c>
      <c r="V36">
        <v>4547510.3798999898</v>
      </c>
      <c r="W36">
        <v>4570724.2335000001</v>
      </c>
      <c r="X36">
        <v>4598833.8904999997</v>
      </c>
      <c r="Y36">
        <v>4631902.4985999996</v>
      </c>
      <c r="Z36">
        <v>4670612.9614000004</v>
      </c>
      <c r="AA36">
        <v>4714528.3916999996</v>
      </c>
      <c r="AB36">
        <v>4765017.2149999999</v>
      </c>
      <c r="AC36">
        <v>4820579.8366</v>
      </c>
      <c r="AD36">
        <v>4880961.3016999997</v>
      </c>
      <c r="AE36">
        <v>4945729.2949000001</v>
      </c>
      <c r="AF36">
        <v>5013997.2778999899</v>
      </c>
      <c r="AG36">
        <v>5084618.9116000002</v>
      </c>
      <c r="AH36">
        <v>5157057.2424999997</v>
      </c>
      <c r="AI36">
        <v>5229966.6597999996</v>
      </c>
      <c r="AJ36">
        <v>5301987.5275999997</v>
      </c>
      <c r="AK36">
        <v>5372845.9206999997</v>
      </c>
      <c r="AL36">
        <v>5441331.9482000005</v>
      </c>
      <c r="AM36">
        <v>5507111.0241999999</v>
      </c>
      <c r="AN36">
        <v>5568807.2280000001</v>
      </c>
      <c r="AO36">
        <v>5626200.4963999996</v>
      </c>
      <c r="AP36">
        <v>5679308.2046999997</v>
      </c>
    </row>
    <row r="37" spans="1:42" x14ac:dyDescent="0.3">
      <c r="A37" t="s">
        <v>112</v>
      </c>
      <c r="B37">
        <v>1150019.2956999999</v>
      </c>
      <c r="C37">
        <v>1089727.9835999999</v>
      </c>
      <c r="D37">
        <v>1078016.59249999</v>
      </c>
      <c r="E37">
        <v>1082227.75889999</v>
      </c>
      <c r="F37">
        <v>1054674.7049999901</v>
      </c>
      <c r="G37">
        <v>1037707.1297</v>
      </c>
      <c r="H37">
        <v>1049928.2290000001</v>
      </c>
      <c r="I37">
        <v>1059942.4338999901</v>
      </c>
      <c r="J37">
        <v>1047875.33779999</v>
      </c>
      <c r="K37">
        <v>1019763.2992</v>
      </c>
      <c r="L37">
        <v>1000377.1512</v>
      </c>
      <c r="M37">
        <v>1032210.3619</v>
      </c>
      <c r="N37">
        <v>1002889.7341</v>
      </c>
      <c r="O37">
        <v>1002640.12239999</v>
      </c>
      <c r="P37">
        <v>999039.92969999998</v>
      </c>
      <c r="Q37">
        <v>995305.48979999998</v>
      </c>
      <c r="R37">
        <v>1000686.9007</v>
      </c>
      <c r="S37">
        <v>1007192.12559999</v>
      </c>
      <c r="T37">
        <v>1015051.1014</v>
      </c>
      <c r="U37">
        <v>1023666.42979999</v>
      </c>
      <c r="V37">
        <v>1033024.7139</v>
      </c>
      <c r="W37">
        <v>1038105.6535</v>
      </c>
      <c r="X37">
        <v>1043717.04139999</v>
      </c>
      <c r="Y37">
        <v>1049832.2641</v>
      </c>
      <c r="Z37">
        <v>1056478.24009999</v>
      </c>
      <c r="AA37">
        <v>1064298.70299999</v>
      </c>
      <c r="AB37">
        <v>1072688.2682</v>
      </c>
      <c r="AC37">
        <v>1080276.8163999999</v>
      </c>
      <c r="AD37">
        <v>1088515.66459999</v>
      </c>
      <c r="AE37">
        <v>1097446.1891000001</v>
      </c>
      <c r="AF37">
        <v>1107195.9029999999</v>
      </c>
      <c r="AG37">
        <v>1117731.2261999999</v>
      </c>
      <c r="AH37">
        <v>1129014.6597</v>
      </c>
      <c r="AI37">
        <v>1141096.7785</v>
      </c>
      <c r="AJ37">
        <v>1154046.675</v>
      </c>
      <c r="AK37">
        <v>1167766.6483999901</v>
      </c>
      <c r="AL37">
        <v>1182419.3152999999</v>
      </c>
      <c r="AM37">
        <v>1197916.2681</v>
      </c>
      <c r="AN37">
        <v>1213488.1743999999</v>
      </c>
      <c r="AO37">
        <v>1227424.0543</v>
      </c>
      <c r="AP37">
        <v>1240851.7335000001</v>
      </c>
    </row>
    <row r="38" spans="1:42" x14ac:dyDescent="0.3">
      <c r="A38" t="s">
        <v>113</v>
      </c>
      <c r="B38">
        <v>600030</v>
      </c>
      <c r="C38">
        <v>630833</v>
      </c>
      <c r="D38">
        <v>629339</v>
      </c>
      <c r="E38">
        <v>655045</v>
      </c>
      <c r="F38">
        <v>656403</v>
      </c>
      <c r="G38">
        <v>657754</v>
      </c>
      <c r="H38">
        <v>664840</v>
      </c>
      <c r="I38">
        <v>662473</v>
      </c>
      <c r="J38">
        <v>658232</v>
      </c>
      <c r="K38">
        <v>651943</v>
      </c>
      <c r="L38">
        <v>651619.64370000002</v>
      </c>
      <c r="M38">
        <v>644744.44830000005</v>
      </c>
      <c r="N38">
        <v>651357.61750000005</v>
      </c>
      <c r="O38">
        <v>649136.80440000002</v>
      </c>
      <c r="P38">
        <v>645985.37309999997</v>
      </c>
      <c r="Q38">
        <v>643675.98029999901</v>
      </c>
      <c r="R38">
        <v>641213.91480000003</v>
      </c>
      <c r="S38">
        <v>639688.20290000003</v>
      </c>
      <c r="T38">
        <v>638981.56610000005</v>
      </c>
      <c r="U38">
        <v>639141.7696</v>
      </c>
      <c r="V38">
        <v>640006.12929999898</v>
      </c>
      <c r="W38">
        <v>641890.88910000003</v>
      </c>
      <c r="X38">
        <v>644412.46279999998</v>
      </c>
      <c r="Y38">
        <v>647688.24699999997</v>
      </c>
      <c r="Z38">
        <v>651636.91070000001</v>
      </c>
      <c r="AA38">
        <v>656420.23620000004</v>
      </c>
      <c r="AB38">
        <v>661958.80229999998</v>
      </c>
      <c r="AC38">
        <v>668103.29779999994</v>
      </c>
      <c r="AD38">
        <v>674939.01899999997</v>
      </c>
      <c r="AE38">
        <v>682421.32739999995</v>
      </c>
      <c r="AF38">
        <v>690528.27229999995</v>
      </c>
      <c r="AG38">
        <v>699142.25859999994</v>
      </c>
      <c r="AH38">
        <v>708288.16520000005</v>
      </c>
      <c r="AI38">
        <v>717872.68839999998</v>
      </c>
      <c r="AJ38">
        <v>727856.95729999896</v>
      </c>
      <c r="AK38">
        <v>738187.69279999903</v>
      </c>
      <c r="AL38">
        <v>748427.38509999996</v>
      </c>
      <c r="AM38">
        <v>758791.714199999</v>
      </c>
      <c r="AN38">
        <v>769075.6</v>
      </c>
      <c r="AO38">
        <v>779247.62569999998</v>
      </c>
      <c r="AP38">
        <v>789248.0686</v>
      </c>
    </row>
    <row r="39" spans="1:42" x14ac:dyDescent="0.3">
      <c r="A39" t="s">
        <v>114</v>
      </c>
      <c r="B39">
        <v>252661</v>
      </c>
      <c r="C39">
        <v>253819</v>
      </c>
      <c r="D39">
        <v>250931</v>
      </c>
      <c r="E39">
        <v>249369</v>
      </c>
      <c r="F39">
        <v>247451</v>
      </c>
      <c r="G39">
        <v>251415</v>
      </c>
      <c r="H39">
        <v>256563</v>
      </c>
      <c r="I39">
        <v>258018.51199999999</v>
      </c>
      <c r="J39">
        <v>260999.16399999999</v>
      </c>
      <c r="K39">
        <v>264024.9374</v>
      </c>
      <c r="L39">
        <v>265436.12459999998</v>
      </c>
      <c r="M39">
        <v>265852.1226</v>
      </c>
      <c r="N39">
        <v>271872.93349999998</v>
      </c>
      <c r="O39">
        <v>282087.95970000001</v>
      </c>
      <c r="P39">
        <v>290813.93059999897</v>
      </c>
      <c r="Q39">
        <v>299518.3125</v>
      </c>
      <c r="R39">
        <v>308161.82659999997</v>
      </c>
      <c r="S39">
        <v>317312.84909999999</v>
      </c>
      <c r="T39">
        <v>327051.43900000001</v>
      </c>
      <c r="U39">
        <v>337332.73580000002</v>
      </c>
      <c r="V39">
        <v>348105.06819999998</v>
      </c>
      <c r="W39">
        <v>356999.22309999901</v>
      </c>
      <c r="X39">
        <v>366378.15009999898</v>
      </c>
      <c r="Y39">
        <v>376195.28089999902</v>
      </c>
      <c r="Z39">
        <v>386464.04350000003</v>
      </c>
      <c r="AA39">
        <v>397262.11669999902</v>
      </c>
      <c r="AB39">
        <v>407266.27279999998</v>
      </c>
      <c r="AC39">
        <v>417776.61049999902</v>
      </c>
      <c r="AD39">
        <v>428795.23810000002</v>
      </c>
      <c r="AE39">
        <v>440357.97899999999</v>
      </c>
      <c r="AF39">
        <v>452451.47480000003</v>
      </c>
      <c r="AG39">
        <v>465099.11170000001</v>
      </c>
      <c r="AH39">
        <v>478262.158</v>
      </c>
      <c r="AI39">
        <v>491904.11989999999</v>
      </c>
      <c r="AJ39">
        <v>505977.60389999999</v>
      </c>
      <c r="AK39">
        <v>520354.9192</v>
      </c>
      <c r="AL39">
        <v>535160.73799999896</v>
      </c>
      <c r="AM39">
        <v>550325.09920000006</v>
      </c>
      <c r="AN39">
        <v>565809.89769999997</v>
      </c>
      <c r="AO39">
        <v>581565.91479999898</v>
      </c>
      <c r="AP39">
        <v>597602.95369999995</v>
      </c>
    </row>
    <row r="40" spans="1:42" x14ac:dyDescent="0.3">
      <c r="A40" t="s">
        <v>115</v>
      </c>
      <c r="B40">
        <v>44936.395499999999</v>
      </c>
      <c r="C40">
        <v>44581.910499999998</v>
      </c>
      <c r="D40">
        <v>44587.718899999898</v>
      </c>
      <c r="E40">
        <v>43723.780099999902</v>
      </c>
      <c r="F40">
        <v>43937.745199999998</v>
      </c>
      <c r="G40">
        <v>44637.511999999901</v>
      </c>
      <c r="H40">
        <v>44108.976900000001</v>
      </c>
      <c r="I40">
        <v>44591.604799999899</v>
      </c>
      <c r="J40">
        <v>44642.556299999997</v>
      </c>
      <c r="K40">
        <v>45099.076300000001</v>
      </c>
      <c r="L40">
        <v>44520.789799999999</v>
      </c>
      <c r="M40">
        <v>44599.993000000002</v>
      </c>
      <c r="N40">
        <v>44684.912199999999</v>
      </c>
      <c r="O40">
        <v>45974.535799999998</v>
      </c>
      <c r="P40">
        <v>47114.495600000002</v>
      </c>
      <c r="Q40">
        <v>48209.058899999902</v>
      </c>
      <c r="R40">
        <v>49328.522599999997</v>
      </c>
      <c r="S40">
        <v>50505.143400000001</v>
      </c>
      <c r="T40">
        <v>51767.087399999997</v>
      </c>
      <c r="U40">
        <v>53110.960800000001</v>
      </c>
      <c r="V40">
        <v>54534.033299999901</v>
      </c>
      <c r="W40">
        <v>55679.883999999904</v>
      </c>
      <c r="X40">
        <v>56896.759199999899</v>
      </c>
      <c r="Y40">
        <v>58190.216899999999</v>
      </c>
      <c r="Z40">
        <v>59563.0766</v>
      </c>
      <c r="AA40">
        <v>61024.245199999998</v>
      </c>
      <c r="AB40">
        <v>62407.763899999998</v>
      </c>
      <c r="AC40">
        <v>63881.769399999997</v>
      </c>
      <c r="AD40">
        <v>65451.235299999898</v>
      </c>
      <c r="AE40">
        <v>67122.884999999995</v>
      </c>
      <c r="AF40">
        <v>68908.300700000007</v>
      </c>
      <c r="AG40">
        <v>70792.096799999999</v>
      </c>
      <c r="AH40">
        <v>72778.255699999994</v>
      </c>
      <c r="AI40">
        <v>74869.246899999998</v>
      </c>
      <c r="AJ40">
        <v>77061.426299999905</v>
      </c>
      <c r="AK40">
        <v>79349.750399999903</v>
      </c>
      <c r="AL40">
        <v>81730.794200000004</v>
      </c>
      <c r="AM40">
        <v>84189.965400000001</v>
      </c>
      <c r="AN40">
        <v>86714.3606</v>
      </c>
      <c r="AO40">
        <v>89295.675799999997</v>
      </c>
      <c r="AP40">
        <v>91923.488599999997</v>
      </c>
    </row>
    <row r="41" spans="1:42" x14ac:dyDescent="0.3">
      <c r="A41" t="s">
        <v>116</v>
      </c>
      <c r="B41">
        <v>1038030</v>
      </c>
      <c r="C41">
        <v>1054765</v>
      </c>
      <c r="D41">
        <v>1070734</v>
      </c>
      <c r="E41">
        <v>1059092</v>
      </c>
      <c r="F41">
        <v>1064207</v>
      </c>
      <c r="G41">
        <v>1067544</v>
      </c>
      <c r="H41">
        <v>1090973</v>
      </c>
      <c r="I41">
        <v>1094288.5157999999</v>
      </c>
      <c r="J41">
        <v>1115093.1675</v>
      </c>
      <c r="K41">
        <v>1121492.4040999999</v>
      </c>
      <c r="L41">
        <v>1089744.7297999901</v>
      </c>
      <c r="M41">
        <v>1159420.07479999</v>
      </c>
      <c r="N41">
        <v>1151138.1095</v>
      </c>
      <c r="O41">
        <v>1170084.9602999999</v>
      </c>
      <c r="P41">
        <v>1181694.3692999999</v>
      </c>
      <c r="Q41">
        <v>1192910.1344999999</v>
      </c>
      <c r="R41">
        <v>1204206.3537999999</v>
      </c>
      <c r="S41">
        <v>1216147.4704</v>
      </c>
      <c r="T41">
        <v>1228440.379</v>
      </c>
      <c r="U41">
        <v>1241253.4384000001</v>
      </c>
      <c r="V41">
        <v>1254315.4139</v>
      </c>
      <c r="W41">
        <v>1263201.6355000001</v>
      </c>
      <c r="X41">
        <v>1272386.6994</v>
      </c>
      <c r="Y41">
        <v>1281914.3822999999</v>
      </c>
      <c r="Z41">
        <v>1291729.89059999</v>
      </c>
      <c r="AA41">
        <v>1301862.9382</v>
      </c>
      <c r="AB41">
        <v>1312870.0815999999</v>
      </c>
      <c r="AC41">
        <v>1324154.1078999999</v>
      </c>
      <c r="AD41">
        <v>1335797.6847999999</v>
      </c>
      <c r="AE41">
        <v>1347613.1136999901</v>
      </c>
      <c r="AF41">
        <v>1359707.3123999899</v>
      </c>
      <c r="AG41">
        <v>1372030.0933000001</v>
      </c>
      <c r="AH41">
        <v>1384583.6181000001</v>
      </c>
      <c r="AI41">
        <v>1397418.86649999</v>
      </c>
      <c r="AJ41">
        <v>1410494.66719999</v>
      </c>
      <c r="AK41">
        <v>1423813.3647</v>
      </c>
      <c r="AL41">
        <v>1437397.1477999999</v>
      </c>
      <c r="AM41">
        <v>1451250.3097999899</v>
      </c>
      <c r="AN41">
        <v>1465326.59769999</v>
      </c>
      <c r="AO41">
        <v>1479679.6213</v>
      </c>
      <c r="AP41">
        <v>1494307.7908999999</v>
      </c>
    </row>
    <row r="42" spans="1:42" x14ac:dyDescent="0.3">
      <c r="A42" t="s">
        <v>117</v>
      </c>
      <c r="B42">
        <v>34895</v>
      </c>
      <c r="C42">
        <v>32200</v>
      </c>
      <c r="D42">
        <v>30799</v>
      </c>
      <c r="E42">
        <v>31507</v>
      </c>
      <c r="F42">
        <v>34735</v>
      </c>
      <c r="G42">
        <v>34082</v>
      </c>
      <c r="H42">
        <v>33566</v>
      </c>
      <c r="I42">
        <v>34515</v>
      </c>
      <c r="J42">
        <v>38986</v>
      </c>
      <c r="K42">
        <v>40465</v>
      </c>
      <c r="L42">
        <v>38557.251700000001</v>
      </c>
      <c r="M42">
        <v>41248.584499999997</v>
      </c>
      <c r="N42">
        <v>39408.164999999899</v>
      </c>
      <c r="O42">
        <v>39665.7625999999</v>
      </c>
      <c r="P42">
        <v>39798.783999999898</v>
      </c>
      <c r="Q42">
        <v>39937.027499999997</v>
      </c>
      <c r="R42">
        <v>40110.522100000002</v>
      </c>
      <c r="S42">
        <v>40297.8921999999</v>
      </c>
      <c r="T42">
        <v>40501.741199999997</v>
      </c>
      <c r="U42">
        <v>40737.547799999898</v>
      </c>
      <c r="V42">
        <v>40987.275399999999</v>
      </c>
      <c r="W42">
        <v>41165.080699999999</v>
      </c>
      <c r="X42">
        <v>41357.373999999902</v>
      </c>
      <c r="Y42">
        <v>41563.407899999896</v>
      </c>
      <c r="Z42">
        <v>41780.3054999999</v>
      </c>
      <c r="AA42">
        <v>42009.547999999901</v>
      </c>
      <c r="AB42">
        <v>42256.956400000003</v>
      </c>
      <c r="AC42">
        <v>42513.016000000003</v>
      </c>
      <c r="AD42">
        <v>42776.766000000003</v>
      </c>
      <c r="AE42">
        <v>43051.608999999997</v>
      </c>
      <c r="AF42">
        <v>43334.526899999997</v>
      </c>
      <c r="AG42">
        <v>43626.0485999999</v>
      </c>
      <c r="AH42">
        <v>43925.232100000001</v>
      </c>
      <c r="AI42">
        <v>44231.3194</v>
      </c>
      <c r="AJ42">
        <v>44547.841800000002</v>
      </c>
      <c r="AK42">
        <v>44870.1571999999</v>
      </c>
      <c r="AL42">
        <v>45201.618499999997</v>
      </c>
      <c r="AM42">
        <v>45542.596400000002</v>
      </c>
      <c r="AN42">
        <v>45891.705599999899</v>
      </c>
      <c r="AO42">
        <v>46248.961000000003</v>
      </c>
      <c r="AP42">
        <v>46616.163999999997</v>
      </c>
    </row>
    <row r="43" spans="1:42" x14ac:dyDescent="0.3">
      <c r="A43" t="s">
        <v>118</v>
      </c>
      <c r="B43">
        <v>4208003.9981000004</v>
      </c>
      <c r="C43">
        <v>4715761.0015999898</v>
      </c>
      <c r="D43">
        <v>4994044.9969999902</v>
      </c>
      <c r="E43">
        <v>5447246.9923</v>
      </c>
      <c r="F43">
        <v>5817288.0042000003</v>
      </c>
      <c r="G43">
        <v>5854189.9940999998</v>
      </c>
      <c r="H43">
        <v>6199818.9950999999</v>
      </c>
      <c r="I43">
        <v>6714788.4820999997</v>
      </c>
      <c r="J43">
        <v>7142843.1562999897</v>
      </c>
      <c r="K43">
        <v>7504491.7120999899</v>
      </c>
      <c r="L43">
        <v>7767110.5245999899</v>
      </c>
      <c r="M43">
        <v>8600657.0906000007</v>
      </c>
      <c r="N43">
        <v>8961981.4941000007</v>
      </c>
      <c r="O43">
        <v>9240937.9935999997</v>
      </c>
      <c r="P43">
        <v>9505912.2334999908</v>
      </c>
      <c r="Q43">
        <v>9785804.6853</v>
      </c>
      <c r="R43">
        <v>10008277.9305999</v>
      </c>
      <c r="S43">
        <v>10240310.162799999</v>
      </c>
      <c r="T43">
        <v>10482608.386499999</v>
      </c>
      <c r="U43">
        <v>10733074.740399901</v>
      </c>
      <c r="V43">
        <v>10977505.3059</v>
      </c>
      <c r="W43">
        <v>11173937.772700001</v>
      </c>
      <c r="X43">
        <v>11376198.177100001</v>
      </c>
      <c r="Y43">
        <v>11582556.4318999</v>
      </c>
      <c r="Z43">
        <v>11793380.941</v>
      </c>
      <c r="AA43">
        <v>12009362.835899999</v>
      </c>
      <c r="AB43">
        <v>12195271.3079</v>
      </c>
      <c r="AC43">
        <v>12386648.9265</v>
      </c>
      <c r="AD43">
        <v>12584237.874500001</v>
      </c>
      <c r="AE43">
        <v>12788806.1167999</v>
      </c>
      <c r="AF43">
        <v>13001124.7041</v>
      </c>
      <c r="AG43">
        <v>13221421.7008</v>
      </c>
      <c r="AH43">
        <v>13444828.3529999</v>
      </c>
      <c r="AI43">
        <v>13675676.322000001</v>
      </c>
      <c r="AJ43">
        <v>13917525.126399999</v>
      </c>
      <c r="AK43">
        <v>14161232.318499999</v>
      </c>
      <c r="AL43">
        <v>14406733.0140999</v>
      </c>
      <c r="AM43">
        <v>14657377.508300001</v>
      </c>
      <c r="AN43">
        <v>14909998.636399999</v>
      </c>
      <c r="AO43">
        <v>15164425.9179</v>
      </c>
      <c r="AP43">
        <v>15420499.3017</v>
      </c>
    </row>
    <row r="44" spans="1:42" x14ac:dyDescent="0.3">
      <c r="A44" t="s">
        <v>119</v>
      </c>
      <c r="B44">
        <v>977202.93900000001</v>
      </c>
      <c r="C44">
        <v>1064104.4282</v>
      </c>
      <c r="D44">
        <v>1119493.7816999999</v>
      </c>
      <c r="E44">
        <v>1187368.608</v>
      </c>
      <c r="F44">
        <v>1293403.5045</v>
      </c>
      <c r="G44">
        <v>1362700.8931</v>
      </c>
      <c r="H44">
        <v>1437837.1645</v>
      </c>
      <c r="I44">
        <v>1515046.3276</v>
      </c>
      <c r="J44">
        <v>1613756.2799</v>
      </c>
      <c r="K44">
        <v>1651530.6991999999</v>
      </c>
      <c r="L44">
        <v>1543462.0316000001</v>
      </c>
      <c r="M44">
        <v>1643265.5833000001</v>
      </c>
      <c r="N44">
        <v>1821410.2520999999</v>
      </c>
      <c r="O44">
        <v>1906639.5469</v>
      </c>
      <c r="P44">
        <v>1996189.28329999</v>
      </c>
      <c r="Q44">
        <v>2091006.23449999</v>
      </c>
      <c r="R44">
        <v>2184116.8713999898</v>
      </c>
      <c r="S44">
        <v>2283244.4142999998</v>
      </c>
      <c r="T44">
        <v>2389452.4125000001</v>
      </c>
      <c r="U44">
        <v>2502375.8048999999</v>
      </c>
      <c r="V44">
        <v>2622167.2366999998</v>
      </c>
      <c r="W44">
        <v>2712814.5109999999</v>
      </c>
      <c r="X44">
        <v>2809504.7944999901</v>
      </c>
      <c r="Y44">
        <v>2912255.3966999999</v>
      </c>
      <c r="Z44">
        <v>3021339.5501999999</v>
      </c>
      <c r="AA44">
        <v>3137052.4796999898</v>
      </c>
      <c r="AB44">
        <v>3245550.2703</v>
      </c>
      <c r="AC44">
        <v>3360459.4552999898</v>
      </c>
      <c r="AD44">
        <v>3481388.7213999899</v>
      </c>
      <c r="AE44">
        <v>3610318.6379999998</v>
      </c>
      <c r="AF44">
        <v>3746785.9975999999</v>
      </c>
      <c r="AG44">
        <v>3893300.0268999999</v>
      </c>
      <c r="AH44">
        <v>4051025.0175999999</v>
      </c>
      <c r="AI44">
        <v>4221473.1237000003</v>
      </c>
      <c r="AJ44">
        <v>4405382.8828999996</v>
      </c>
      <c r="AK44">
        <v>4602988.8125</v>
      </c>
      <c r="AL44">
        <v>4816692.5253999997</v>
      </c>
      <c r="AM44">
        <v>5039661.3120999997</v>
      </c>
      <c r="AN44">
        <v>5278480.7434999999</v>
      </c>
      <c r="AO44">
        <v>5529362.6596999997</v>
      </c>
      <c r="AP44">
        <v>5793612.1826999998</v>
      </c>
    </row>
    <row r="45" spans="1:42" x14ac:dyDescent="0.3">
      <c r="A45" t="s">
        <v>120</v>
      </c>
      <c r="B45">
        <v>275537.9878</v>
      </c>
      <c r="C45">
        <v>302749.20789999998</v>
      </c>
      <c r="D45">
        <v>307227.97330000001</v>
      </c>
      <c r="E45">
        <v>297325.78839999897</v>
      </c>
      <c r="F45">
        <v>301495.76459999999</v>
      </c>
      <c r="G45">
        <v>310712.04179999902</v>
      </c>
      <c r="H45">
        <v>320564.15950000001</v>
      </c>
      <c r="I45">
        <v>323124.09299999999</v>
      </c>
      <c r="J45">
        <v>345540</v>
      </c>
      <c r="K45">
        <v>331610</v>
      </c>
      <c r="L45">
        <v>318008.3677</v>
      </c>
      <c r="M45">
        <v>379633.82189999998</v>
      </c>
      <c r="N45">
        <v>329405.06439999997</v>
      </c>
      <c r="O45">
        <v>332308.3749</v>
      </c>
      <c r="P45">
        <v>334836.473</v>
      </c>
      <c r="Q45">
        <v>337517.95280000003</v>
      </c>
      <c r="R45">
        <v>339582.48920000001</v>
      </c>
      <c r="S45">
        <v>341735.13459999999</v>
      </c>
      <c r="T45">
        <v>343874.6629</v>
      </c>
      <c r="U45">
        <v>346063.68540000002</v>
      </c>
      <c r="V45">
        <v>348262.97139999998</v>
      </c>
      <c r="W45">
        <v>350430.90799999901</v>
      </c>
      <c r="X45">
        <v>352605.13339999999</v>
      </c>
      <c r="Y45">
        <v>354852.74399999902</v>
      </c>
      <c r="Z45">
        <v>357137.58240000001</v>
      </c>
      <c r="AA45">
        <v>359503.99409999902</v>
      </c>
      <c r="AB45">
        <v>362230.58960000001</v>
      </c>
      <c r="AC45">
        <v>365070.5687</v>
      </c>
      <c r="AD45">
        <v>368146.13410000002</v>
      </c>
      <c r="AE45">
        <v>371330.42109999998</v>
      </c>
      <c r="AF45">
        <v>374642.10460000002</v>
      </c>
      <c r="AG45">
        <v>378047.28590000002</v>
      </c>
      <c r="AH45">
        <v>381546.74739999999</v>
      </c>
      <c r="AI45">
        <v>384969.83519999997</v>
      </c>
      <c r="AJ45">
        <v>388397.77849999903</v>
      </c>
      <c r="AK45">
        <v>391760.5722</v>
      </c>
      <c r="AL45">
        <v>395039.75919999997</v>
      </c>
      <c r="AM45">
        <v>398287.50939999998</v>
      </c>
      <c r="AN45">
        <v>401467.71710000001</v>
      </c>
      <c r="AO45">
        <v>404514.63969999901</v>
      </c>
      <c r="AP45">
        <v>407382.59229999903</v>
      </c>
    </row>
    <row r="46" spans="1:42" x14ac:dyDescent="0.3">
      <c r="A46" t="s">
        <v>121</v>
      </c>
      <c r="B46">
        <v>515330</v>
      </c>
      <c r="C46">
        <v>531201</v>
      </c>
      <c r="D46">
        <v>552118</v>
      </c>
      <c r="E46">
        <v>570499</v>
      </c>
      <c r="F46">
        <v>595895</v>
      </c>
      <c r="G46">
        <v>586111</v>
      </c>
      <c r="H46">
        <v>583997</v>
      </c>
      <c r="I46">
        <v>595127.62829999998</v>
      </c>
      <c r="J46">
        <v>606756.44849999901</v>
      </c>
      <c r="K46">
        <v>632618.65969999996</v>
      </c>
      <c r="L46">
        <v>629769.90689999994</v>
      </c>
      <c r="M46">
        <v>657321.08380000002</v>
      </c>
      <c r="N46">
        <v>678571.19609999994</v>
      </c>
      <c r="O46">
        <v>693251.40029999905</v>
      </c>
      <c r="P46">
        <v>706508.38190000004</v>
      </c>
      <c r="Q46">
        <v>720382.01459999999</v>
      </c>
      <c r="R46">
        <v>736937.79579999996</v>
      </c>
      <c r="S46">
        <v>754018.68439999898</v>
      </c>
      <c r="T46">
        <v>771819.5784</v>
      </c>
      <c r="U46">
        <v>790464.80599999998</v>
      </c>
      <c r="V46">
        <v>809983.65189999901</v>
      </c>
      <c r="W46">
        <v>826885.38019999897</v>
      </c>
      <c r="X46">
        <v>844336.55420000001</v>
      </c>
      <c r="Y46">
        <v>862320.24309999996</v>
      </c>
      <c r="Z46">
        <v>880846.58109999995</v>
      </c>
      <c r="AA46">
        <v>899914.53940000001</v>
      </c>
      <c r="AB46">
        <v>919902.34979999997</v>
      </c>
      <c r="AC46">
        <v>940422.63060000003</v>
      </c>
      <c r="AD46">
        <v>961482.76649999898</v>
      </c>
      <c r="AE46">
        <v>983129.65249999997</v>
      </c>
      <c r="AF46">
        <v>1005403.9343</v>
      </c>
      <c r="AG46">
        <v>1028378.9606</v>
      </c>
      <c r="AH46">
        <v>1052052.2837</v>
      </c>
      <c r="AI46">
        <v>1076548.2671000001</v>
      </c>
      <c r="AJ46">
        <v>1101951.0948999999</v>
      </c>
      <c r="AK46">
        <v>1128214.6794</v>
      </c>
      <c r="AL46">
        <v>1155256.2485</v>
      </c>
      <c r="AM46">
        <v>1183033.3892999999</v>
      </c>
      <c r="AN46">
        <v>1211644.16459999</v>
      </c>
      <c r="AO46">
        <v>1241165.5396999901</v>
      </c>
      <c r="AP46">
        <v>1271561.76929999</v>
      </c>
    </row>
    <row r="47" spans="1:42" x14ac:dyDescent="0.3">
      <c r="A47" t="s">
        <v>122</v>
      </c>
      <c r="B47">
        <v>126015</v>
      </c>
      <c r="C47">
        <v>129506</v>
      </c>
      <c r="D47">
        <v>136058</v>
      </c>
      <c r="E47">
        <v>139467</v>
      </c>
      <c r="F47">
        <v>138576</v>
      </c>
      <c r="G47">
        <v>145447</v>
      </c>
      <c r="H47">
        <v>147220</v>
      </c>
      <c r="I47">
        <v>145644.66279999999</v>
      </c>
      <c r="J47">
        <v>146800.29609999899</v>
      </c>
      <c r="K47">
        <v>139555.04089999999</v>
      </c>
      <c r="L47">
        <v>143942.3119</v>
      </c>
      <c r="M47">
        <v>153362.96299999999</v>
      </c>
      <c r="N47">
        <v>145847.06459999899</v>
      </c>
      <c r="O47">
        <v>149610.70389999999</v>
      </c>
      <c r="P47">
        <v>153007.21839999899</v>
      </c>
      <c r="Q47">
        <v>156534.58050000001</v>
      </c>
      <c r="R47">
        <v>161424.23560000001</v>
      </c>
      <c r="S47">
        <v>166548.753</v>
      </c>
      <c r="T47">
        <v>171931.5822</v>
      </c>
      <c r="U47">
        <v>177551.83499999999</v>
      </c>
      <c r="V47">
        <v>183422.59699999899</v>
      </c>
      <c r="W47">
        <v>188470.3897</v>
      </c>
      <c r="X47">
        <v>193724.68009999901</v>
      </c>
      <c r="Y47">
        <v>199190.3309</v>
      </c>
      <c r="Z47">
        <v>204895.17539999899</v>
      </c>
      <c r="AA47">
        <v>210841.8653</v>
      </c>
      <c r="AB47">
        <v>216974.90650000001</v>
      </c>
      <c r="AC47">
        <v>223368.97020000001</v>
      </c>
      <c r="AD47">
        <v>230011.90069999901</v>
      </c>
      <c r="AE47">
        <v>236929.85260000001</v>
      </c>
      <c r="AF47">
        <v>244108.21629999901</v>
      </c>
      <c r="AG47">
        <v>251547.11589999899</v>
      </c>
      <c r="AH47">
        <v>259257.0914</v>
      </c>
      <c r="AI47">
        <v>267217.9522</v>
      </c>
      <c r="AJ47">
        <v>275414.6018</v>
      </c>
      <c r="AK47">
        <v>283839.87679999898</v>
      </c>
      <c r="AL47">
        <v>292442.84899999999</v>
      </c>
      <c r="AM47">
        <v>301172.03769999999</v>
      </c>
      <c r="AN47">
        <v>310063.39739999903</v>
      </c>
      <c r="AO47">
        <v>319077.9535</v>
      </c>
      <c r="AP47">
        <v>328240.89759999898</v>
      </c>
    </row>
    <row r="48" spans="1:42" x14ac:dyDescent="0.3">
      <c r="A48" t="s">
        <v>123</v>
      </c>
      <c r="B48">
        <v>60629</v>
      </c>
      <c r="C48">
        <v>62187</v>
      </c>
      <c r="D48">
        <v>63539</v>
      </c>
      <c r="E48">
        <v>74001</v>
      </c>
      <c r="F48">
        <v>71072</v>
      </c>
      <c r="G48">
        <v>78596</v>
      </c>
      <c r="H48">
        <v>76800</v>
      </c>
      <c r="I48">
        <v>79280.015199999994</v>
      </c>
      <c r="J48">
        <v>79963.276299999998</v>
      </c>
      <c r="K48">
        <v>80415.463299999901</v>
      </c>
      <c r="L48">
        <v>79575.608099999998</v>
      </c>
      <c r="M48">
        <v>86078.737200000003</v>
      </c>
      <c r="N48">
        <v>87074.993799999997</v>
      </c>
      <c r="O48">
        <v>88943.220799999894</v>
      </c>
      <c r="P48">
        <v>90442.361399999994</v>
      </c>
      <c r="Q48">
        <v>91852.474700000006</v>
      </c>
      <c r="R48">
        <v>94046.302800000005</v>
      </c>
      <c r="S48">
        <v>96357.249899999995</v>
      </c>
      <c r="T48">
        <v>98760.034599999897</v>
      </c>
      <c r="U48">
        <v>101280.843799999</v>
      </c>
      <c r="V48">
        <v>103895.5102</v>
      </c>
      <c r="W48">
        <v>106019.6799</v>
      </c>
      <c r="X48">
        <v>108216.811</v>
      </c>
      <c r="Y48">
        <v>110489.942499999</v>
      </c>
      <c r="Z48">
        <v>112840.85769999999</v>
      </c>
      <c r="AA48">
        <v>115271.65619999899</v>
      </c>
      <c r="AB48">
        <v>117723.7522</v>
      </c>
      <c r="AC48">
        <v>120253.26979999999</v>
      </c>
      <c r="AD48">
        <v>122867.2608</v>
      </c>
      <c r="AE48">
        <v>125572.6872</v>
      </c>
      <c r="AF48">
        <v>128366.359499999</v>
      </c>
      <c r="AG48">
        <v>131253.6501</v>
      </c>
      <c r="AH48">
        <v>134246.0778</v>
      </c>
      <c r="AI48">
        <v>137340.33979999999</v>
      </c>
      <c r="AJ48">
        <v>140539.89850000001</v>
      </c>
      <c r="AK48">
        <v>143855.02429999999</v>
      </c>
      <c r="AL48">
        <v>147287.92430000001</v>
      </c>
      <c r="AM48">
        <v>150846.472799999</v>
      </c>
      <c r="AN48">
        <v>154529.47</v>
      </c>
      <c r="AO48">
        <v>158338.0661</v>
      </c>
      <c r="AP48">
        <v>162285.37779999999</v>
      </c>
    </row>
    <row r="49" spans="1:42" x14ac:dyDescent="0.3">
      <c r="A49" t="s">
        <v>124</v>
      </c>
      <c r="B49">
        <v>387393</v>
      </c>
      <c r="C49">
        <v>408601</v>
      </c>
      <c r="D49">
        <v>427531</v>
      </c>
      <c r="E49">
        <v>441338</v>
      </c>
      <c r="F49">
        <v>420004</v>
      </c>
      <c r="G49">
        <v>455302</v>
      </c>
      <c r="H49">
        <v>460217.2942</v>
      </c>
      <c r="I49">
        <v>455482.94069999998</v>
      </c>
      <c r="J49">
        <v>460573.63269999903</v>
      </c>
      <c r="K49">
        <v>448388.40220000001</v>
      </c>
      <c r="L49">
        <v>427163.79829999898</v>
      </c>
      <c r="M49">
        <v>443515.62879999902</v>
      </c>
      <c r="N49">
        <v>449162.06779999897</v>
      </c>
      <c r="O49">
        <v>457807.63050000003</v>
      </c>
      <c r="P49">
        <v>466036.7316</v>
      </c>
      <c r="Q49">
        <v>474496.29919999902</v>
      </c>
      <c r="R49">
        <v>485752.10200000001</v>
      </c>
      <c r="S49">
        <v>497363.65</v>
      </c>
      <c r="T49">
        <v>509394.03149999998</v>
      </c>
      <c r="U49">
        <v>521841.09319999901</v>
      </c>
      <c r="V49">
        <v>534660.74109999905</v>
      </c>
      <c r="W49">
        <v>545287.49549999996</v>
      </c>
      <c r="X49">
        <v>556217.03870000003</v>
      </c>
      <c r="Y49">
        <v>567473.47809999995</v>
      </c>
      <c r="Z49">
        <v>579049.90449999995</v>
      </c>
      <c r="AA49">
        <v>590969.37199999997</v>
      </c>
      <c r="AB49">
        <v>603115.77949999995</v>
      </c>
      <c r="AC49">
        <v>615608.79949999996</v>
      </c>
      <c r="AD49">
        <v>628509.16520000005</v>
      </c>
      <c r="AE49">
        <v>641793.32570000004</v>
      </c>
      <c r="AF49">
        <v>655550.44770000002</v>
      </c>
      <c r="AG49">
        <v>669712.93119999999</v>
      </c>
      <c r="AH49">
        <v>684321.53740000003</v>
      </c>
      <c r="AI49">
        <v>699408.37560000003</v>
      </c>
      <c r="AJ49">
        <v>715002.45959999994</v>
      </c>
      <c r="AK49">
        <v>731152.21799999895</v>
      </c>
      <c r="AL49">
        <v>747717.547599999</v>
      </c>
      <c r="AM49">
        <v>764783.59629999998</v>
      </c>
      <c r="AN49">
        <v>782342.464199999</v>
      </c>
      <c r="AO49">
        <v>800386.08629999997</v>
      </c>
      <c r="AP49">
        <v>818943.00319999899</v>
      </c>
    </row>
    <row r="50" spans="1:42" x14ac:dyDescent="0.3">
      <c r="A50" t="s">
        <v>125</v>
      </c>
      <c r="B50">
        <v>474727</v>
      </c>
      <c r="C50">
        <v>525509</v>
      </c>
      <c r="D50">
        <v>534855</v>
      </c>
      <c r="E50">
        <v>537715</v>
      </c>
      <c r="F50">
        <v>538571</v>
      </c>
      <c r="G50">
        <v>548803</v>
      </c>
      <c r="H50">
        <v>559957</v>
      </c>
      <c r="I50">
        <v>568524.49939999997</v>
      </c>
      <c r="J50">
        <v>587493.18449999997</v>
      </c>
      <c r="K50">
        <v>566017.75410000002</v>
      </c>
      <c r="L50">
        <v>570775.26859999995</v>
      </c>
      <c r="M50">
        <v>605125.45739999996</v>
      </c>
      <c r="N50">
        <v>610524.8676</v>
      </c>
      <c r="O50">
        <v>631441.62089999998</v>
      </c>
      <c r="P50">
        <v>651264.94479999901</v>
      </c>
      <c r="Q50">
        <v>671544.772</v>
      </c>
      <c r="R50">
        <v>692282.69689999998</v>
      </c>
      <c r="S50">
        <v>714457.80310000002</v>
      </c>
      <c r="T50">
        <v>737815.54249999998</v>
      </c>
      <c r="U50">
        <v>762809.93519999995</v>
      </c>
      <c r="V50">
        <v>788633.45</v>
      </c>
      <c r="W50">
        <v>810840.08880000003</v>
      </c>
      <c r="X50">
        <v>833222.44519999903</v>
      </c>
      <c r="Y50">
        <v>856458.97339999897</v>
      </c>
      <c r="Z50">
        <v>880607.34629999998</v>
      </c>
      <c r="AA50">
        <v>905665.72169999999</v>
      </c>
      <c r="AB50">
        <v>929459.56789999898</v>
      </c>
      <c r="AC50">
        <v>954071</v>
      </c>
      <c r="AD50">
        <v>979463.90579999995</v>
      </c>
      <c r="AE50">
        <v>1005604.0808</v>
      </c>
      <c r="AF50">
        <v>1032611.55699999</v>
      </c>
      <c r="AG50">
        <v>1059807.3525</v>
      </c>
      <c r="AH50">
        <v>1087670.4483999901</v>
      </c>
      <c r="AI50">
        <v>1116161.8428</v>
      </c>
      <c r="AJ50">
        <v>1145443.35839999</v>
      </c>
      <c r="AK50">
        <v>1174619.6525999999</v>
      </c>
      <c r="AL50">
        <v>1203020.8514999901</v>
      </c>
      <c r="AM50">
        <v>1231904.057</v>
      </c>
      <c r="AN50">
        <v>1261107.8737000001</v>
      </c>
      <c r="AO50">
        <v>1290155.798</v>
      </c>
      <c r="AP50">
        <v>1319478.2412999901</v>
      </c>
    </row>
    <row r="51" spans="1:42" x14ac:dyDescent="0.3">
      <c r="A51" t="s">
        <v>126</v>
      </c>
      <c r="B51">
        <v>246718</v>
      </c>
      <c r="C51">
        <v>251842.10010000001</v>
      </c>
      <c r="D51">
        <v>250327.89989999999</v>
      </c>
      <c r="E51">
        <v>251987.10010000001</v>
      </c>
      <c r="F51">
        <v>259614.2</v>
      </c>
      <c r="G51">
        <v>257805</v>
      </c>
      <c r="H51">
        <v>263741.7</v>
      </c>
      <c r="I51">
        <v>269885.35579999897</v>
      </c>
      <c r="J51">
        <v>275163.92799999902</v>
      </c>
      <c r="K51">
        <v>273826.02889999998</v>
      </c>
      <c r="L51">
        <v>279746.83889999997</v>
      </c>
      <c r="M51">
        <v>290788.8884</v>
      </c>
      <c r="N51">
        <v>287962.73969999998</v>
      </c>
      <c r="O51">
        <v>296941.60729999997</v>
      </c>
      <c r="P51">
        <v>307190.0134</v>
      </c>
      <c r="Q51">
        <v>315596.46159999998</v>
      </c>
      <c r="R51">
        <v>323928.60149999999</v>
      </c>
      <c r="S51">
        <v>332631.72329999902</v>
      </c>
      <c r="T51">
        <v>342201.76209999999</v>
      </c>
      <c r="U51">
        <v>351915.033999999</v>
      </c>
      <c r="V51">
        <v>361912.46569999901</v>
      </c>
      <c r="W51">
        <v>370235.62640000001</v>
      </c>
      <c r="X51">
        <v>378764.00199999899</v>
      </c>
      <c r="Y51">
        <v>387492.69369999901</v>
      </c>
      <c r="Z51">
        <v>396450.55459999997</v>
      </c>
      <c r="AA51">
        <v>405649.98369999998</v>
      </c>
      <c r="AB51">
        <v>413990.69010000001</v>
      </c>
      <c r="AC51">
        <v>422545.96079999901</v>
      </c>
      <c r="AD51">
        <v>431323.64149999898</v>
      </c>
      <c r="AE51">
        <v>440344.29229999997</v>
      </c>
      <c r="AF51">
        <v>449629.53579999902</v>
      </c>
      <c r="AG51">
        <v>459180.69059999997</v>
      </c>
      <c r="AH51">
        <v>469009.79989999998</v>
      </c>
      <c r="AI51">
        <v>479141.962999999</v>
      </c>
      <c r="AJ51">
        <v>489643.65480000002</v>
      </c>
      <c r="AK51">
        <v>500475.09950000001</v>
      </c>
      <c r="AL51">
        <v>511717.87889999902</v>
      </c>
      <c r="AM51">
        <v>523292.01559999899</v>
      </c>
      <c r="AN51">
        <v>535136.12589999998</v>
      </c>
      <c r="AO51">
        <v>547012.20869999996</v>
      </c>
      <c r="AP51">
        <v>558783.0048</v>
      </c>
    </row>
    <row r="52" spans="1:42" x14ac:dyDescent="0.3">
      <c r="A52" t="s">
        <v>127</v>
      </c>
      <c r="B52">
        <v>169755</v>
      </c>
      <c r="C52">
        <v>183417</v>
      </c>
      <c r="D52">
        <v>200030</v>
      </c>
      <c r="E52">
        <v>216020</v>
      </c>
      <c r="F52">
        <v>227876</v>
      </c>
      <c r="G52">
        <v>233984</v>
      </c>
      <c r="H52">
        <v>247920</v>
      </c>
      <c r="I52">
        <v>254909.3155</v>
      </c>
      <c r="J52">
        <v>283769.58239999902</v>
      </c>
      <c r="K52">
        <v>295444.5134</v>
      </c>
      <c r="L52">
        <v>291999.837</v>
      </c>
      <c r="M52">
        <v>308866.32529999898</v>
      </c>
      <c r="N52">
        <v>377080.29019999999</v>
      </c>
      <c r="O52">
        <v>389029.15480000002</v>
      </c>
      <c r="P52">
        <v>401479.48689999903</v>
      </c>
      <c r="Q52">
        <v>414487.1275</v>
      </c>
      <c r="R52">
        <v>428564.75459999999</v>
      </c>
      <c r="S52">
        <v>443369.29340000002</v>
      </c>
      <c r="T52">
        <v>458832.26390000002</v>
      </c>
      <c r="U52">
        <v>475127.51</v>
      </c>
      <c r="V52">
        <v>492147.74549999897</v>
      </c>
      <c r="W52">
        <v>506291.54330000002</v>
      </c>
      <c r="X52">
        <v>520971.94050000003</v>
      </c>
      <c r="Y52">
        <v>536236.58669999999</v>
      </c>
      <c r="Z52">
        <v>552078.96459999902</v>
      </c>
      <c r="AA52">
        <v>568558.20989999897</v>
      </c>
      <c r="AB52">
        <v>583726.34909999999</v>
      </c>
      <c r="AC52">
        <v>599415.58009999897</v>
      </c>
      <c r="AD52">
        <v>615636.9719</v>
      </c>
      <c r="AE52">
        <v>632445.26289999904</v>
      </c>
      <c r="AF52">
        <v>649848.67130000005</v>
      </c>
      <c r="AG52">
        <v>667840.13089999999</v>
      </c>
      <c r="AH52">
        <v>686489.58269999898</v>
      </c>
      <c r="AI52">
        <v>705794.21929999895</v>
      </c>
      <c r="AJ52">
        <v>725798.47019999998</v>
      </c>
      <c r="AK52">
        <v>746563.06209999998</v>
      </c>
      <c r="AL52">
        <v>768141.73549999995</v>
      </c>
      <c r="AM52">
        <v>790585.996199999</v>
      </c>
      <c r="AN52">
        <v>814009.5895</v>
      </c>
      <c r="AO52">
        <v>838524.75329999905</v>
      </c>
      <c r="AP52">
        <v>864249.41019999899</v>
      </c>
    </row>
    <row r="53" spans="1:42" x14ac:dyDescent="0.3">
      <c r="A53" t="s">
        <v>128</v>
      </c>
      <c r="B53">
        <v>391570.2</v>
      </c>
      <c r="C53">
        <v>403855.8</v>
      </c>
      <c r="D53">
        <v>433203.20000000001</v>
      </c>
      <c r="E53">
        <v>448923.4</v>
      </c>
      <c r="F53">
        <v>475517.6</v>
      </c>
      <c r="G53">
        <v>514309.2</v>
      </c>
      <c r="H53">
        <v>566066.19999999995</v>
      </c>
      <c r="I53">
        <v>588809.86879999901</v>
      </c>
      <c r="J53">
        <v>622362.23019999894</v>
      </c>
      <c r="K53">
        <v>653467.72819999896</v>
      </c>
      <c r="L53">
        <v>649710.23470000003</v>
      </c>
      <c r="M53">
        <v>678135.95669999998</v>
      </c>
      <c r="N53">
        <v>721333.41179999895</v>
      </c>
      <c r="O53">
        <v>747094.86429999897</v>
      </c>
      <c r="P53">
        <v>773262.7537</v>
      </c>
      <c r="Q53">
        <v>800820.50260000001</v>
      </c>
      <c r="R53">
        <v>828061.80449999997</v>
      </c>
      <c r="S53">
        <v>856839.25919999997</v>
      </c>
      <c r="T53">
        <v>887295.47030000004</v>
      </c>
      <c r="U53">
        <v>919676.18299999903</v>
      </c>
      <c r="V53">
        <v>954090.44659999898</v>
      </c>
      <c r="W53">
        <v>984406.723999999</v>
      </c>
      <c r="X53">
        <v>1016514.10639999</v>
      </c>
      <c r="Y53">
        <v>1050492.47</v>
      </c>
      <c r="Z53">
        <v>1086509.2442000001</v>
      </c>
      <c r="AA53">
        <v>1124577.0485</v>
      </c>
      <c r="AB53">
        <v>1160891.291</v>
      </c>
      <c r="AC53">
        <v>1198912.2481</v>
      </c>
      <c r="AD53">
        <v>1238475.6827</v>
      </c>
      <c r="AE53">
        <v>1279600.2006999999</v>
      </c>
      <c r="AF53">
        <v>1322241.05369999</v>
      </c>
      <c r="AG53">
        <v>1366497.0496</v>
      </c>
      <c r="AH53">
        <v>1412436.3085999901</v>
      </c>
      <c r="AI53">
        <v>1460082.3167999999</v>
      </c>
      <c r="AJ53">
        <v>1509596.0375000001</v>
      </c>
      <c r="AK53">
        <v>1560941.8240999901</v>
      </c>
      <c r="AL53">
        <v>1614163.7747</v>
      </c>
      <c r="AM53">
        <v>1669289.8191</v>
      </c>
      <c r="AN53">
        <v>1726534.9010999999</v>
      </c>
      <c r="AO53">
        <v>1785994.0219999901</v>
      </c>
      <c r="AP53">
        <v>1847897.8289999999</v>
      </c>
    </row>
    <row r="54" spans="1:42" x14ac:dyDescent="0.3">
      <c r="A54" t="s">
        <v>129</v>
      </c>
      <c r="B54">
        <v>338949</v>
      </c>
      <c r="C54">
        <v>351444</v>
      </c>
      <c r="D54">
        <v>361413</v>
      </c>
      <c r="E54">
        <v>381884</v>
      </c>
      <c r="F54">
        <v>407574</v>
      </c>
      <c r="G54">
        <v>417666</v>
      </c>
      <c r="H54">
        <v>443046</v>
      </c>
      <c r="I54">
        <v>472808.76099999901</v>
      </c>
      <c r="J54">
        <v>482152.94679999998</v>
      </c>
      <c r="K54">
        <v>516957.17989999999</v>
      </c>
      <c r="L54">
        <v>534030.86329999904</v>
      </c>
      <c r="M54">
        <v>556873.46589999902</v>
      </c>
      <c r="N54">
        <v>584810.33369999996</v>
      </c>
      <c r="O54">
        <v>599025.04310000001</v>
      </c>
      <c r="P54">
        <v>609446.37849999999</v>
      </c>
      <c r="Q54">
        <v>615462.50009999902</v>
      </c>
      <c r="R54">
        <v>629933.573299999</v>
      </c>
      <c r="S54">
        <v>645212.13659999997</v>
      </c>
      <c r="T54">
        <v>661418.71470000001</v>
      </c>
      <c r="U54">
        <v>678684.65879999998</v>
      </c>
      <c r="V54">
        <v>697108.19429999997</v>
      </c>
      <c r="W54">
        <v>713194.25210000004</v>
      </c>
      <c r="X54">
        <v>730295.797599999</v>
      </c>
      <c r="Y54">
        <v>748465.0895</v>
      </c>
      <c r="Z54">
        <v>767748.56610000005</v>
      </c>
      <c r="AA54">
        <v>788237.55319999997</v>
      </c>
      <c r="AB54">
        <v>806878.74379999901</v>
      </c>
      <c r="AC54">
        <v>826619.47100000002</v>
      </c>
      <c r="AD54">
        <v>847466.57059999998</v>
      </c>
      <c r="AE54">
        <v>869506.39499999897</v>
      </c>
      <c r="AF54">
        <v>892685.99699999904</v>
      </c>
      <c r="AG54">
        <v>917096.90259999898</v>
      </c>
      <c r="AH54">
        <v>942747.74239999999</v>
      </c>
      <c r="AI54">
        <v>969649.89850000001</v>
      </c>
      <c r="AJ54">
        <v>997790.43969999906</v>
      </c>
      <c r="AK54">
        <v>1027161.3188</v>
      </c>
      <c r="AL54">
        <v>1057666.1459999999</v>
      </c>
      <c r="AM54">
        <v>1089185.6507999999</v>
      </c>
      <c r="AN54">
        <v>1122088.8877999999</v>
      </c>
      <c r="AO54">
        <v>1156151.8543</v>
      </c>
      <c r="AP54">
        <v>1191164.4342</v>
      </c>
    </row>
    <row r="55" spans="1:42" x14ac:dyDescent="0.3">
      <c r="A55" t="s">
        <v>130</v>
      </c>
      <c r="B55">
        <v>543628.60239999997</v>
      </c>
      <c r="C55">
        <v>548883.31629999995</v>
      </c>
      <c r="D55">
        <v>560222.50670000003</v>
      </c>
      <c r="E55">
        <v>573158.15799999901</v>
      </c>
      <c r="F55">
        <v>578668.70799999998</v>
      </c>
      <c r="G55">
        <v>593538.15759999899</v>
      </c>
      <c r="H55">
        <v>623551.64479999896</v>
      </c>
      <c r="I55">
        <v>635725.49449999898</v>
      </c>
      <c r="J55">
        <v>663581.89879999997</v>
      </c>
      <c r="K55">
        <v>676330.09990000003</v>
      </c>
      <c r="L55">
        <v>674756.23719999997</v>
      </c>
      <c r="M55">
        <v>711529.83140000002</v>
      </c>
      <c r="N55">
        <v>723598.38119999995</v>
      </c>
      <c r="O55">
        <v>739273.76580000005</v>
      </c>
      <c r="P55">
        <v>752657.38520000002</v>
      </c>
      <c r="Q55">
        <v>764967.21319999895</v>
      </c>
      <c r="R55">
        <v>779836.79260000004</v>
      </c>
      <c r="S55">
        <v>795581.56089999899</v>
      </c>
      <c r="T55">
        <v>811654.83459999994</v>
      </c>
      <c r="U55">
        <v>828716.6825</v>
      </c>
      <c r="V55">
        <v>846259.173899999</v>
      </c>
      <c r="W55">
        <v>861332.64629999897</v>
      </c>
      <c r="X55">
        <v>877178.18810000003</v>
      </c>
      <c r="Y55">
        <v>893993.28049999999</v>
      </c>
      <c r="Z55">
        <v>911823.575699999</v>
      </c>
      <c r="AA55">
        <v>930600.776699999</v>
      </c>
      <c r="AB55">
        <v>949387.3946</v>
      </c>
      <c r="AC55">
        <v>969092.51679999998</v>
      </c>
      <c r="AD55">
        <v>989590.40039999899</v>
      </c>
      <c r="AE55">
        <v>1010780.78479999</v>
      </c>
      <c r="AF55">
        <v>1032552.2555</v>
      </c>
      <c r="AG55">
        <v>1054898.5911999999</v>
      </c>
      <c r="AH55">
        <v>1077705.6122000001</v>
      </c>
      <c r="AI55">
        <v>1100962.9162999999</v>
      </c>
      <c r="AJ55">
        <v>1124612.2064</v>
      </c>
      <c r="AK55">
        <v>1148647.2888</v>
      </c>
      <c r="AL55">
        <v>1172876.9362000001</v>
      </c>
      <c r="AM55">
        <v>1197039.8622999999</v>
      </c>
      <c r="AN55">
        <v>1221631.0748000001</v>
      </c>
      <c r="AO55">
        <v>1246331.6070000001</v>
      </c>
      <c r="AP55">
        <v>1271263.3518999999</v>
      </c>
    </row>
    <row r="56" spans="1:42" x14ac:dyDescent="0.3">
      <c r="A56" t="s">
        <v>131</v>
      </c>
      <c r="B56">
        <v>189343</v>
      </c>
      <c r="C56">
        <v>195463</v>
      </c>
      <c r="D56">
        <v>198878</v>
      </c>
      <c r="E56">
        <v>194377</v>
      </c>
      <c r="F56">
        <v>182818</v>
      </c>
      <c r="G56">
        <v>163214</v>
      </c>
      <c r="H56">
        <v>164494</v>
      </c>
      <c r="I56">
        <v>156001.80169999899</v>
      </c>
      <c r="J56">
        <v>159795.80339999899</v>
      </c>
      <c r="K56">
        <v>154011.90210000001</v>
      </c>
      <c r="L56">
        <v>150144.98910000001</v>
      </c>
      <c r="M56">
        <v>158116.27710000001</v>
      </c>
      <c r="N56">
        <v>113133.6246</v>
      </c>
      <c r="O56">
        <v>114495.37</v>
      </c>
      <c r="P56">
        <v>115589.28660000001</v>
      </c>
      <c r="Q56">
        <v>116596.9794</v>
      </c>
      <c r="R56">
        <v>117570.487799999</v>
      </c>
      <c r="S56">
        <v>118672.4764</v>
      </c>
      <c r="T56">
        <v>119530.830099999</v>
      </c>
      <c r="U56">
        <v>120650.82929999899</v>
      </c>
      <c r="V56">
        <v>121818.8122</v>
      </c>
      <c r="W56">
        <v>122977.591399999</v>
      </c>
      <c r="X56">
        <v>124218.373799999</v>
      </c>
      <c r="Y56">
        <v>125536.689099999</v>
      </c>
      <c r="Z56">
        <v>126931.6605</v>
      </c>
      <c r="AA56">
        <v>128402.2925</v>
      </c>
      <c r="AB56">
        <v>129943.014799999</v>
      </c>
      <c r="AC56">
        <v>131556.35800000001</v>
      </c>
      <c r="AD56">
        <v>133240.7126</v>
      </c>
      <c r="AE56">
        <v>134997.26089999999</v>
      </c>
      <c r="AF56">
        <v>136821.85859999899</v>
      </c>
      <c r="AG56">
        <v>138704.72949999999</v>
      </c>
      <c r="AH56">
        <v>140640.9485</v>
      </c>
      <c r="AI56">
        <v>142628.959899999</v>
      </c>
      <c r="AJ56">
        <v>144663.83279999901</v>
      </c>
      <c r="AK56">
        <v>146729.44819999899</v>
      </c>
      <c r="AL56">
        <v>148824.03880000001</v>
      </c>
      <c r="AM56">
        <v>150933.7444</v>
      </c>
      <c r="AN56">
        <v>153065.25210000001</v>
      </c>
      <c r="AO56">
        <v>155211.55489999999</v>
      </c>
      <c r="AP56">
        <v>157387.4957</v>
      </c>
    </row>
    <row r="57" spans="1:42" x14ac:dyDescent="0.3">
      <c r="A57" t="s">
        <v>132</v>
      </c>
      <c r="B57">
        <v>240071</v>
      </c>
      <c r="C57">
        <v>250082</v>
      </c>
      <c r="D57">
        <v>289334</v>
      </c>
      <c r="E57">
        <v>303064</v>
      </c>
      <c r="F57">
        <v>337118</v>
      </c>
      <c r="G57">
        <v>360281</v>
      </c>
      <c r="H57">
        <v>368987</v>
      </c>
      <c r="I57">
        <v>379438.25469999999</v>
      </c>
      <c r="J57">
        <v>389102.61410000001</v>
      </c>
      <c r="K57">
        <v>387661.64980000001</v>
      </c>
      <c r="L57">
        <v>394511.37089999998</v>
      </c>
      <c r="M57">
        <v>408715.49699999997</v>
      </c>
      <c r="N57">
        <v>418889.15340000001</v>
      </c>
      <c r="O57">
        <v>426114.51939999999</v>
      </c>
      <c r="P57">
        <v>432736.75640000001</v>
      </c>
      <c r="Q57">
        <v>439563.52309999999</v>
      </c>
      <c r="R57">
        <v>456722.58829999901</v>
      </c>
      <c r="S57">
        <v>474851.42229999998</v>
      </c>
      <c r="T57">
        <v>494019.89049999998</v>
      </c>
      <c r="U57">
        <v>514332.6</v>
      </c>
      <c r="V57">
        <v>535837.95810000005</v>
      </c>
      <c r="W57">
        <v>553895.01789999998</v>
      </c>
      <c r="X57">
        <v>572916.61959999998</v>
      </c>
      <c r="Y57">
        <v>592991.62930000003</v>
      </c>
      <c r="Z57">
        <v>614204.42039999994</v>
      </c>
      <c r="AA57">
        <v>636693.87</v>
      </c>
      <c r="AB57">
        <v>657310.15469999996</v>
      </c>
      <c r="AC57">
        <v>679219.13829999999</v>
      </c>
      <c r="AD57">
        <v>702522.86230000004</v>
      </c>
      <c r="AE57">
        <v>727521.09959999996</v>
      </c>
      <c r="AF57">
        <v>754172.82259999996</v>
      </c>
      <c r="AG57">
        <v>782317.13390000002</v>
      </c>
      <c r="AH57">
        <v>812038.73659999995</v>
      </c>
      <c r="AI57">
        <v>843233.537799999</v>
      </c>
      <c r="AJ57">
        <v>875696.27260000003</v>
      </c>
      <c r="AK57">
        <v>909304.50489999901</v>
      </c>
      <c r="AL57">
        <v>943924.25549999997</v>
      </c>
      <c r="AM57">
        <v>979473.88370000001</v>
      </c>
      <c r="AN57">
        <v>1016157.9294</v>
      </c>
      <c r="AO57">
        <v>1053720.50969999</v>
      </c>
      <c r="AP57">
        <v>1092263.4623999901</v>
      </c>
    </row>
    <row r="58" spans="1:42" x14ac:dyDescent="0.3">
      <c r="A58" t="s">
        <v>133</v>
      </c>
      <c r="B58">
        <v>27595</v>
      </c>
      <c r="C58">
        <v>28802</v>
      </c>
      <c r="D58">
        <v>31065</v>
      </c>
      <c r="E58">
        <v>34057</v>
      </c>
      <c r="F58">
        <v>41085</v>
      </c>
      <c r="G58">
        <v>45015</v>
      </c>
      <c r="H58">
        <v>52351</v>
      </c>
      <c r="I58">
        <v>35017.814100000003</v>
      </c>
      <c r="J58">
        <v>36665.322999999997</v>
      </c>
      <c r="K58">
        <v>36434.882299999997</v>
      </c>
      <c r="L58">
        <v>37955.985699999997</v>
      </c>
      <c r="M58">
        <v>39147.8102</v>
      </c>
      <c r="N58">
        <v>37919.8266</v>
      </c>
      <c r="O58">
        <v>39235.8387</v>
      </c>
      <c r="P58">
        <v>40424.383599999899</v>
      </c>
      <c r="Q58">
        <v>41698.030299999999</v>
      </c>
      <c r="R58">
        <v>43490.0527</v>
      </c>
      <c r="S58">
        <v>45419.2069999999</v>
      </c>
      <c r="T58">
        <v>47505.821499999998</v>
      </c>
      <c r="U58">
        <v>49765.879399999998</v>
      </c>
      <c r="V58">
        <v>52216.931600000004</v>
      </c>
      <c r="W58">
        <v>54717.649700000002</v>
      </c>
      <c r="X58">
        <v>57437.653400000003</v>
      </c>
      <c r="Y58">
        <v>60393.722999999998</v>
      </c>
      <c r="Z58">
        <v>63607.9375</v>
      </c>
      <c r="AA58">
        <v>67103.688899999994</v>
      </c>
      <c r="AB58">
        <v>70831.039199999999</v>
      </c>
      <c r="AC58">
        <v>74871.761899999998</v>
      </c>
      <c r="AD58">
        <v>79235.758000000002</v>
      </c>
      <c r="AE58">
        <v>83955.010200000004</v>
      </c>
      <c r="AF58">
        <v>89018.241800000003</v>
      </c>
      <c r="AG58">
        <v>94469.978099999993</v>
      </c>
      <c r="AH58">
        <v>100326.488799999</v>
      </c>
      <c r="AI58">
        <v>106608.139099999</v>
      </c>
      <c r="AJ58">
        <v>113310.132699999</v>
      </c>
      <c r="AK58">
        <v>120448.29519999999</v>
      </c>
      <c r="AL58">
        <v>127883.81479999999</v>
      </c>
      <c r="AM58">
        <v>135475.50599999999</v>
      </c>
      <c r="AN58">
        <v>143306.2513</v>
      </c>
      <c r="AO58">
        <v>151281.6145</v>
      </c>
      <c r="AP58">
        <v>159494.71</v>
      </c>
    </row>
    <row r="59" spans="1:42" x14ac:dyDescent="0.3">
      <c r="A59" t="s">
        <v>134</v>
      </c>
      <c r="B59">
        <v>259548.25</v>
      </c>
      <c r="C59">
        <v>262535.75</v>
      </c>
      <c r="D59">
        <v>257908</v>
      </c>
      <c r="E59">
        <v>256104.25</v>
      </c>
      <c r="F59">
        <v>252521.5</v>
      </c>
      <c r="G59">
        <v>249702</v>
      </c>
      <c r="H59">
        <v>252653.25</v>
      </c>
      <c r="I59">
        <v>254838.07509999999</v>
      </c>
      <c r="J59">
        <v>256369.478</v>
      </c>
      <c r="K59">
        <v>252526.11050000001</v>
      </c>
      <c r="L59">
        <v>239678.019899999</v>
      </c>
      <c r="M59">
        <v>244501.49359999999</v>
      </c>
      <c r="N59">
        <v>235561.4515</v>
      </c>
      <c r="O59">
        <v>239911.10029999999</v>
      </c>
      <c r="P59">
        <v>243859.10589999901</v>
      </c>
      <c r="Q59">
        <v>247791.36410000001</v>
      </c>
      <c r="R59">
        <v>253210.73319999999</v>
      </c>
      <c r="S59">
        <v>258847.90039999899</v>
      </c>
      <c r="T59">
        <v>264800.05959999998</v>
      </c>
      <c r="U59">
        <v>271026.53039999999</v>
      </c>
      <c r="V59">
        <v>277880.849099999</v>
      </c>
      <c r="W59">
        <v>285197.58659999998</v>
      </c>
      <c r="X59">
        <v>292895.49589999998</v>
      </c>
      <c r="Y59">
        <v>301001.90830000001</v>
      </c>
      <c r="Z59">
        <v>309518.46580000001</v>
      </c>
      <c r="AA59">
        <v>318477.4425</v>
      </c>
      <c r="AB59">
        <v>328521.87939999998</v>
      </c>
      <c r="AC59">
        <v>339103.68839999998</v>
      </c>
      <c r="AD59">
        <v>350239.15259999997</v>
      </c>
      <c r="AE59">
        <v>361935.01250000001</v>
      </c>
      <c r="AF59">
        <v>374207.8996</v>
      </c>
      <c r="AG59">
        <v>387063.84279999998</v>
      </c>
      <c r="AH59">
        <v>400522.53679999901</v>
      </c>
      <c r="AI59">
        <v>414610.33189999999</v>
      </c>
      <c r="AJ59">
        <v>429337.00410000002</v>
      </c>
      <c r="AK59">
        <v>444678.89600000001</v>
      </c>
      <c r="AL59">
        <v>460576.79119999998</v>
      </c>
      <c r="AM59">
        <v>477032.9926</v>
      </c>
      <c r="AN59">
        <v>494077.32449999999</v>
      </c>
      <c r="AO59">
        <v>511657.74160000001</v>
      </c>
      <c r="AP59">
        <v>529884.41330000001</v>
      </c>
    </row>
    <row r="60" spans="1:42" x14ac:dyDescent="0.3">
      <c r="A60" t="s">
        <v>135</v>
      </c>
      <c r="B60">
        <v>78292</v>
      </c>
      <c r="C60">
        <v>77223</v>
      </c>
      <c r="D60">
        <v>91672</v>
      </c>
      <c r="E60">
        <v>97803</v>
      </c>
      <c r="F60">
        <v>101973</v>
      </c>
      <c r="G60">
        <v>106309</v>
      </c>
      <c r="H60">
        <v>102417</v>
      </c>
      <c r="I60">
        <v>109299.7626</v>
      </c>
      <c r="J60">
        <v>110834.3495</v>
      </c>
      <c r="K60">
        <v>116154.5285</v>
      </c>
      <c r="L60">
        <v>108670.8363</v>
      </c>
      <c r="M60">
        <v>120193.581199999</v>
      </c>
      <c r="N60">
        <v>126355.8737</v>
      </c>
      <c r="O60">
        <v>129514.972299999</v>
      </c>
      <c r="P60">
        <v>132434.85920000001</v>
      </c>
      <c r="Q60">
        <v>134970.6097</v>
      </c>
      <c r="R60">
        <v>138506.3475</v>
      </c>
      <c r="S60">
        <v>142313.97940000001</v>
      </c>
      <c r="T60">
        <v>146446.91609999901</v>
      </c>
      <c r="U60">
        <v>150964.65410000001</v>
      </c>
      <c r="V60">
        <v>155880.07699999999</v>
      </c>
      <c r="W60">
        <v>160913.5827</v>
      </c>
      <c r="X60">
        <v>166378.4278</v>
      </c>
      <c r="Y60">
        <v>172285.5649</v>
      </c>
      <c r="Z60">
        <v>178665.958799999</v>
      </c>
      <c r="AA60">
        <v>185547.8273</v>
      </c>
      <c r="AB60">
        <v>192825.94279999999</v>
      </c>
      <c r="AC60">
        <v>200646.9148</v>
      </c>
      <c r="AD60">
        <v>209021.26500000001</v>
      </c>
      <c r="AE60">
        <v>218002.6605</v>
      </c>
      <c r="AF60">
        <v>227598.24900000001</v>
      </c>
      <c r="AG60">
        <v>237889.19819999899</v>
      </c>
      <c r="AH60">
        <v>248920.13750000001</v>
      </c>
      <c r="AI60">
        <v>260784.93599999999</v>
      </c>
      <c r="AJ60">
        <v>273540.77749999898</v>
      </c>
      <c r="AK60">
        <v>287046.5477</v>
      </c>
      <c r="AL60">
        <v>301292.05989999999</v>
      </c>
      <c r="AM60">
        <v>316137.39379999897</v>
      </c>
      <c r="AN60">
        <v>331604.4719</v>
      </c>
      <c r="AO60">
        <v>347622.56020000001</v>
      </c>
      <c r="AP60">
        <v>364284.40489999898</v>
      </c>
    </row>
    <row r="61" spans="1:42" x14ac:dyDescent="0.3">
      <c r="A61" t="s">
        <v>136</v>
      </c>
      <c r="B61">
        <v>8439</v>
      </c>
      <c r="C61">
        <v>9373</v>
      </c>
      <c r="D61">
        <v>12302</v>
      </c>
      <c r="E61">
        <v>12842</v>
      </c>
      <c r="F61">
        <v>14713</v>
      </c>
      <c r="G61">
        <v>16200</v>
      </c>
      <c r="H61">
        <v>17804</v>
      </c>
      <c r="I61">
        <v>17722.8907</v>
      </c>
      <c r="J61">
        <v>20303.065699999999</v>
      </c>
      <c r="K61">
        <v>22888.7961</v>
      </c>
      <c r="L61">
        <v>24679.176799999899</v>
      </c>
      <c r="M61">
        <v>23783.153199999899</v>
      </c>
      <c r="N61">
        <v>25482.306199999999</v>
      </c>
      <c r="O61">
        <v>25826.657599999999</v>
      </c>
      <c r="P61">
        <v>26170.316999999999</v>
      </c>
      <c r="Q61">
        <v>26551.540499999999</v>
      </c>
      <c r="R61">
        <v>27160.811799999999</v>
      </c>
      <c r="S61">
        <v>27830.815699999999</v>
      </c>
      <c r="T61">
        <v>28565.547699999999</v>
      </c>
      <c r="U61">
        <v>29368.661499999998</v>
      </c>
      <c r="V61">
        <v>30243.492900000001</v>
      </c>
      <c r="W61">
        <v>31123.747599999999</v>
      </c>
      <c r="X61">
        <v>32076.602299999999</v>
      </c>
      <c r="Y61">
        <v>33104.323100000001</v>
      </c>
      <c r="Z61">
        <v>34210.768899999901</v>
      </c>
      <c r="AA61">
        <v>35399.730799999998</v>
      </c>
      <c r="AB61">
        <v>36653.600099999901</v>
      </c>
      <c r="AC61">
        <v>37995.2844999999</v>
      </c>
      <c r="AD61">
        <v>39427.072800000002</v>
      </c>
      <c r="AE61">
        <v>40954.433999999899</v>
      </c>
      <c r="AF61">
        <v>42576.9228</v>
      </c>
      <c r="AG61">
        <v>44301.533300000003</v>
      </c>
      <c r="AH61">
        <v>46129.701699999998</v>
      </c>
      <c r="AI61">
        <v>48064.625899999897</v>
      </c>
      <c r="AJ61">
        <v>50106.890599999999</v>
      </c>
      <c r="AK61">
        <v>52257.195899999999</v>
      </c>
      <c r="AL61">
        <v>54510.117099999901</v>
      </c>
      <c r="AM61">
        <v>56859.531499999997</v>
      </c>
      <c r="AN61">
        <v>59323.525000000001</v>
      </c>
      <c r="AO61">
        <v>61900.499699999898</v>
      </c>
      <c r="AP61">
        <v>64614.752899999999</v>
      </c>
    </row>
    <row r="62" spans="1:42" x14ac:dyDescent="0.3">
      <c r="A62" t="s">
        <v>137</v>
      </c>
      <c r="B62">
        <v>124786</v>
      </c>
      <c r="C62">
        <v>129283</v>
      </c>
      <c r="D62">
        <v>134381</v>
      </c>
      <c r="E62">
        <v>138348</v>
      </c>
      <c r="F62">
        <v>147469</v>
      </c>
      <c r="G62">
        <v>150123</v>
      </c>
      <c r="H62">
        <v>156660</v>
      </c>
      <c r="I62">
        <v>164502.3351</v>
      </c>
      <c r="J62">
        <v>170517.864</v>
      </c>
      <c r="K62">
        <v>178354.00039999999</v>
      </c>
      <c r="L62">
        <v>174179.3008</v>
      </c>
      <c r="M62">
        <v>180024.26709999901</v>
      </c>
      <c r="N62">
        <v>187348.252199999</v>
      </c>
      <c r="O62">
        <v>195182.79810000001</v>
      </c>
      <c r="P62">
        <v>203136.1599</v>
      </c>
      <c r="Q62">
        <v>211647.3554</v>
      </c>
      <c r="R62">
        <v>220043.8824</v>
      </c>
      <c r="S62">
        <v>228901.1856</v>
      </c>
      <c r="T62">
        <v>238186.1298</v>
      </c>
      <c r="U62">
        <v>248069.6514</v>
      </c>
      <c r="V62">
        <v>258429.29799999899</v>
      </c>
      <c r="W62">
        <v>267433.2648</v>
      </c>
      <c r="X62">
        <v>276782.22930000001</v>
      </c>
      <c r="Y62">
        <v>286654.23340000003</v>
      </c>
      <c r="Z62">
        <v>297070.58370000002</v>
      </c>
      <c r="AA62">
        <v>307976.8873</v>
      </c>
      <c r="AB62">
        <v>318468.45809999999</v>
      </c>
      <c r="AC62">
        <v>329645.75839999999</v>
      </c>
      <c r="AD62">
        <v>341522.5025</v>
      </c>
      <c r="AE62">
        <v>354203.94929999998</v>
      </c>
      <c r="AF62">
        <v>367554.8651</v>
      </c>
      <c r="AG62">
        <v>381634.35719999898</v>
      </c>
      <c r="AH62">
        <v>396269.31530000002</v>
      </c>
      <c r="AI62">
        <v>411215.7268</v>
      </c>
      <c r="AJ62">
        <v>426629.45049999998</v>
      </c>
      <c r="AK62">
        <v>442323.89010000002</v>
      </c>
      <c r="AL62">
        <v>458311.84599999897</v>
      </c>
      <c r="AM62">
        <v>474716.24219999998</v>
      </c>
      <c r="AN62">
        <v>491468.9044</v>
      </c>
      <c r="AO62">
        <v>508705.85889999999</v>
      </c>
      <c r="AP62">
        <v>526316.64339999994</v>
      </c>
    </row>
    <row r="63" spans="1:42" x14ac:dyDescent="0.3">
      <c r="A63" t="s">
        <v>138</v>
      </c>
      <c r="B63">
        <v>82646</v>
      </c>
      <c r="C63">
        <v>86586</v>
      </c>
      <c r="D63">
        <v>92817</v>
      </c>
      <c r="E63">
        <v>103085</v>
      </c>
      <c r="F63">
        <v>95310.860099999903</v>
      </c>
      <c r="G63">
        <v>91882.202399999893</v>
      </c>
      <c r="H63">
        <v>94693.122699999905</v>
      </c>
      <c r="I63">
        <v>103196.82739999999</v>
      </c>
      <c r="J63">
        <v>107604.7265</v>
      </c>
      <c r="K63">
        <v>106877.957199999</v>
      </c>
      <c r="L63">
        <v>110900.2585</v>
      </c>
      <c r="M63">
        <v>115088.20699999999</v>
      </c>
      <c r="N63">
        <v>113561.9924</v>
      </c>
      <c r="O63">
        <v>115586.228</v>
      </c>
      <c r="P63">
        <v>117362.95080000001</v>
      </c>
      <c r="Q63">
        <v>119060.83839999999</v>
      </c>
      <c r="R63">
        <v>120864.6137</v>
      </c>
      <c r="S63">
        <v>122740.98209999999</v>
      </c>
      <c r="T63">
        <v>124913.463899999</v>
      </c>
      <c r="U63">
        <v>127044.5343</v>
      </c>
      <c r="V63">
        <v>129193.63989999999</v>
      </c>
      <c r="W63">
        <v>131185.39459999901</v>
      </c>
      <c r="X63">
        <v>133243.33709999899</v>
      </c>
      <c r="Y63">
        <v>135369.62299999999</v>
      </c>
      <c r="Z63">
        <v>137600.27040000001</v>
      </c>
      <c r="AA63">
        <v>139927.9166</v>
      </c>
      <c r="AB63">
        <v>142408.78229999999</v>
      </c>
      <c r="AC63">
        <v>144998.4436</v>
      </c>
      <c r="AD63">
        <v>147702.4602</v>
      </c>
      <c r="AE63">
        <v>150536.31959999999</v>
      </c>
      <c r="AF63">
        <v>153509.521199999</v>
      </c>
      <c r="AG63">
        <v>156643.87869999901</v>
      </c>
      <c r="AH63">
        <v>159915.85119999899</v>
      </c>
      <c r="AI63">
        <v>163325.59529999999</v>
      </c>
      <c r="AJ63">
        <v>166864.6226</v>
      </c>
      <c r="AK63">
        <v>170520.85259999899</v>
      </c>
      <c r="AL63">
        <v>174301.54759999999</v>
      </c>
      <c r="AM63">
        <v>178206.09080000001</v>
      </c>
      <c r="AN63">
        <v>182227.750899999</v>
      </c>
      <c r="AO63">
        <v>186380.7684</v>
      </c>
      <c r="AP63">
        <v>190677.8314</v>
      </c>
    </row>
    <row r="64" spans="1:42" x14ac:dyDescent="0.3">
      <c r="A64" t="s">
        <v>139</v>
      </c>
      <c r="B64">
        <v>47079</v>
      </c>
      <c r="C64">
        <v>50117.892999999996</v>
      </c>
      <c r="D64">
        <v>54942.6</v>
      </c>
      <c r="E64">
        <v>55358.1</v>
      </c>
      <c r="F64">
        <v>58415.981</v>
      </c>
      <c r="G64">
        <v>62417.144</v>
      </c>
      <c r="H64">
        <v>64841.512999999999</v>
      </c>
      <c r="I64">
        <v>67721.369900000005</v>
      </c>
      <c r="J64">
        <v>71413.274000000005</v>
      </c>
      <c r="K64">
        <v>78157.434599999993</v>
      </c>
      <c r="L64">
        <v>77046.194099999993</v>
      </c>
      <c r="M64">
        <v>80551.016300000003</v>
      </c>
      <c r="N64">
        <v>79229.336299999995</v>
      </c>
      <c r="O64">
        <v>80994.534899999999</v>
      </c>
      <c r="P64">
        <v>82660.209499999997</v>
      </c>
      <c r="Q64">
        <v>84564.945399999997</v>
      </c>
      <c r="R64">
        <v>87240.831099999996</v>
      </c>
      <c r="S64">
        <v>90185.662599999996</v>
      </c>
      <c r="T64">
        <v>93408.254899999898</v>
      </c>
      <c r="U64">
        <v>96916.508300000001</v>
      </c>
      <c r="V64">
        <v>100718.6314</v>
      </c>
      <c r="W64">
        <v>104562.1349</v>
      </c>
      <c r="X64">
        <v>108684.43730000001</v>
      </c>
      <c r="Y64">
        <v>113062.6254</v>
      </c>
      <c r="Z64">
        <v>117744.0797</v>
      </c>
      <c r="AA64">
        <v>122726.5923</v>
      </c>
      <c r="AB64">
        <v>127965.0514</v>
      </c>
      <c r="AC64">
        <v>133538.18589999899</v>
      </c>
      <c r="AD64">
        <v>139454.57719999901</v>
      </c>
      <c r="AE64">
        <v>145738.66699999999</v>
      </c>
      <c r="AF64">
        <v>152370.5827</v>
      </c>
      <c r="AG64">
        <v>159369.87599999999</v>
      </c>
      <c r="AH64">
        <v>166740.02350000001</v>
      </c>
      <c r="AI64">
        <v>174481.85799999899</v>
      </c>
      <c r="AJ64">
        <v>182572.81219999999</v>
      </c>
      <c r="AK64">
        <v>191023.53349999999</v>
      </c>
      <c r="AL64">
        <v>199798.6575</v>
      </c>
      <c r="AM64">
        <v>208862.5914</v>
      </c>
      <c r="AN64">
        <v>218272.46230000001</v>
      </c>
      <c r="AO64">
        <v>227968.72959999999</v>
      </c>
      <c r="AP64">
        <v>238011.22629999899</v>
      </c>
    </row>
    <row r="65" spans="1:42" x14ac:dyDescent="0.3">
      <c r="A65" t="s">
        <v>140</v>
      </c>
      <c r="B65">
        <v>6000</v>
      </c>
      <c r="C65">
        <v>6127</v>
      </c>
      <c r="D65">
        <v>5723</v>
      </c>
      <c r="E65">
        <v>6653</v>
      </c>
      <c r="F65">
        <v>7212</v>
      </c>
      <c r="G65">
        <v>8275</v>
      </c>
      <c r="H65">
        <v>7829</v>
      </c>
      <c r="I65">
        <v>8386.7978999999996</v>
      </c>
      <c r="J65">
        <v>8910.1309999999994</v>
      </c>
      <c r="K65">
        <v>8820.0157999999992</v>
      </c>
      <c r="L65">
        <v>8989.5548999999992</v>
      </c>
      <c r="M65">
        <v>9901.0087999999996</v>
      </c>
      <c r="N65">
        <v>10352.1288</v>
      </c>
      <c r="O65">
        <v>10572.5191</v>
      </c>
      <c r="P65">
        <v>10791.5033</v>
      </c>
      <c r="Q65">
        <v>11027.1486</v>
      </c>
      <c r="R65">
        <v>11326.3827</v>
      </c>
      <c r="S65">
        <v>11641.7562</v>
      </c>
      <c r="T65">
        <v>11971.5996</v>
      </c>
      <c r="U65">
        <v>12319.2212</v>
      </c>
      <c r="V65">
        <v>12687.9714</v>
      </c>
      <c r="W65">
        <v>13062.5218999999</v>
      </c>
      <c r="X65">
        <v>13459.846799999999</v>
      </c>
      <c r="Y65">
        <v>13880.3833</v>
      </c>
      <c r="Z65">
        <v>14325.167799999999</v>
      </c>
      <c r="AA65">
        <v>14797.260699999901</v>
      </c>
      <c r="AB65">
        <v>15298.108199999901</v>
      </c>
      <c r="AC65">
        <v>15829.006599999901</v>
      </c>
      <c r="AD65">
        <v>16391.142599999999</v>
      </c>
      <c r="AE65">
        <v>16987.972399999999</v>
      </c>
      <c r="AF65">
        <v>17618.4326</v>
      </c>
      <c r="AG65">
        <v>18286.694799999899</v>
      </c>
      <c r="AH65">
        <v>18993.102900000002</v>
      </c>
      <c r="AI65">
        <v>19738.350299999998</v>
      </c>
      <c r="AJ65">
        <v>20525.050800000001</v>
      </c>
      <c r="AK65">
        <v>21354.3842</v>
      </c>
      <c r="AL65">
        <v>22215.731899999999</v>
      </c>
      <c r="AM65">
        <v>23111.2569</v>
      </c>
      <c r="AN65">
        <v>24044.682000000001</v>
      </c>
      <c r="AO65">
        <v>25011.075299999899</v>
      </c>
      <c r="AP65">
        <v>26015.329099999999</v>
      </c>
    </row>
    <row r="66" spans="1:42" x14ac:dyDescent="0.3">
      <c r="A66" t="s">
        <v>141</v>
      </c>
      <c r="B66">
        <v>23411</v>
      </c>
      <c r="C66">
        <v>24787</v>
      </c>
      <c r="D66">
        <v>27182</v>
      </c>
      <c r="E66">
        <v>29837</v>
      </c>
      <c r="F66">
        <v>31327</v>
      </c>
      <c r="G66">
        <v>31489</v>
      </c>
      <c r="H66">
        <v>32884.731399999997</v>
      </c>
      <c r="I66">
        <v>37433.678599999999</v>
      </c>
      <c r="J66">
        <v>39182.454899999997</v>
      </c>
      <c r="K66">
        <v>43158.095800000003</v>
      </c>
      <c r="L66">
        <v>46783.060799999999</v>
      </c>
      <c r="M66">
        <v>49695.999499999998</v>
      </c>
      <c r="N66">
        <v>53463.054199999999</v>
      </c>
      <c r="O66">
        <v>54633.867200000001</v>
      </c>
      <c r="P66">
        <v>55839.574800000002</v>
      </c>
      <c r="Q66">
        <v>57039.076199999901</v>
      </c>
      <c r="R66">
        <v>58686.8895999999</v>
      </c>
      <c r="S66">
        <v>60434.470999999998</v>
      </c>
      <c r="T66">
        <v>62307.804499999998</v>
      </c>
      <c r="U66">
        <v>64313.820899999999</v>
      </c>
      <c r="V66">
        <v>66466.728699999905</v>
      </c>
      <c r="W66">
        <v>68619.605899999995</v>
      </c>
      <c r="X66">
        <v>70925.701199999996</v>
      </c>
      <c r="Y66">
        <v>73389.400999999998</v>
      </c>
      <c r="Z66">
        <v>76017.310199999905</v>
      </c>
      <c r="AA66">
        <v>78828.123900000006</v>
      </c>
      <c r="AB66">
        <v>81782.911699999997</v>
      </c>
      <c r="AC66">
        <v>84932.9326</v>
      </c>
      <c r="AD66">
        <v>88283.343999999997</v>
      </c>
      <c r="AE66">
        <v>91843.847099999897</v>
      </c>
      <c r="AF66">
        <v>95618.447499999995</v>
      </c>
      <c r="AG66">
        <v>99617.240900000004</v>
      </c>
      <c r="AH66">
        <v>103838.45600000001</v>
      </c>
      <c r="AI66">
        <v>108292.1658</v>
      </c>
      <c r="AJ66">
        <v>112966.9292</v>
      </c>
      <c r="AK66">
        <v>117855.95419999999</v>
      </c>
      <c r="AL66">
        <v>122937.369299999</v>
      </c>
      <c r="AM66">
        <v>128177.40709999901</v>
      </c>
      <c r="AN66">
        <v>133627.60259999899</v>
      </c>
      <c r="AO66">
        <v>139236.9382</v>
      </c>
      <c r="AP66">
        <v>145043.24359999999</v>
      </c>
    </row>
    <row r="67" spans="1:42" x14ac:dyDescent="0.3">
      <c r="A67" t="s">
        <v>142</v>
      </c>
      <c r="B67">
        <v>17571</v>
      </c>
      <c r="C67">
        <v>18999</v>
      </c>
      <c r="D67">
        <v>21907</v>
      </c>
      <c r="E67">
        <v>23719</v>
      </c>
      <c r="F67">
        <v>25214</v>
      </c>
      <c r="G67">
        <v>27072</v>
      </c>
      <c r="H67">
        <v>29488</v>
      </c>
      <c r="I67">
        <v>31058.926599999999</v>
      </c>
      <c r="J67">
        <v>33313.493399999999</v>
      </c>
      <c r="K67">
        <v>34841.381300000001</v>
      </c>
      <c r="L67">
        <v>35070.183100000002</v>
      </c>
      <c r="M67">
        <v>36858.421799999996</v>
      </c>
      <c r="N67">
        <v>40532.107799999998</v>
      </c>
      <c r="O67">
        <v>41372.460899999998</v>
      </c>
      <c r="P67">
        <v>42223.3001</v>
      </c>
      <c r="Q67">
        <v>43075.6587</v>
      </c>
      <c r="R67">
        <v>44271.703600000001</v>
      </c>
      <c r="S67">
        <v>45633.466099999998</v>
      </c>
      <c r="T67">
        <v>47202.261399999901</v>
      </c>
      <c r="U67">
        <v>48947.726900000001</v>
      </c>
      <c r="V67">
        <v>50835.553599999999</v>
      </c>
      <c r="W67">
        <v>52410.790199999901</v>
      </c>
      <c r="X67">
        <v>53673.170700000002</v>
      </c>
      <c r="Y67">
        <v>54736.729099999902</v>
      </c>
      <c r="Z67">
        <v>55831.521199999901</v>
      </c>
      <c r="AA67">
        <v>57182.8806999999</v>
      </c>
      <c r="AB67">
        <v>58915.377099999998</v>
      </c>
      <c r="AC67">
        <v>61130.076699999998</v>
      </c>
      <c r="AD67">
        <v>63809.177299999901</v>
      </c>
      <c r="AE67">
        <v>66860.160499999998</v>
      </c>
      <c r="AF67">
        <v>70108.703399999999</v>
      </c>
      <c r="AG67">
        <v>73377.108500000002</v>
      </c>
      <c r="AH67">
        <v>76541.273199999996</v>
      </c>
      <c r="AI67">
        <v>79586.350699999995</v>
      </c>
      <c r="AJ67">
        <v>82552.925699999905</v>
      </c>
      <c r="AK67">
        <v>85552.720199999996</v>
      </c>
      <c r="AL67">
        <v>88695.872099999993</v>
      </c>
      <c r="AM67">
        <v>92055.082899999994</v>
      </c>
      <c r="AN67">
        <v>95644.622300000003</v>
      </c>
      <c r="AO67">
        <v>99506.174400000004</v>
      </c>
      <c r="AP67">
        <v>103651.7666</v>
      </c>
    </row>
    <row r="68" spans="1:42" x14ac:dyDescent="0.3">
      <c r="A68" t="s">
        <v>143</v>
      </c>
      <c r="B68">
        <v>38610</v>
      </c>
      <c r="C68">
        <v>39945</v>
      </c>
      <c r="D68">
        <v>39181</v>
      </c>
      <c r="E68">
        <v>40711.205099999999</v>
      </c>
      <c r="F68">
        <v>45342.5308</v>
      </c>
      <c r="G68">
        <v>46657.269</v>
      </c>
      <c r="H68">
        <v>42518.938999999998</v>
      </c>
      <c r="I68">
        <v>44964.070699999997</v>
      </c>
      <c r="J68">
        <v>48132.006099999999</v>
      </c>
      <c r="K68">
        <v>47264.8440999999</v>
      </c>
      <c r="L68">
        <v>45674.623299999897</v>
      </c>
      <c r="M68">
        <v>49580.446399999899</v>
      </c>
      <c r="N68">
        <v>52261.9592999999</v>
      </c>
      <c r="O68">
        <v>53722.721400000002</v>
      </c>
      <c r="P68">
        <v>55253.525900000001</v>
      </c>
      <c r="Q68">
        <v>56673.249499999998</v>
      </c>
      <c r="R68">
        <v>58570.745499999997</v>
      </c>
      <c r="S68">
        <v>60562.542699999998</v>
      </c>
      <c r="T68">
        <v>62683.490599999997</v>
      </c>
      <c r="U68">
        <v>64960.559000000001</v>
      </c>
      <c r="V68">
        <v>67359.6041999999</v>
      </c>
      <c r="W68">
        <v>69791.869899999903</v>
      </c>
      <c r="X68">
        <v>72343.535600000003</v>
      </c>
      <c r="Y68">
        <v>75028.002399999998</v>
      </c>
      <c r="Z68">
        <v>77851.724000000002</v>
      </c>
      <c r="AA68">
        <v>80824.616099999897</v>
      </c>
      <c r="AB68">
        <v>83962.493000000002</v>
      </c>
      <c r="AC68">
        <v>87260.8875999999</v>
      </c>
      <c r="AD68">
        <v>90733.609299999996</v>
      </c>
      <c r="AE68">
        <v>94387.749899999995</v>
      </c>
      <c r="AF68">
        <v>98229.430599999905</v>
      </c>
      <c r="AG68">
        <v>102262.99679999999</v>
      </c>
      <c r="AH68">
        <v>106499.8213</v>
      </c>
      <c r="AI68">
        <v>110936.7546</v>
      </c>
      <c r="AJ68">
        <v>115579.2016</v>
      </c>
      <c r="AK68">
        <v>120436.2778</v>
      </c>
      <c r="AL68">
        <v>125492.53479999999</v>
      </c>
      <c r="AM68">
        <v>130744.5371</v>
      </c>
      <c r="AN68">
        <v>136222.48579999999</v>
      </c>
      <c r="AO68">
        <v>141915.40489999999</v>
      </c>
      <c r="AP68">
        <v>147850.16399999999</v>
      </c>
    </row>
    <row r="69" spans="1:42" x14ac:dyDescent="0.3">
      <c r="A69" t="s">
        <v>144</v>
      </c>
      <c r="B69">
        <v>160105</v>
      </c>
      <c r="C69">
        <v>156898</v>
      </c>
      <c r="D69">
        <v>164218</v>
      </c>
      <c r="E69">
        <v>168050</v>
      </c>
      <c r="F69">
        <v>175119</v>
      </c>
      <c r="G69">
        <v>186134</v>
      </c>
      <c r="H69">
        <v>189392</v>
      </c>
      <c r="I69">
        <v>196603.00399999999</v>
      </c>
      <c r="J69">
        <v>199658.0049</v>
      </c>
      <c r="K69">
        <v>197200.99899999899</v>
      </c>
      <c r="L69">
        <v>202385.20860000001</v>
      </c>
      <c r="M69">
        <v>207436.41829999999</v>
      </c>
      <c r="N69">
        <v>208863.31009999901</v>
      </c>
      <c r="O69">
        <v>215125.86909999899</v>
      </c>
      <c r="P69">
        <v>221395.71269999901</v>
      </c>
      <c r="Q69">
        <v>227848.67</v>
      </c>
      <c r="R69">
        <v>236491.44709999999</v>
      </c>
      <c r="S69">
        <v>245586.38049999901</v>
      </c>
      <c r="T69">
        <v>255177.7524</v>
      </c>
      <c r="U69">
        <v>265307.02909999999</v>
      </c>
      <c r="V69">
        <v>276020.36729999998</v>
      </c>
      <c r="W69">
        <v>286510.96380000003</v>
      </c>
      <c r="X69">
        <v>297576.22529999999</v>
      </c>
      <c r="Y69">
        <v>309248.3285</v>
      </c>
      <c r="Z69">
        <v>321568.38039999898</v>
      </c>
      <c r="AA69">
        <v>334580.62689999997</v>
      </c>
      <c r="AB69">
        <v>348073.81209999998</v>
      </c>
      <c r="AC69">
        <v>362319.97229999898</v>
      </c>
      <c r="AD69">
        <v>377378.80579999997</v>
      </c>
      <c r="AE69">
        <v>393320.07439999998</v>
      </c>
      <c r="AF69">
        <v>410207.67119999899</v>
      </c>
      <c r="AG69">
        <v>428161.08759999898</v>
      </c>
      <c r="AH69">
        <v>447237.157899999</v>
      </c>
      <c r="AI69">
        <v>467497.6286</v>
      </c>
      <c r="AJ69">
        <v>488948.20260000002</v>
      </c>
      <c r="AK69">
        <v>511596.97359999898</v>
      </c>
      <c r="AL69">
        <v>535342.57609999995</v>
      </c>
      <c r="AM69">
        <v>560071.59809999994</v>
      </c>
      <c r="AN69">
        <v>585820.51199999999</v>
      </c>
      <c r="AO69">
        <v>612503.96770000004</v>
      </c>
      <c r="AP69">
        <v>640224.62430000002</v>
      </c>
    </row>
    <row r="70" spans="1:42" x14ac:dyDescent="0.3">
      <c r="A70" t="s">
        <v>145</v>
      </c>
      <c r="B70">
        <v>7922</v>
      </c>
      <c r="C70">
        <v>7919</v>
      </c>
      <c r="D70">
        <v>7612</v>
      </c>
      <c r="E70">
        <v>8343</v>
      </c>
      <c r="F70">
        <v>8851</v>
      </c>
      <c r="G70">
        <v>8954</v>
      </c>
      <c r="H70">
        <v>9139</v>
      </c>
      <c r="I70">
        <v>9516.8395999999993</v>
      </c>
      <c r="J70">
        <v>10857.6932</v>
      </c>
      <c r="K70">
        <v>11817.7473999999</v>
      </c>
      <c r="L70">
        <v>12513.545</v>
      </c>
      <c r="M70">
        <v>13188.3835</v>
      </c>
      <c r="N70">
        <v>13251.404</v>
      </c>
      <c r="O70">
        <v>13489.386699999999</v>
      </c>
      <c r="P70">
        <v>13666.1488999999</v>
      </c>
      <c r="Q70">
        <v>13898.124</v>
      </c>
      <c r="R70">
        <v>14191.678599999999</v>
      </c>
      <c r="S70">
        <v>14499.221099999901</v>
      </c>
      <c r="T70">
        <v>14824.0283</v>
      </c>
      <c r="U70">
        <v>15165.295099999999</v>
      </c>
      <c r="V70">
        <v>15522.716899999999</v>
      </c>
      <c r="W70">
        <v>15889.536899999999</v>
      </c>
      <c r="X70">
        <v>16274.296</v>
      </c>
      <c r="Y70">
        <v>16679.1476</v>
      </c>
      <c r="Z70">
        <v>17103.838899999999</v>
      </c>
      <c r="AA70">
        <v>17550.496200000001</v>
      </c>
      <c r="AB70">
        <v>18025.942199999899</v>
      </c>
      <c r="AC70">
        <v>18526.228800000001</v>
      </c>
      <c r="AD70">
        <v>19052.412899999999</v>
      </c>
      <c r="AE70">
        <v>19607.374299999999</v>
      </c>
      <c r="AF70">
        <v>20192.0429</v>
      </c>
      <c r="AG70">
        <v>20807.031799999899</v>
      </c>
      <c r="AH70">
        <v>21454.877499999999</v>
      </c>
      <c r="AI70">
        <v>22136.990099999999</v>
      </c>
      <c r="AJ70">
        <v>22851.5998</v>
      </c>
      <c r="AK70">
        <v>23595.288</v>
      </c>
      <c r="AL70">
        <v>24379.342199999999</v>
      </c>
      <c r="AM70">
        <v>25195.336500000001</v>
      </c>
      <c r="AN70">
        <v>26048.512599999998</v>
      </c>
      <c r="AO70">
        <v>26940.102800000001</v>
      </c>
      <c r="AP70">
        <v>27874.3318</v>
      </c>
    </row>
    <row r="71" spans="1:42" x14ac:dyDescent="0.3">
      <c r="A71" t="s">
        <v>146</v>
      </c>
      <c r="B71">
        <v>7157</v>
      </c>
      <c r="C71">
        <v>7722</v>
      </c>
      <c r="D71">
        <v>7977</v>
      </c>
      <c r="E71">
        <v>8642</v>
      </c>
      <c r="F71">
        <v>9199</v>
      </c>
      <c r="G71">
        <v>9737</v>
      </c>
      <c r="H71">
        <v>10259</v>
      </c>
      <c r="I71">
        <v>10358.8819</v>
      </c>
      <c r="J71">
        <v>11293.7056999999</v>
      </c>
      <c r="K71">
        <v>11556.4812</v>
      </c>
      <c r="L71">
        <v>11702.0537</v>
      </c>
      <c r="M71">
        <v>12400.6108</v>
      </c>
      <c r="N71">
        <v>12961.5846</v>
      </c>
      <c r="O71">
        <v>13293.7673</v>
      </c>
      <c r="P71">
        <v>13608.0609999999</v>
      </c>
      <c r="Q71">
        <v>13938.5383</v>
      </c>
      <c r="R71">
        <v>14373.0039</v>
      </c>
      <c r="S71">
        <v>14834.9016999999</v>
      </c>
      <c r="T71">
        <v>15327.828299999999</v>
      </c>
      <c r="U71">
        <v>15854.071400000001</v>
      </c>
      <c r="V71">
        <v>16417.066200000001</v>
      </c>
      <c r="W71">
        <v>16998.717699999899</v>
      </c>
      <c r="X71">
        <v>17621.200799999999</v>
      </c>
      <c r="Y71">
        <v>18287.5691999999</v>
      </c>
      <c r="Z71">
        <v>18998.028600000001</v>
      </c>
      <c r="AA71">
        <v>19763.097300000001</v>
      </c>
      <c r="AB71">
        <v>20579.437699999999</v>
      </c>
      <c r="AC71">
        <v>21450.668699999998</v>
      </c>
      <c r="AD71">
        <v>22376.9143999999</v>
      </c>
      <c r="AE71">
        <v>23364.3181</v>
      </c>
      <c r="AF71">
        <v>24409.202600000001</v>
      </c>
      <c r="AG71">
        <v>25515.2984</v>
      </c>
      <c r="AH71">
        <v>26682.7372</v>
      </c>
      <c r="AI71">
        <v>27906.900699999998</v>
      </c>
      <c r="AJ71">
        <v>29193.276600000001</v>
      </c>
      <c r="AK71">
        <v>30533.584299999999</v>
      </c>
      <c r="AL71">
        <v>31914.766</v>
      </c>
      <c r="AM71">
        <v>33325.920400000003</v>
      </c>
      <c r="AN71">
        <v>34779.069100000001</v>
      </c>
      <c r="AO71">
        <v>36260.0753999999</v>
      </c>
      <c r="AP71">
        <v>37780.858399999997</v>
      </c>
    </row>
    <row r="72" spans="1:42" x14ac:dyDescent="0.3">
      <c r="A72" t="s">
        <v>147</v>
      </c>
      <c r="B72">
        <v>93949</v>
      </c>
      <c r="C72">
        <v>99137</v>
      </c>
      <c r="D72">
        <v>106222</v>
      </c>
      <c r="E72">
        <v>109995</v>
      </c>
      <c r="F72">
        <v>116545</v>
      </c>
      <c r="G72">
        <v>127383</v>
      </c>
      <c r="H72">
        <v>129613</v>
      </c>
      <c r="I72">
        <v>134568.707399999</v>
      </c>
      <c r="J72">
        <v>136014.4056</v>
      </c>
      <c r="K72">
        <v>138454.10509999999</v>
      </c>
      <c r="L72">
        <v>137323.35810000001</v>
      </c>
      <c r="M72">
        <v>149066.06049999999</v>
      </c>
      <c r="N72">
        <v>155451.0736</v>
      </c>
      <c r="O72">
        <v>157322.1096</v>
      </c>
      <c r="P72">
        <v>158628.2046</v>
      </c>
      <c r="Q72">
        <v>160073.94399999999</v>
      </c>
      <c r="R72">
        <v>165942.2403</v>
      </c>
      <c r="S72">
        <v>172366.1623</v>
      </c>
      <c r="T72">
        <v>179341.01249999899</v>
      </c>
      <c r="U72">
        <v>186903.48490000001</v>
      </c>
      <c r="V72">
        <v>195065.07499999899</v>
      </c>
      <c r="W72">
        <v>201859.36369999999</v>
      </c>
      <c r="X72">
        <v>209175.88699999999</v>
      </c>
      <c r="Y72">
        <v>217043.32800000001</v>
      </c>
      <c r="Z72">
        <v>225524.375299999</v>
      </c>
      <c r="AA72">
        <v>234617.4952</v>
      </c>
      <c r="AB72">
        <v>242931.63959999999</v>
      </c>
      <c r="AC72">
        <v>251707.9069</v>
      </c>
      <c r="AD72">
        <v>260882.96319999901</v>
      </c>
      <c r="AE72">
        <v>270440.68070000003</v>
      </c>
      <c r="AF72">
        <v>280371.62949999998</v>
      </c>
      <c r="AG72">
        <v>290725.18769999902</v>
      </c>
      <c r="AH72">
        <v>301507.59980000003</v>
      </c>
      <c r="AI72">
        <v>312740.43540000002</v>
      </c>
      <c r="AJ72">
        <v>324423.51860000001</v>
      </c>
      <c r="AK72">
        <v>336577.01030000002</v>
      </c>
      <c r="AL72">
        <v>349180.51400000002</v>
      </c>
      <c r="AM72">
        <v>362214.58929999999</v>
      </c>
      <c r="AN72">
        <v>375727.70319999999</v>
      </c>
      <c r="AO72">
        <v>389695.5099</v>
      </c>
      <c r="AP72">
        <v>404174.83549999999</v>
      </c>
    </row>
    <row r="73" spans="1:42" x14ac:dyDescent="0.3">
      <c r="A73" t="s">
        <v>148</v>
      </c>
      <c r="B73">
        <v>94384</v>
      </c>
      <c r="C73">
        <v>95090</v>
      </c>
      <c r="D73">
        <v>96125</v>
      </c>
      <c r="E73">
        <v>104076</v>
      </c>
      <c r="F73">
        <v>106988</v>
      </c>
      <c r="G73">
        <v>111298</v>
      </c>
      <c r="H73">
        <v>123463</v>
      </c>
      <c r="I73">
        <v>131277</v>
      </c>
      <c r="J73">
        <v>128531</v>
      </c>
      <c r="K73">
        <v>133674</v>
      </c>
      <c r="L73">
        <v>141484.93209999899</v>
      </c>
      <c r="M73">
        <v>159834.40729999999</v>
      </c>
      <c r="N73">
        <v>172887.71909999999</v>
      </c>
      <c r="O73">
        <v>181640.96580000001</v>
      </c>
      <c r="P73">
        <v>190562.13459999999</v>
      </c>
      <c r="Q73">
        <v>199915.9633</v>
      </c>
      <c r="R73">
        <v>210749.5944</v>
      </c>
      <c r="S73">
        <v>222390.0583</v>
      </c>
      <c r="T73">
        <v>234909.78839999999</v>
      </c>
      <c r="U73">
        <v>248469.83199999999</v>
      </c>
      <c r="V73">
        <v>262982.06040000002</v>
      </c>
      <c r="W73">
        <v>275248.58289999998</v>
      </c>
      <c r="X73">
        <v>288333.89740000002</v>
      </c>
      <c r="Y73">
        <v>302301.12919999898</v>
      </c>
      <c r="Z73">
        <v>317221.65049999999</v>
      </c>
      <c r="AA73">
        <v>333209.88900000002</v>
      </c>
      <c r="AB73">
        <v>348019.58390000003</v>
      </c>
      <c r="AC73">
        <v>363844.32380000001</v>
      </c>
      <c r="AD73">
        <v>380709.19689999998</v>
      </c>
      <c r="AE73">
        <v>398753.96199999901</v>
      </c>
      <c r="AF73">
        <v>417863.75069999899</v>
      </c>
      <c r="AG73">
        <v>438152.35960000003</v>
      </c>
      <c r="AH73">
        <v>459527.49999999901</v>
      </c>
      <c r="AI73">
        <v>481882.67739999999</v>
      </c>
      <c r="AJ73">
        <v>504762.8162</v>
      </c>
      <c r="AK73">
        <v>526713.01809999999</v>
      </c>
      <c r="AL73">
        <v>543864.52130000002</v>
      </c>
      <c r="AM73">
        <v>575399.76690000005</v>
      </c>
      <c r="AN73">
        <v>605255.75329999998</v>
      </c>
      <c r="AO73">
        <v>636953.18720000004</v>
      </c>
      <c r="AP73">
        <v>669507.10239999997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32F4-17EB-4D61-AD53-3579C35B8D62}">
  <sheetPr>
    <tabColor theme="4"/>
  </sheetPr>
  <dimension ref="A1:AP73"/>
  <sheetViews>
    <sheetView workbookViewId="0">
      <selection activeCell="Y15" sqref="A1:AP73"/>
    </sheetView>
  </sheetViews>
  <sheetFormatPr defaultRowHeight="15.75" x14ac:dyDescent="0.3"/>
  <sheetData>
    <row r="1" spans="1:42" x14ac:dyDescent="0.3">
      <c r="A1" t="s">
        <v>77</v>
      </c>
    </row>
    <row r="2" spans="1:42" x14ac:dyDescent="0.3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3">
      <c r="A3" t="s">
        <v>78</v>
      </c>
      <c r="B3">
        <f>'Total electricity generation'!B3/SUM('Total electricity generation'!B$3:B$73)</f>
        <v>4.3853858453468475E-3</v>
      </c>
      <c r="C3">
        <f>'Total electricity generation'!C3/SUM('Total electricity generation'!C$3:C$73)</f>
        <v>4.062395052589346E-3</v>
      </c>
      <c r="D3">
        <f>'Total electricity generation'!D3/SUM('Total electricity generation'!D$3:D$73)</f>
        <v>3.6372223026004797E-3</v>
      </c>
      <c r="E3">
        <f>'Total electricity generation'!E3/SUM('Total electricity generation'!E$3:E$73)</f>
        <v>3.5458722376270966E-3</v>
      </c>
      <c r="F3">
        <f>'Total electricity generation'!F3/SUM('Total electricity generation'!F$3:F$73)</f>
        <v>3.0045741607183443E-3</v>
      </c>
      <c r="G3">
        <f>'Total electricity generation'!G3/SUM('Total electricity generation'!G$3:G$73)</f>
        <v>2.8490705939658335E-3</v>
      </c>
      <c r="H3">
        <f>'Total electricity generation'!H3/SUM('Total electricity generation'!H$3:H$73)</f>
        <v>3.4026359512158446E-3</v>
      </c>
      <c r="I3">
        <f>'Total electricity generation'!I3/SUM('Total electricity generation'!I$3:I$73)</f>
        <v>3.3396761207838618E-3</v>
      </c>
      <c r="J3">
        <f>'Total electricity generation'!J3/SUM('Total electricity generation'!J$3:J$73)</f>
        <v>2.7942347175789486E-3</v>
      </c>
      <c r="K3">
        <f>'Total electricity generation'!K3/SUM('Total electricity generation'!K$3:K$73)</f>
        <v>3.4494411448810183E-3</v>
      </c>
      <c r="L3">
        <f>'Total electricity generation'!L3/SUM('Total electricity generation'!L$3:L$73)</f>
        <v>3.3125154854929963E-3</v>
      </c>
      <c r="M3">
        <f>'Total electricity generation'!M3/SUM('Total electricity generation'!M$3:M$73)</f>
        <v>3.5045283672640727E-3</v>
      </c>
      <c r="N3">
        <f>'Total electricity generation'!N3/SUM('Total electricity generation'!N$3:N$73)</f>
        <v>3.272939392204749E-3</v>
      </c>
      <c r="O3">
        <f>'Total electricity generation'!O3/SUM('Total electricity generation'!O$3:O$73)</f>
        <v>3.2790570547023656E-3</v>
      </c>
      <c r="P3">
        <f>'Total electricity generation'!P3/SUM('Total electricity generation'!P$3:P$73)</f>
        <v>3.2963381224532795E-3</v>
      </c>
      <c r="Q3">
        <f>'Total electricity generation'!Q3/SUM('Total electricity generation'!Q$3:Q$73)</f>
        <v>3.3196797205711794E-3</v>
      </c>
      <c r="R3">
        <f>'Total electricity generation'!R3/SUM('Total electricity generation'!R$3:R$73)</f>
        <v>3.3934450508637413E-3</v>
      </c>
      <c r="S3">
        <f>'Total electricity generation'!S3/SUM('Total electricity generation'!S$3:S$73)</f>
        <v>3.4736128654692788E-3</v>
      </c>
      <c r="T3">
        <f>'Total electricity generation'!T3/SUM('Total electricity generation'!T$3:T$73)</f>
        <v>3.5614415290572631E-3</v>
      </c>
      <c r="U3">
        <f>'Total electricity generation'!U3/SUM('Total electricity generation'!U$3:U$73)</f>
        <v>3.658006875381886E-3</v>
      </c>
      <c r="V3">
        <f>'Total electricity generation'!V3/SUM('Total electricity generation'!V$3:V$73)</f>
        <v>3.7651924192277936E-3</v>
      </c>
      <c r="W3">
        <f>'Total electricity generation'!W3/SUM('Total electricity generation'!W$3:W$73)</f>
        <v>3.8257021335493585E-3</v>
      </c>
      <c r="X3">
        <f>'Total electricity generation'!X3/SUM('Total electricity generation'!X$3:X$73)</f>
        <v>3.8897710789991369E-3</v>
      </c>
      <c r="Y3">
        <f>'Total electricity generation'!Y3/SUM('Total electricity generation'!Y$3:Y$73)</f>
        <v>3.9571425591509177E-3</v>
      </c>
      <c r="Z3">
        <f>'Total electricity generation'!Z3/SUM('Total electricity generation'!Z$3:Z$73)</f>
        <v>4.0295445642370498E-3</v>
      </c>
      <c r="AA3">
        <f>'Total electricity generation'!AA3/SUM('Total electricity generation'!AA$3:AA$73)</f>
        <v>4.1047087721858303E-3</v>
      </c>
      <c r="AB3">
        <f>'Total electricity generation'!AB3/SUM('Total electricity generation'!AB$3:AB$73)</f>
        <v>4.0627774565373037E-3</v>
      </c>
      <c r="AC3">
        <f>'Total electricity generation'!AC3/SUM('Total electricity generation'!AC$3:AC$73)</f>
        <v>4.0196686952999553E-3</v>
      </c>
      <c r="AD3">
        <f>'Total electricity generation'!AD3/SUM('Total electricity generation'!AD$3:AD$73)</f>
        <v>3.9739457617250446E-3</v>
      </c>
      <c r="AE3">
        <f>'Total electricity generation'!AE3/SUM('Total electricity generation'!AE$3:AE$73)</f>
        <v>3.9255449159647628E-3</v>
      </c>
      <c r="AF3">
        <f>'Total electricity generation'!AF3/SUM('Total electricity generation'!AF$3:AF$73)</f>
        <v>3.875380496517871E-3</v>
      </c>
      <c r="AG3">
        <f>'Total electricity generation'!AG3/SUM('Total electricity generation'!AG$3:AG$73)</f>
        <v>3.8138797460323119E-3</v>
      </c>
      <c r="AH3">
        <f>'Total electricity generation'!AH3/SUM('Total electricity generation'!AH$3:AH$73)</f>
        <v>3.7520799759042374E-3</v>
      </c>
      <c r="AI3">
        <f>'Total electricity generation'!AI3/SUM('Total electricity generation'!AI$3:AI$73)</f>
        <v>3.6890591408770034E-3</v>
      </c>
      <c r="AJ3">
        <f>'Total electricity generation'!AJ3/SUM('Total electricity generation'!AJ$3:AJ$73)</f>
        <v>3.6247393463574775E-3</v>
      </c>
      <c r="AK3">
        <f>'Total electricity generation'!AK3/SUM('Total electricity generation'!AK$3:AK$73)</f>
        <v>3.5607243058131096E-3</v>
      </c>
      <c r="AL3">
        <f>'Total electricity generation'!AL3/SUM('Total electricity generation'!AL$3:AL$73)</f>
        <v>3.494534547917105E-3</v>
      </c>
      <c r="AM3">
        <f>'Total electricity generation'!AM3/SUM('Total electricity generation'!AM$3:AM$73)</f>
        <v>3.428361595357345E-3</v>
      </c>
      <c r="AN3">
        <f>'Total electricity generation'!AN3/SUM('Total electricity generation'!AN$3:AN$73)</f>
        <v>3.3631576853942078E-3</v>
      </c>
      <c r="AO3">
        <f>'Total electricity generation'!AO3/SUM('Total electricity generation'!AO$3:AO$73)</f>
        <v>3.2995149226631364E-3</v>
      </c>
      <c r="AP3">
        <f>'Total electricity generation'!AP3/SUM('Total electricity generation'!AP$3:AP$73)</f>
        <v>3.237375613521761E-3</v>
      </c>
    </row>
    <row r="4" spans="1:42" x14ac:dyDescent="0.3">
      <c r="A4" t="s">
        <v>79</v>
      </c>
      <c r="B4">
        <f>'Total electricity generation'!B4/SUM('Total electricity generation'!B$3:B$73)</f>
        <v>1.8069632728983389E-3</v>
      </c>
      <c r="C4">
        <f>'Total electricity generation'!C4/SUM('Total electricity generation'!C$3:C$73)</f>
        <v>1.5849788307961594E-3</v>
      </c>
      <c r="D4">
        <f>'Total electricity generation'!D4/SUM('Total electricity generation'!D$3:D$73)</f>
        <v>1.3495108715170167E-3</v>
      </c>
      <c r="E4">
        <f>'Total electricity generation'!E4/SUM('Total electricity generation'!E$3:E$73)</f>
        <v>1.4829497100790415E-3</v>
      </c>
      <c r="F4">
        <f>'Total electricity generation'!F4/SUM('Total electricity generation'!F$3:F$73)</f>
        <v>1.3408346329701545E-3</v>
      </c>
      <c r="G4">
        <f>'Total electricity generation'!G4/SUM('Total electricity generation'!G$3:G$73)</f>
        <v>1.1908575186508148E-3</v>
      </c>
      <c r="H4">
        <f>'Total electricity generation'!H4/SUM('Total electricity generation'!H$3:H$73)</f>
        <v>1.2212562975845141E-3</v>
      </c>
      <c r="I4">
        <f>'Total electricity generation'!I4/SUM('Total electricity generation'!I$3:I$73)</f>
        <v>1.203762126302741E-3</v>
      </c>
      <c r="J4">
        <f>'Total electricity generation'!J4/SUM('Total electricity generation'!J$3:J$73)</f>
        <v>1.1382600371979345E-3</v>
      </c>
      <c r="K4">
        <f>'Total electricity generation'!K4/SUM('Total electricity generation'!K$3:K$73)</f>
        <v>1.092339867611444E-3</v>
      </c>
      <c r="L4">
        <f>'Total electricity generation'!L4/SUM('Total electricity generation'!L$3:L$73)</f>
        <v>1.0712697484238851E-3</v>
      </c>
      <c r="M4">
        <f>'Total electricity generation'!M4/SUM('Total electricity generation'!M$3:M$73)</f>
        <v>1.1611942227973929E-3</v>
      </c>
      <c r="N4">
        <f>'Total electricity generation'!N4/SUM('Total electricity generation'!N$3:N$73)</f>
        <v>1.2054249185329915E-3</v>
      </c>
      <c r="O4">
        <f>'Total electricity generation'!O4/SUM('Total electricity generation'!O$3:O$73)</f>
        <v>1.2395464000975016E-3</v>
      </c>
      <c r="P4">
        <f>'Total electricity generation'!P4/SUM('Total electricity generation'!P$3:P$73)</f>
        <v>1.2682616384721373E-3</v>
      </c>
      <c r="Q4">
        <f>'Total electricity generation'!Q4/SUM('Total electricity generation'!Q$3:Q$73)</f>
        <v>1.2934260366570226E-3</v>
      </c>
      <c r="R4">
        <f>'Total electricity generation'!R4/SUM('Total electricity generation'!R$3:R$73)</f>
        <v>1.3061893236244282E-3</v>
      </c>
      <c r="S4">
        <f>'Total electricity generation'!S4/SUM('Total electricity generation'!S$3:S$73)</f>
        <v>1.3234064093536895E-3</v>
      </c>
      <c r="T4">
        <f>'Total electricity generation'!T4/SUM('Total electricity generation'!T$3:T$73)</f>
        <v>1.3404748224255156E-3</v>
      </c>
      <c r="U4">
        <f>'Total electricity generation'!U4/SUM('Total electricity generation'!U$3:U$73)</f>
        <v>1.3573611964091889E-3</v>
      </c>
      <c r="V4">
        <f>'Total electricity generation'!V4/SUM('Total electricity generation'!V$3:V$73)</f>
        <v>1.3734667229095149E-3</v>
      </c>
      <c r="W4">
        <f>'Total electricity generation'!W4/SUM('Total electricity generation'!W$3:W$73)</f>
        <v>1.3647599083154653E-3</v>
      </c>
      <c r="X4">
        <f>'Total electricity generation'!X4/SUM('Total electricity generation'!X$3:X$73)</f>
        <v>1.3555013281529231E-3</v>
      </c>
      <c r="Y4">
        <f>'Total electricity generation'!Y4/SUM('Total electricity generation'!Y$3:Y$73)</f>
        <v>1.3455405164305068E-3</v>
      </c>
      <c r="Z4">
        <f>'Total electricity generation'!Z4/SUM('Total electricity generation'!Z$3:Z$73)</f>
        <v>1.3344669144581419E-3</v>
      </c>
      <c r="AA4">
        <f>'Total electricity generation'!AA4/SUM('Total electricity generation'!AA$3:AA$73)</f>
        <v>1.3223150139202312E-3</v>
      </c>
      <c r="AB4">
        <f>'Total electricity generation'!AB4/SUM('Total electricity generation'!AB$3:AB$73)</f>
        <v>1.315049693454943E-3</v>
      </c>
      <c r="AC4">
        <f>'Total electricity generation'!AC4/SUM('Total electricity generation'!AC$3:AC$73)</f>
        <v>1.3064318741987547E-3</v>
      </c>
      <c r="AD4">
        <f>'Total electricity generation'!AD4/SUM('Total electricity generation'!AD$3:AD$73)</f>
        <v>1.2964164878063926E-3</v>
      </c>
      <c r="AE4">
        <f>'Total electricity generation'!AE4/SUM('Total electricity generation'!AE$3:AE$73)</f>
        <v>1.2850748349744554E-3</v>
      </c>
      <c r="AF4">
        <f>'Total electricity generation'!AF4/SUM('Total electricity generation'!AF$3:AF$73)</f>
        <v>1.2724851263652428E-3</v>
      </c>
      <c r="AG4">
        <f>'Total electricity generation'!AG4/SUM('Total electricity generation'!AG$3:AG$73)</f>
        <v>1.2567215617206578E-3</v>
      </c>
      <c r="AH4">
        <f>'Total electricity generation'!AH4/SUM('Total electricity generation'!AH$3:AH$73)</f>
        <v>1.2403109049253561E-3</v>
      </c>
      <c r="AI4">
        <f>'Total electricity generation'!AI4/SUM('Total electricity generation'!AI$3:AI$73)</f>
        <v>1.2233312171157334E-3</v>
      </c>
      <c r="AJ4">
        <f>'Total electricity generation'!AJ4/SUM('Total electricity generation'!AJ$3:AJ$73)</f>
        <v>1.2058613331398667E-3</v>
      </c>
      <c r="AK4">
        <f>'Total electricity generation'!AK4/SUM('Total electricity generation'!AK$3:AK$73)</f>
        <v>1.1883379144097086E-3</v>
      </c>
      <c r="AL4">
        <f>'Total electricity generation'!AL4/SUM('Total electricity generation'!AL$3:AL$73)</f>
        <v>1.1690115218752726E-3</v>
      </c>
      <c r="AM4">
        <f>'Total electricity generation'!AM4/SUM('Total electricity generation'!AM$3:AM$73)</f>
        <v>1.1496396042694158E-3</v>
      </c>
      <c r="AN4">
        <f>'Total electricity generation'!AN4/SUM('Total electricity generation'!AN$3:AN$73)</f>
        <v>1.1305026888965481E-3</v>
      </c>
      <c r="AO4">
        <f>'Total electricity generation'!AO4/SUM('Total electricity generation'!AO$3:AO$73)</f>
        <v>1.1116444351875418E-3</v>
      </c>
      <c r="AP4">
        <f>'Total electricity generation'!AP4/SUM('Total electricity generation'!AP$3:AP$73)</f>
        <v>1.0930780073118529E-3</v>
      </c>
    </row>
    <row r="5" spans="1:42" x14ac:dyDescent="0.3">
      <c r="A5" t="s">
        <v>80</v>
      </c>
      <c r="B5">
        <f>'Total electricity generation'!B5/SUM('Total electricity generation'!B$3:B$73)</f>
        <v>2.9341298720643894E-2</v>
      </c>
      <c r="C5">
        <f>'Total electricity generation'!C5/SUM('Total electricity generation'!C$3:C$73)</f>
        <v>2.7490323896454068E-2</v>
      </c>
      <c r="D5">
        <f>'Total electricity generation'!D5/SUM('Total electricity generation'!D$3:D$73)</f>
        <v>2.7538843304387842E-2</v>
      </c>
      <c r="E5">
        <f>'Total electricity generation'!E5/SUM('Total electricity generation'!E$3:E$73)</f>
        <v>2.7187313874210486E-2</v>
      </c>
      <c r="F5">
        <f>'Total electricity generation'!F5/SUM('Total electricity generation'!F$3:F$73)</f>
        <v>2.6071066725247789E-2</v>
      </c>
      <c r="G5">
        <f>'Total electricity generation'!G5/SUM('Total electricity generation'!G$3:G$73)</f>
        <v>2.6601752635729344E-2</v>
      </c>
      <c r="H5">
        <f>'Total electricity generation'!H5/SUM('Total electricity generation'!H$3:H$73)</f>
        <v>2.5936494283606778E-2</v>
      </c>
      <c r="I5">
        <f>'Total electricity generation'!I5/SUM('Total electricity generation'!I$3:I$73)</f>
        <v>2.5300283770204938E-2</v>
      </c>
      <c r="J5">
        <f>'Total electricity generation'!J5/SUM('Total electricity generation'!J$3:J$73)</f>
        <v>2.3946075043926578E-2</v>
      </c>
      <c r="K5">
        <f>'Total electricity generation'!K5/SUM('Total electricity generation'!K$3:K$73)</f>
        <v>2.2405268780750196E-2</v>
      </c>
      <c r="L5">
        <f>'Total electricity generation'!L5/SUM('Total electricity generation'!L$3:L$73)</f>
        <v>2.1373971679867119E-2</v>
      </c>
      <c r="M5">
        <f>'Total electricity generation'!M5/SUM('Total electricity generation'!M$3:M$73)</f>
        <v>2.0734391084064593E-2</v>
      </c>
      <c r="N5">
        <f>'Total electricity generation'!N5/SUM('Total electricity generation'!N$3:N$73)</f>
        <v>1.9841030809731916E-2</v>
      </c>
      <c r="O5">
        <f>'Total electricity generation'!O5/SUM('Total electricity generation'!O$3:O$73)</f>
        <v>1.964977962655003E-2</v>
      </c>
      <c r="P5">
        <f>'Total electricity generation'!P5/SUM('Total electricity generation'!P$3:P$73)</f>
        <v>1.9520763616828734E-2</v>
      </c>
      <c r="Q5">
        <f>'Total electricity generation'!Q5/SUM('Total electricity generation'!Q$3:Q$73)</f>
        <v>1.9417635058754771E-2</v>
      </c>
      <c r="R5">
        <f>'Total electricity generation'!R5/SUM('Total electricity generation'!R$3:R$73)</f>
        <v>1.9389571064959983E-2</v>
      </c>
      <c r="S5">
        <f>'Total electricity generation'!S5/SUM('Total electricity generation'!S$3:S$73)</f>
        <v>1.9369651957981373E-2</v>
      </c>
      <c r="T5">
        <f>'Total electricity generation'!T5/SUM('Total electricity generation'!T$3:T$73)</f>
        <v>1.9356579113178892E-2</v>
      </c>
      <c r="U5">
        <f>'Total electricity generation'!U5/SUM('Total electricity generation'!U$3:U$73)</f>
        <v>1.9351180659092831E-2</v>
      </c>
      <c r="V5">
        <f>'Total electricity generation'!V5/SUM('Total electricity generation'!V$3:V$73)</f>
        <v>1.9365373434956878E-2</v>
      </c>
      <c r="W5">
        <f>'Total electricity generation'!W5/SUM('Total electricity generation'!W$3:W$73)</f>
        <v>1.9189207810858141E-2</v>
      </c>
      <c r="X5">
        <f>'Total electricity generation'!X5/SUM('Total electricity generation'!X$3:X$73)</f>
        <v>1.9020069781178695E-2</v>
      </c>
      <c r="Y5">
        <f>'Total electricity generation'!Y5/SUM('Total electricity generation'!Y$3:Y$73)</f>
        <v>1.8851452222188442E-2</v>
      </c>
      <c r="Z5">
        <f>'Total electricity generation'!Z5/SUM('Total electricity generation'!Z$3:Z$73)</f>
        <v>1.8682455700008944E-2</v>
      </c>
      <c r="AA5">
        <f>'Total electricity generation'!AA5/SUM('Total electricity generation'!AA$3:AA$73)</f>
        <v>1.8509489344869446E-2</v>
      </c>
      <c r="AB5">
        <f>'Total electricity generation'!AB5/SUM('Total electricity generation'!AB$3:AB$73)</f>
        <v>1.8349940997292896E-2</v>
      </c>
      <c r="AC5">
        <f>'Total electricity generation'!AC5/SUM('Total electricity generation'!AC$3:AC$73)</f>
        <v>1.8180578712117326E-2</v>
      </c>
      <c r="AD5">
        <f>'Total electricity generation'!AD5/SUM('Total electricity generation'!AD$3:AD$73)</f>
        <v>1.7997995747410265E-2</v>
      </c>
      <c r="AE5">
        <f>'Total electricity generation'!AE5/SUM('Total electricity generation'!AE$3:AE$73)</f>
        <v>1.7801167591923385E-2</v>
      </c>
      <c r="AF5">
        <f>'Total electricity generation'!AF5/SUM('Total electricity generation'!AF$3:AF$73)</f>
        <v>1.7600521862355802E-2</v>
      </c>
      <c r="AG5">
        <f>'Total electricity generation'!AG5/SUM('Total electricity generation'!AG$3:AG$73)</f>
        <v>1.7467506403027175E-2</v>
      </c>
      <c r="AH5">
        <f>'Total electricity generation'!AH5/SUM('Total electricity generation'!AH$3:AH$73)</f>
        <v>1.7313979179286412E-2</v>
      </c>
      <c r="AI5">
        <f>'Total electricity generation'!AI5/SUM('Total electricity generation'!AI$3:AI$73)</f>
        <v>1.7147720519706207E-2</v>
      </c>
      <c r="AJ5">
        <f>'Total electricity generation'!AJ5/SUM('Total electricity generation'!AJ$3:AJ$73)</f>
        <v>1.6970031957998743E-2</v>
      </c>
      <c r="AK5">
        <f>'Total electricity generation'!AK5/SUM('Total electricity generation'!AK$3:AK$73)</f>
        <v>1.6786184680117996E-2</v>
      </c>
      <c r="AL5">
        <f>'Total electricity generation'!AL5/SUM('Total electricity generation'!AL$3:AL$73)</f>
        <v>1.6647011606165284E-2</v>
      </c>
      <c r="AM5">
        <f>'Total electricity generation'!AM5/SUM('Total electricity generation'!AM$3:AM$73)</f>
        <v>1.6498894193698984E-2</v>
      </c>
      <c r="AN5">
        <f>'Total electricity generation'!AN5/SUM('Total electricity generation'!AN$3:AN$73)</f>
        <v>1.6349591976164677E-2</v>
      </c>
      <c r="AO5">
        <f>'Total electricity generation'!AO5/SUM('Total electricity generation'!AO$3:AO$73)</f>
        <v>1.6201592754968949E-2</v>
      </c>
      <c r="AP5">
        <f>'Total electricity generation'!AP5/SUM('Total electricity generation'!AP$3:AP$73)</f>
        <v>1.6053962877822254E-2</v>
      </c>
    </row>
    <row r="6" spans="1:42" x14ac:dyDescent="0.3">
      <c r="A6" t="s">
        <v>81</v>
      </c>
      <c r="B6">
        <f>'Total electricity generation'!B6/SUM('Total electricity generation'!B$3:B$73)</f>
        <v>2.6691757657731369E-3</v>
      </c>
      <c r="C6">
        <f>'Total electricity generation'!C6/SUM('Total electricity generation'!C$3:C$73)</f>
        <v>2.6740667137339167E-3</v>
      </c>
      <c r="D6">
        <f>'Total electricity generation'!D6/SUM('Total electricity generation'!D$3:D$73)</f>
        <v>2.6795802897922171E-3</v>
      </c>
      <c r="E6">
        <f>'Total electricity generation'!E6/SUM('Total electricity generation'!E$3:E$73)</f>
        <v>2.4395049846757939E-3</v>
      </c>
      <c r="F6">
        <f>'Total electricity generation'!F6/SUM('Total electricity generation'!F$3:F$73)</f>
        <v>2.1028169688696368E-3</v>
      </c>
      <c r="G6">
        <f>'Total electricity generation'!G6/SUM('Total electricity generation'!G$3:G$73)</f>
        <v>2.1345317748341672E-3</v>
      </c>
      <c r="H6">
        <f>'Total electricity generation'!H6/SUM('Total electricity generation'!H$3:H$73)</f>
        <v>2.1770793234447334E-3</v>
      </c>
      <c r="I6">
        <f>'Total electricity generation'!I6/SUM('Total electricity generation'!I$3:I$73)</f>
        <v>2.1444794192062313E-3</v>
      </c>
      <c r="J6">
        <f>'Total electricity generation'!J6/SUM('Total electricity generation'!J$3:J$73)</f>
        <v>1.9962913693799939E-3</v>
      </c>
      <c r="K6">
        <f>'Total electricity generation'!K6/SUM('Total electricity generation'!K$3:K$73)</f>
        <v>1.7995185211329581E-3</v>
      </c>
      <c r="L6">
        <f>'Total electricity generation'!L6/SUM('Total electricity generation'!L$3:L$73)</f>
        <v>1.7993868510873406E-3</v>
      </c>
      <c r="M6">
        <f>'Total electricity generation'!M6/SUM('Total electricity generation'!M$3:M$73)</f>
        <v>1.9223284509996244E-3</v>
      </c>
      <c r="N6">
        <f>'Total electricity generation'!N6/SUM('Total electricity generation'!N$3:N$73)</f>
        <v>1.8076488762603883E-3</v>
      </c>
      <c r="O6">
        <f>'Total electricity generation'!O6/SUM('Total electricity generation'!O$3:O$73)</f>
        <v>1.8118563221910685E-3</v>
      </c>
      <c r="P6">
        <f>'Total electricity generation'!P6/SUM('Total electricity generation'!P$3:P$73)</f>
        <v>1.8177114133389118E-3</v>
      </c>
      <c r="Q6">
        <f>'Total electricity generation'!Q6/SUM('Total electricity generation'!Q$3:Q$73)</f>
        <v>1.8293463631625111E-3</v>
      </c>
      <c r="R6">
        <f>'Total electricity generation'!R6/SUM('Total electricity generation'!R$3:R$73)</f>
        <v>1.7933649457020175E-3</v>
      </c>
      <c r="S6">
        <f>'Total electricity generation'!S6/SUM('Total electricity generation'!S$3:S$73)</f>
        <v>1.7564910084174215E-3</v>
      </c>
      <c r="T6">
        <f>'Total electricity generation'!T6/SUM('Total electricity generation'!T$3:T$73)</f>
        <v>1.7192019400470563E-3</v>
      </c>
      <c r="U6">
        <f>'Total electricity generation'!U6/SUM('Total electricity generation'!U$3:U$73)</f>
        <v>1.6828519946997052E-3</v>
      </c>
      <c r="V6">
        <f>'Total electricity generation'!V6/SUM('Total electricity generation'!V$3:V$73)</f>
        <v>1.6481142763273599E-3</v>
      </c>
      <c r="W6">
        <f>'Total electricity generation'!W6/SUM('Total electricity generation'!W$3:W$73)</f>
        <v>1.6245236284899232E-3</v>
      </c>
      <c r="X6">
        <f>'Total electricity generation'!X6/SUM('Total electricity generation'!X$3:X$73)</f>
        <v>1.6010889246201327E-3</v>
      </c>
      <c r="Y6">
        <f>'Total electricity generation'!Y6/SUM('Total electricity generation'!Y$3:Y$73)</f>
        <v>1.5780272563313282E-3</v>
      </c>
      <c r="Z6">
        <f>'Total electricity generation'!Z6/SUM('Total electricity generation'!Z$3:Z$73)</f>
        <v>1.5552227077729451E-3</v>
      </c>
      <c r="AA6">
        <f>'Total electricity generation'!AA6/SUM('Total electricity generation'!AA$3:AA$73)</f>
        <v>1.5328669149130151E-3</v>
      </c>
      <c r="AB6">
        <f>'Total electricity generation'!AB6/SUM('Total electricity generation'!AB$3:AB$73)</f>
        <v>1.5144101372338485E-3</v>
      </c>
      <c r="AC6">
        <f>'Total electricity generation'!AC6/SUM('Total electricity generation'!AC$3:AC$73)</f>
        <v>1.4963986992336958E-3</v>
      </c>
      <c r="AD6">
        <f>'Total electricity generation'!AD6/SUM('Total electricity generation'!AD$3:AD$73)</f>
        <v>1.4785783704884259E-3</v>
      </c>
      <c r="AE6">
        <f>'Total electricity generation'!AE6/SUM('Total electricity generation'!AE$3:AE$73)</f>
        <v>1.4609303874999644E-3</v>
      </c>
      <c r="AF6">
        <f>'Total electricity generation'!AF6/SUM('Total electricity generation'!AF$3:AF$73)</f>
        <v>1.4438322426968307E-3</v>
      </c>
      <c r="AG6">
        <f>'Total electricity generation'!AG6/SUM('Total electricity generation'!AG$3:AG$73)</f>
        <v>1.4346975197407855E-3</v>
      </c>
      <c r="AH6">
        <f>'Total electricity generation'!AH6/SUM('Total electricity generation'!AH$3:AH$73)</f>
        <v>1.4252710860690725E-3</v>
      </c>
      <c r="AI6">
        <f>'Total electricity generation'!AI6/SUM('Total electricity generation'!AI$3:AI$73)</f>
        <v>1.4154811978785453E-3</v>
      </c>
      <c r="AJ6">
        <f>'Total electricity generation'!AJ6/SUM('Total electricity generation'!AJ$3:AJ$73)</f>
        <v>1.4058441845204465E-3</v>
      </c>
      <c r="AK6">
        <f>'Total electricity generation'!AK6/SUM('Total electricity generation'!AK$3:AK$73)</f>
        <v>1.3966811544883499E-3</v>
      </c>
      <c r="AL6">
        <f>'Total electricity generation'!AL6/SUM('Total electricity generation'!AL$3:AL$73)</f>
        <v>1.3978586962471421E-3</v>
      </c>
      <c r="AM6">
        <f>'Total electricity generation'!AM6/SUM('Total electricity generation'!AM$3:AM$73)</f>
        <v>1.3988070778241095E-3</v>
      </c>
      <c r="AN6">
        <f>'Total electricity generation'!AN6/SUM('Total electricity generation'!AN$3:AN$73)</f>
        <v>1.4005142894631159E-3</v>
      </c>
      <c r="AO6">
        <f>'Total electricity generation'!AO6/SUM('Total electricity generation'!AO$3:AO$73)</f>
        <v>1.4028769750045881E-3</v>
      </c>
      <c r="AP6">
        <f>'Total electricity generation'!AP6/SUM('Total electricity generation'!AP$3:AP$73)</f>
        <v>1.4059112402889551E-3</v>
      </c>
    </row>
    <row r="7" spans="1:42" x14ac:dyDescent="0.3">
      <c r="A7" t="s">
        <v>82</v>
      </c>
      <c r="B7">
        <f>'Total electricity generation'!B7/SUM('Total electricity generation'!B$3:B$73)</f>
        <v>1.4012681298278002E-2</v>
      </c>
      <c r="C7">
        <f>'Total electricity generation'!C7/SUM('Total electricity generation'!C$3:C$73)</f>
        <v>1.321267507215775E-2</v>
      </c>
      <c r="D7">
        <f>'Total electricity generation'!D7/SUM('Total electricity generation'!D$3:D$73)</f>
        <v>1.3072093193690095E-2</v>
      </c>
      <c r="E7">
        <f>'Total electricity generation'!E7/SUM('Total electricity generation'!E$3:E$73)</f>
        <v>1.2192030109669422E-2</v>
      </c>
      <c r="F7">
        <f>'Total electricity generation'!F7/SUM('Total electricity generation'!F$3:F$73)</f>
        <v>1.1613116867008475E-2</v>
      </c>
      <c r="G7">
        <f>'Total electricity generation'!G7/SUM('Total electricity generation'!G$3:G$73)</f>
        <v>1.155013808926896E-2</v>
      </c>
      <c r="H7">
        <f>'Total electricity generation'!H7/SUM('Total electricity generation'!H$3:H$73)</f>
        <v>1.0984032621774996E-2</v>
      </c>
      <c r="I7">
        <f>'Total electricity generation'!I7/SUM('Total electricity generation'!I$3:I$73)</f>
        <v>1.0695411683962257E-2</v>
      </c>
      <c r="J7">
        <f>'Total electricity generation'!J7/SUM('Total electricity generation'!J$3:J$73)</f>
        <v>1.0282949899830659E-2</v>
      </c>
      <c r="K7">
        <f>'Total electricity generation'!K7/SUM('Total electricity generation'!K$3:K$73)</f>
        <v>1.0107332307386373E-2</v>
      </c>
      <c r="L7">
        <f>'Total electricity generation'!L7/SUM('Total electricity generation'!L$3:L$73)</f>
        <v>9.797837766406298E-3</v>
      </c>
      <c r="M7">
        <f>'Total electricity generation'!M7/SUM('Total electricity generation'!M$3:M$73)</f>
        <v>9.6054113830599426E-3</v>
      </c>
      <c r="N7">
        <f>'Total electricity generation'!N7/SUM('Total electricity generation'!N$3:N$73)</f>
        <v>1.0007789786337347E-2</v>
      </c>
      <c r="O7">
        <f>'Total electricity generation'!O7/SUM('Total electricity generation'!O$3:O$73)</f>
        <v>9.8565280289664645E-3</v>
      </c>
      <c r="P7">
        <f>'Total electricity generation'!P7/SUM('Total electricity generation'!P$3:P$73)</f>
        <v>9.7339764322282533E-3</v>
      </c>
      <c r="Q7">
        <f>'Total electricity generation'!Q7/SUM('Total electricity generation'!Q$3:Q$73)</f>
        <v>9.6132727402045894E-3</v>
      </c>
      <c r="R7">
        <f>'Total electricity generation'!R7/SUM('Total electricity generation'!R$3:R$73)</f>
        <v>9.5201294913972272E-3</v>
      </c>
      <c r="S7">
        <f>'Total electricity generation'!S7/SUM('Total electricity generation'!S$3:S$73)</f>
        <v>9.4205277127493974E-3</v>
      </c>
      <c r="T7">
        <f>'Total electricity generation'!T7/SUM('Total electricity generation'!T$3:T$73)</f>
        <v>9.317211952746601E-3</v>
      </c>
      <c r="U7">
        <f>'Total electricity generation'!U7/SUM('Total electricity generation'!U$3:U$73)</f>
        <v>9.2137853681417171E-3</v>
      </c>
      <c r="V7">
        <f>'Total electricity generation'!V7/SUM('Total electricity generation'!V$3:V$73)</f>
        <v>9.1146563834180183E-3</v>
      </c>
      <c r="W7">
        <f>'Total electricity generation'!W7/SUM('Total electricity generation'!W$3:W$73)</f>
        <v>9.022489330132227E-3</v>
      </c>
      <c r="X7">
        <f>'Total electricity generation'!X7/SUM('Total electricity generation'!X$3:X$73)</f>
        <v>8.9334040687370619E-3</v>
      </c>
      <c r="Y7">
        <f>'Total electricity generation'!Y7/SUM('Total electricity generation'!Y$3:Y$73)</f>
        <v>8.8457472880544754E-3</v>
      </c>
      <c r="Z7">
        <f>'Total electricity generation'!Z7/SUM('Total electricity generation'!Z$3:Z$73)</f>
        <v>8.7603835434677951E-3</v>
      </c>
      <c r="AA7">
        <f>'Total electricity generation'!AA7/SUM('Total electricity generation'!AA$3:AA$73)</f>
        <v>8.6779688676618498E-3</v>
      </c>
      <c r="AB7">
        <f>'Total electricity generation'!AB7/SUM('Total electricity generation'!AB$3:AB$73)</f>
        <v>8.6015599307377559E-3</v>
      </c>
      <c r="AC7">
        <f>'Total electricity generation'!AC7/SUM('Total electricity generation'!AC$3:AC$73)</f>
        <v>8.5276131176739798E-3</v>
      </c>
      <c r="AD7">
        <f>'Total electricity generation'!AD7/SUM('Total electricity generation'!AD$3:AD$73)</f>
        <v>8.4543371520659667E-3</v>
      </c>
      <c r="AE7">
        <f>'Total electricity generation'!AE7/SUM('Total electricity generation'!AE$3:AE$73)</f>
        <v>8.3815992611620625E-3</v>
      </c>
      <c r="AF7">
        <f>'Total electricity generation'!AF7/SUM('Total electricity generation'!AF$3:AF$73)</f>
        <v>8.3077152322511387E-3</v>
      </c>
      <c r="AG7">
        <f>'Total electricity generation'!AG7/SUM('Total electricity generation'!AG$3:AG$73)</f>
        <v>8.2341658198375016E-3</v>
      </c>
      <c r="AH7">
        <f>'Total electricity generation'!AH7/SUM('Total electricity generation'!AH$3:AH$73)</f>
        <v>8.1550389720401427E-3</v>
      </c>
      <c r="AI7">
        <f>'Total electricity generation'!AI7/SUM('Total electricity generation'!AI$3:AI$73)</f>
        <v>8.0696187536113354E-3</v>
      </c>
      <c r="AJ7">
        <f>'Total electricity generation'!AJ7/SUM('Total electricity generation'!AJ$3:AJ$73)</f>
        <v>7.9753303930750336E-3</v>
      </c>
      <c r="AK7">
        <f>'Total electricity generation'!AK7/SUM('Total electricity generation'!AK$3:AK$73)</f>
        <v>7.8755701027506779E-3</v>
      </c>
      <c r="AL7">
        <f>'Total electricity generation'!AL7/SUM('Total electricity generation'!AL$3:AL$73)</f>
        <v>7.7643134948956428E-3</v>
      </c>
      <c r="AM7">
        <f>'Total electricity generation'!AM7/SUM('Total electricity generation'!AM$3:AM$73)</f>
        <v>7.6419919313332908E-3</v>
      </c>
      <c r="AN7">
        <f>'Total electricity generation'!AN7/SUM('Total electricity generation'!AN$3:AN$73)</f>
        <v>7.515140261933533E-3</v>
      </c>
      <c r="AO7">
        <f>'Total electricity generation'!AO7/SUM('Total electricity generation'!AO$3:AO$73)</f>
        <v>7.3870801517042627E-3</v>
      </c>
      <c r="AP7">
        <f>'Total electricity generation'!AP7/SUM('Total electricity generation'!AP$3:AP$73)</f>
        <v>7.2586253274547147E-3</v>
      </c>
    </row>
    <row r="8" spans="1:42" x14ac:dyDescent="0.3">
      <c r="A8" t="s">
        <v>83</v>
      </c>
      <c r="B8">
        <f>'Total electricity generation'!B8/SUM('Total electricity generation'!B$3:B$73)</f>
        <v>2.6463826897431996E-2</v>
      </c>
      <c r="C8">
        <f>'Total electricity generation'!C8/SUM('Total electricity generation'!C$3:C$73)</f>
        <v>2.575974686712406E-2</v>
      </c>
      <c r="D8">
        <f>'Total electricity generation'!D8/SUM('Total electricity generation'!D$3:D$73)</f>
        <v>2.5143689302201202E-2</v>
      </c>
      <c r="E8">
        <f>'Total electricity generation'!E8/SUM('Total electricity generation'!E$3:E$73)</f>
        <v>2.4826716207665685E-2</v>
      </c>
      <c r="F8">
        <f>'Total electricity generation'!F8/SUM('Total electricity generation'!F$3:F$73)</f>
        <v>2.3830369136948804E-2</v>
      </c>
      <c r="G8">
        <f>'Total electricity generation'!G8/SUM('Total electricity generation'!G$3:G$73)</f>
        <v>2.3819704694302349E-2</v>
      </c>
      <c r="H8">
        <f>'Total electricity generation'!H8/SUM('Total electricity generation'!H$3:H$73)</f>
        <v>2.2534393041813393E-2</v>
      </c>
      <c r="I8">
        <f>'Total electricity generation'!I8/SUM('Total electricity generation'!I$3:I$73)</f>
        <v>2.1777037910285787E-2</v>
      </c>
      <c r="J8">
        <f>'Total electricity generation'!J8/SUM('Total electricity generation'!J$3:J$73)</f>
        <v>2.1778685130026423E-2</v>
      </c>
      <c r="K8">
        <f>'Total electricity generation'!K8/SUM('Total electricity generation'!K$3:K$73)</f>
        <v>2.1102469517406547E-2</v>
      </c>
      <c r="L8">
        <f>'Total electricity generation'!L8/SUM('Total electricity generation'!L$3:L$73)</f>
        <v>1.980292850714201E-2</v>
      </c>
      <c r="M8">
        <f>'Total electricity generation'!M8/SUM('Total electricity generation'!M$3:M$73)</f>
        <v>1.944814727887589E-2</v>
      </c>
      <c r="N8">
        <f>'Total electricity generation'!N8/SUM('Total electricity generation'!N$3:N$73)</f>
        <v>1.6254858159166843E-2</v>
      </c>
      <c r="O8">
        <f>'Total electricity generation'!O8/SUM('Total electricity generation'!O$3:O$73)</f>
        <v>1.8490489340442742E-2</v>
      </c>
      <c r="P8">
        <f>'Total electricity generation'!P8/SUM('Total electricity generation'!P$3:P$73)</f>
        <v>1.8112984587567434E-2</v>
      </c>
      <c r="Q8">
        <f>'Total electricity generation'!Q8/SUM('Total electricity generation'!Q$3:Q$73)</f>
        <v>1.7744891028706366E-2</v>
      </c>
      <c r="R8">
        <f>'Total electricity generation'!R8/SUM('Total electricity generation'!R$3:R$73)</f>
        <v>1.7460762012348172E-2</v>
      </c>
      <c r="S8">
        <f>'Total electricity generation'!S8/SUM('Total electricity generation'!S$3:S$73)</f>
        <v>1.7185097347013678E-2</v>
      </c>
      <c r="T8">
        <f>'Total electricity generation'!T8/SUM('Total electricity generation'!T$3:T$73)</f>
        <v>1.691346262483685E-2</v>
      </c>
      <c r="U8">
        <f>'Total electricity generation'!U8/SUM('Total electricity generation'!U$3:U$73)</f>
        <v>1.6651934543558865E-2</v>
      </c>
      <c r="V8">
        <f>'Total electricity generation'!V8/SUM('Total electricity generation'!V$3:V$73)</f>
        <v>1.640828328544968E-2</v>
      </c>
      <c r="W8">
        <f>'Total electricity generation'!W8/SUM('Total electricity generation'!W$3:W$73)</f>
        <v>1.6181707305500267E-2</v>
      </c>
      <c r="X8">
        <f>'Total electricity generation'!X8/SUM('Total electricity generation'!X$3:X$73)</f>
        <v>1.5965563022697291E-2</v>
      </c>
      <c r="Y8">
        <f>'Total electricity generation'!Y8/SUM('Total electricity generation'!Y$3:Y$73)</f>
        <v>1.5759952268583365E-2</v>
      </c>
      <c r="Z8">
        <f>'Total electricity generation'!Z8/SUM('Total electricity generation'!Z$3:Z$73)</f>
        <v>1.5565783766417259E-2</v>
      </c>
      <c r="AA8">
        <f>'Total electricity generation'!AA8/SUM('Total electricity generation'!AA$3:AA$73)</f>
        <v>1.5373129976430526E-2</v>
      </c>
      <c r="AB8">
        <f>'Total electricity generation'!AB8/SUM('Total electricity generation'!AB$3:AB$73)</f>
        <v>1.5172109377441808E-2</v>
      </c>
      <c r="AC8">
        <f>'Total electricity generation'!AC8/SUM('Total electricity generation'!AC$3:AC$73)</f>
        <v>1.4975339676766708E-2</v>
      </c>
      <c r="AD8">
        <f>'Total electricity generation'!AD8/SUM('Total electricity generation'!AD$3:AD$73)</f>
        <v>1.4779900849763309E-2</v>
      </c>
      <c r="AE8">
        <f>'Total electricity generation'!AE8/SUM('Total electricity generation'!AE$3:AE$73)</f>
        <v>1.4586456555000427E-2</v>
      </c>
      <c r="AF8">
        <f>'Total electricity generation'!AF8/SUM('Total electricity generation'!AF$3:AF$73)</f>
        <v>1.4380200330593559E-2</v>
      </c>
      <c r="AG8">
        <f>'Total electricity generation'!AG8/SUM('Total electricity generation'!AG$3:AG$73)</f>
        <v>1.4168696477027303E-2</v>
      </c>
      <c r="AH8">
        <f>'Total electricity generation'!AH8/SUM('Total electricity generation'!AH$3:AH$73)</f>
        <v>1.3959301563265525E-2</v>
      </c>
      <c r="AI8">
        <f>'Total electricity generation'!AI8/SUM('Total electricity generation'!AI$3:AI$73)</f>
        <v>1.3739177515092838E-2</v>
      </c>
      <c r="AJ8">
        <f>'Total electricity generation'!AJ8/SUM('Total electricity generation'!AJ$3:AJ$73)</f>
        <v>1.3509852892630861E-2</v>
      </c>
      <c r="AK8">
        <f>'Total electricity generation'!AK8/SUM('Total electricity generation'!AK$3:AK$73)</f>
        <v>1.327447973650152E-2</v>
      </c>
      <c r="AL8">
        <f>'Total electricity generation'!AL8/SUM('Total electricity generation'!AL$3:AL$73)</f>
        <v>1.3040110766889268E-2</v>
      </c>
      <c r="AM8">
        <f>'Total electricity generation'!AM8/SUM('Total electricity generation'!AM$3:AM$73)</f>
        <v>1.2796371643048657E-2</v>
      </c>
      <c r="AN8">
        <f>'Total electricity generation'!AN8/SUM('Total electricity generation'!AN$3:AN$73)</f>
        <v>1.255498056498959E-2</v>
      </c>
      <c r="AO8">
        <f>'Total electricity generation'!AO8/SUM('Total electricity generation'!AO$3:AO$73)</f>
        <v>1.2320674276040278E-2</v>
      </c>
      <c r="AP8">
        <f>'Total electricity generation'!AP8/SUM('Total electricity generation'!AP$3:AP$73)</f>
        <v>1.2091688951818245E-2</v>
      </c>
    </row>
    <row r="9" spans="1:42" x14ac:dyDescent="0.3">
      <c r="A9" t="s">
        <v>84</v>
      </c>
      <c r="B9">
        <f>'Total electricity generation'!B9/SUM('Total electricity generation'!B$3:B$73)</f>
        <v>1.3183378646738097E-3</v>
      </c>
      <c r="C9">
        <f>'Total electricity generation'!C9/SUM('Total electricity generation'!C$3:C$73)</f>
        <v>1.2221273635400751E-3</v>
      </c>
      <c r="D9">
        <f>'Total electricity generation'!D9/SUM('Total electricity generation'!D$3:D$73)</f>
        <v>1.2024452546860152E-3</v>
      </c>
      <c r="E9">
        <f>'Total electricity generation'!E9/SUM('Total electricity generation'!E$3:E$73)</f>
        <v>1.1064061684374095E-3</v>
      </c>
      <c r="F9">
        <f>'Total electricity generation'!F9/SUM('Total electricity generation'!F$3:F$73)</f>
        <v>1.0867717725632673E-3</v>
      </c>
      <c r="G9">
        <f>'Total electricity generation'!G9/SUM('Total electricity generation'!G$3:G$73)</f>
        <v>1.1681704292135764E-3</v>
      </c>
      <c r="H9">
        <f>'Total electricity generation'!H9/SUM('Total electricity generation'!H$3:H$73)</f>
        <v>1.2201816599358758E-3</v>
      </c>
      <c r="I9">
        <f>'Total electricity generation'!I9/SUM('Total electricity generation'!I$3:I$73)</f>
        <v>1.1980054854392461E-3</v>
      </c>
      <c r="J9">
        <f>'Total electricity generation'!J9/SUM('Total electricity generation'!J$3:J$73)</f>
        <v>1.1669406251264918E-3</v>
      </c>
      <c r="K9">
        <f>'Total electricity generation'!K9/SUM('Total electricity generation'!K$3:K$73)</f>
        <v>1.1455779843966818E-3</v>
      </c>
      <c r="L9">
        <f>'Total electricity generation'!L9/SUM('Total electricity generation'!L$3:L$73)</f>
        <v>1.2011925602250736E-3</v>
      </c>
      <c r="M9">
        <f>'Total electricity generation'!M9/SUM('Total electricity generation'!M$3:M$73)</f>
        <v>1.1169096842885305E-3</v>
      </c>
      <c r="N9">
        <f>'Total electricity generation'!N9/SUM('Total electricity generation'!N$3:N$73)</f>
        <v>1.1597652247548602E-3</v>
      </c>
      <c r="O9">
        <f>'Total electricity generation'!O9/SUM('Total electricity generation'!O$3:O$73)</f>
        <v>1.1603522425972113E-3</v>
      </c>
      <c r="P9">
        <f>'Total electricity generation'!P9/SUM('Total electricity generation'!P$3:P$73)</f>
        <v>1.1669857407839268E-3</v>
      </c>
      <c r="Q9">
        <f>'Total electricity generation'!Q9/SUM('Total electricity generation'!Q$3:Q$73)</f>
        <v>1.1745987132345469E-3</v>
      </c>
      <c r="R9">
        <f>'Total electricity generation'!R9/SUM('Total electricity generation'!R$3:R$73)</f>
        <v>1.1702463549051036E-3</v>
      </c>
      <c r="S9">
        <f>'Total electricity generation'!S9/SUM('Total electricity generation'!S$3:S$73)</f>
        <v>1.1656446557234182E-3</v>
      </c>
      <c r="T9">
        <f>'Total electricity generation'!T9/SUM('Total electricity generation'!T$3:T$73)</f>
        <v>1.1607969060607873E-3</v>
      </c>
      <c r="U9">
        <f>'Total electricity generation'!U9/SUM('Total electricity generation'!U$3:U$73)</f>
        <v>1.1559858799917127E-3</v>
      </c>
      <c r="V9">
        <f>'Total electricity generation'!V9/SUM('Total electricity generation'!V$3:V$73)</f>
        <v>1.1516359976360203E-3</v>
      </c>
      <c r="W9">
        <f>'Total electricity generation'!W9/SUM('Total electricity generation'!W$3:W$73)</f>
        <v>1.1402211096507651E-3</v>
      </c>
      <c r="X9">
        <f>'Total electricity generation'!X9/SUM('Total electricity generation'!X$3:X$73)</f>
        <v>1.129138547979473E-3</v>
      </c>
      <c r="Y9">
        <f>'Total electricity generation'!Y9/SUM('Total electricity generation'!Y$3:Y$73)</f>
        <v>1.1186374633079346E-3</v>
      </c>
      <c r="Z9">
        <f>'Total electricity generation'!Z9/SUM('Total electricity generation'!Z$3:Z$73)</f>
        <v>1.1086921028741633E-3</v>
      </c>
      <c r="AA9">
        <f>'Total electricity generation'!AA9/SUM('Total electricity generation'!AA$3:AA$73)</f>
        <v>1.0991581699210937E-3</v>
      </c>
      <c r="AB9">
        <f>'Total electricity generation'!AB9/SUM('Total electricity generation'!AB$3:AB$73)</f>
        <v>1.0915697161363038E-3</v>
      </c>
      <c r="AC9">
        <f>'Total electricity generation'!AC9/SUM('Total electricity generation'!AC$3:AC$73)</f>
        <v>1.0841008583243113E-3</v>
      </c>
      <c r="AD9">
        <f>'Total electricity generation'!AD9/SUM('Total electricity generation'!AD$3:AD$73)</f>
        <v>1.0767644116321589E-3</v>
      </c>
      <c r="AE9">
        <f>'Total electricity generation'!AE9/SUM('Total electricity generation'!AE$3:AE$73)</f>
        <v>1.0693785925940118E-3</v>
      </c>
      <c r="AF9">
        <f>'Total electricity generation'!AF9/SUM('Total electricity generation'!AF$3:AF$73)</f>
        <v>1.0616005628306675E-3</v>
      </c>
      <c r="AG9">
        <f>'Total electricity generation'!AG9/SUM('Total electricity generation'!AG$3:AG$73)</f>
        <v>1.0575377966387104E-3</v>
      </c>
      <c r="AH9">
        <f>'Total electricity generation'!AH9/SUM('Total electricity generation'!AH$3:AH$73)</f>
        <v>1.05284629842356E-3</v>
      </c>
      <c r="AI9">
        <f>'Total electricity generation'!AI9/SUM('Total electricity generation'!AI$3:AI$73)</f>
        <v>1.0473132907076431E-3</v>
      </c>
      <c r="AJ9">
        <f>'Total electricity generation'!AJ9/SUM('Total electricity generation'!AJ$3:AJ$73)</f>
        <v>1.0409083061642848E-3</v>
      </c>
      <c r="AK9">
        <f>'Total electricity generation'!AK9/SUM('Total electricity generation'!AK$3:AK$73)</f>
        <v>1.0338476255065978E-3</v>
      </c>
      <c r="AL9">
        <f>'Total electricity generation'!AL9/SUM('Total electricity generation'!AL$3:AL$73)</f>
        <v>1.030095094968989E-3</v>
      </c>
      <c r="AM9">
        <f>'Total electricity generation'!AM9/SUM('Total electricity generation'!AM$3:AM$73)</f>
        <v>1.0253405620864052E-3</v>
      </c>
      <c r="AN9">
        <f>'Total electricity generation'!AN9/SUM('Total electricity generation'!AN$3:AN$73)</f>
        <v>1.020279336103975E-3</v>
      </c>
      <c r="AO9">
        <f>'Total electricity generation'!AO9/SUM('Total electricity generation'!AO$3:AO$73)</f>
        <v>1.0151362518638588E-3</v>
      </c>
      <c r="AP9">
        <f>'Total electricity generation'!AP9/SUM('Total electricity generation'!AP$3:AP$73)</f>
        <v>1.0097986445505955E-3</v>
      </c>
    </row>
    <row r="10" spans="1:42" x14ac:dyDescent="0.3">
      <c r="A10" t="s">
        <v>85</v>
      </c>
      <c r="B10">
        <f>'Total electricity generation'!B10/SUM('Total electricity generation'!B$3:B$73)</f>
        <v>1.4008838279926191E-2</v>
      </c>
      <c r="C10">
        <f>'Total electricity generation'!C10/SUM('Total electricity generation'!C$3:C$73)</f>
        <v>1.357700833357166E-2</v>
      </c>
      <c r="D10">
        <f>'Total electricity generation'!D10/SUM('Total electricity generation'!D$3:D$73)</f>
        <v>1.3122297019990252E-2</v>
      </c>
      <c r="E10">
        <f>'Total electricity generation'!E10/SUM('Total electricity generation'!E$3:E$73)</f>
        <v>1.2338014045457209E-2</v>
      </c>
      <c r="F10">
        <f>'Total electricity generation'!F10/SUM('Total electricity generation'!F$3:F$73)</f>
        <v>1.1630462075605795E-2</v>
      </c>
      <c r="G10">
        <f>'Total electricity generation'!G10/SUM('Total electricity generation'!G$3:G$73)</f>
        <v>1.1620145091534221E-2</v>
      </c>
      <c r="H10">
        <f>'Total electricity generation'!H10/SUM('Total electricity generation'!H$3:H$73)</f>
        <v>1.1558657050107944E-2</v>
      </c>
      <c r="I10">
        <f>'Total electricity generation'!I10/SUM('Total electricity generation'!I$3:I$73)</f>
        <v>1.1453386269116194E-2</v>
      </c>
      <c r="J10">
        <f>'Total electricity generation'!J10/SUM('Total electricity generation'!J$3:J$73)</f>
        <v>1.0835752070852311E-2</v>
      </c>
      <c r="K10">
        <f>'Total electricity generation'!K10/SUM('Total electricity generation'!K$3:K$73)</f>
        <v>1.0850634657908255E-2</v>
      </c>
      <c r="L10">
        <f>'Total electricity generation'!L10/SUM('Total electricity generation'!L$3:L$73)</f>
        <v>1.044520919497062E-2</v>
      </c>
      <c r="M10">
        <f>'Total electricity generation'!M10/SUM('Total electricity generation'!M$3:M$73)</f>
        <v>1.0132774824550689E-2</v>
      </c>
      <c r="N10">
        <f>'Total electricity generation'!N10/SUM('Total electricity generation'!N$3:N$73)</f>
        <v>9.7231957840284329E-3</v>
      </c>
      <c r="O10">
        <f>'Total electricity generation'!O10/SUM('Total electricity generation'!O$3:O$73)</f>
        <v>9.6395085747234509E-3</v>
      </c>
      <c r="P10">
        <f>'Total electricity generation'!P10/SUM('Total electricity generation'!P$3:P$73)</f>
        <v>9.5950794527391772E-3</v>
      </c>
      <c r="Q10">
        <f>'Total electricity generation'!Q10/SUM('Total electricity generation'!Q$3:Q$73)</f>
        <v>9.5417803855835804E-3</v>
      </c>
      <c r="R10">
        <f>'Total electricity generation'!R10/SUM('Total electricity generation'!R$3:R$73)</f>
        <v>9.5103923218656673E-3</v>
      </c>
      <c r="S10">
        <f>'Total electricity generation'!S10/SUM('Total electricity generation'!S$3:S$73)</f>
        <v>9.4749092405139283E-3</v>
      </c>
      <c r="T10">
        <f>'Total electricity generation'!T10/SUM('Total electricity generation'!T$3:T$73)</f>
        <v>9.4389104003750682E-3</v>
      </c>
      <c r="U10">
        <f>'Total electricity generation'!U10/SUM('Total electricity generation'!U$3:U$73)</f>
        <v>9.4010619110784302E-3</v>
      </c>
      <c r="V10">
        <f>'Total electricity generation'!V10/SUM('Total electricity generation'!V$3:V$73)</f>
        <v>9.3677952569253958E-3</v>
      </c>
      <c r="W10">
        <f>'Total electricity generation'!W10/SUM('Total electricity generation'!W$3:W$73)</f>
        <v>9.2446700820248522E-3</v>
      </c>
      <c r="X10">
        <f>'Total electricity generation'!X10/SUM('Total electricity generation'!X$3:X$73)</f>
        <v>9.1248495649316232E-3</v>
      </c>
      <c r="Y10">
        <f>'Total electricity generation'!Y10/SUM('Total electricity generation'!Y$3:Y$73)</f>
        <v>9.008095542507014E-3</v>
      </c>
      <c r="Z10">
        <f>'Total electricity generation'!Z10/SUM('Total electricity generation'!Z$3:Z$73)</f>
        <v>8.8925390031797738E-3</v>
      </c>
      <c r="AA10">
        <f>'Total electricity generation'!AA10/SUM('Total electricity generation'!AA$3:AA$73)</f>
        <v>8.7797080313971806E-3</v>
      </c>
      <c r="AB10">
        <f>'Total electricity generation'!AB10/SUM('Total electricity generation'!AB$3:AB$73)</f>
        <v>8.710069664404272E-3</v>
      </c>
      <c r="AC10">
        <f>'Total electricity generation'!AC10/SUM('Total electricity generation'!AC$3:AC$73)</f>
        <v>8.6428186437652252E-3</v>
      </c>
      <c r="AD10">
        <f>'Total electricity generation'!AD10/SUM('Total electricity generation'!AD$3:AD$73)</f>
        <v>8.5765463451532489E-3</v>
      </c>
      <c r="AE10">
        <f>'Total electricity generation'!AE10/SUM('Total electricity generation'!AE$3:AE$73)</f>
        <v>8.5114095423165642E-3</v>
      </c>
      <c r="AF10">
        <f>'Total electricity generation'!AF10/SUM('Total electricity generation'!AF$3:AF$73)</f>
        <v>8.44276298807199E-3</v>
      </c>
      <c r="AG10">
        <f>'Total electricity generation'!AG10/SUM('Total electricity generation'!AG$3:AG$73)</f>
        <v>8.3811209107646622E-3</v>
      </c>
      <c r="AH10">
        <f>'Total electricity generation'!AH10/SUM('Total electricity generation'!AH$3:AH$73)</f>
        <v>8.3141761761409451E-3</v>
      </c>
      <c r="AI10">
        <f>'Total electricity generation'!AI10/SUM('Total electricity generation'!AI$3:AI$73)</f>
        <v>8.2401823140769073E-3</v>
      </c>
      <c r="AJ10">
        <f>'Total electricity generation'!AJ10/SUM('Total electricity generation'!AJ$3:AJ$73)</f>
        <v>8.15874310207515E-3</v>
      </c>
      <c r="AK10">
        <f>'Total electricity generation'!AK10/SUM('Total electricity generation'!AK$3:AK$73)</f>
        <v>8.0707459889871325E-3</v>
      </c>
      <c r="AL10">
        <f>'Total electricity generation'!AL10/SUM('Total electricity generation'!AL$3:AL$73)</f>
        <v>7.9892215149979205E-3</v>
      </c>
      <c r="AM10">
        <f>'Total electricity generation'!AM10/SUM('Total electricity generation'!AM$3:AM$73)</f>
        <v>7.9001789223231336E-3</v>
      </c>
      <c r="AN10">
        <f>'Total electricity generation'!AN10/SUM('Total electricity generation'!AN$3:AN$73)</f>
        <v>7.8067165979349993E-3</v>
      </c>
      <c r="AO10">
        <f>'Total electricity generation'!AO10/SUM('Total electricity generation'!AO$3:AO$73)</f>
        <v>7.7103798725080318E-3</v>
      </c>
      <c r="AP10">
        <f>'Total electricity generation'!AP10/SUM('Total electricity generation'!AP$3:AP$73)</f>
        <v>7.6117776062527244E-3</v>
      </c>
    </row>
    <row r="11" spans="1:42" x14ac:dyDescent="0.3">
      <c r="A11" t="s">
        <v>86</v>
      </c>
      <c r="B11">
        <f>'Total electricity generation'!B11/SUM('Total electricity generation'!B$3:B$73)</f>
        <v>2.1348015742783959E-4</v>
      </c>
      <c r="C11">
        <f>'Total electricity generation'!C11/SUM('Total electricity generation'!C$3:C$73)</f>
        <v>1.6719863405215997E-4</v>
      </c>
      <c r="D11">
        <f>'Total electricity generation'!D11/SUM('Total electricity generation'!D$3:D$73)</f>
        <v>1.6778274189406493E-4</v>
      </c>
      <c r="E11">
        <f>'Total electricity generation'!E11/SUM('Total electricity generation'!E$3:E$73)</f>
        <v>1.2332119917968465E-4</v>
      </c>
      <c r="F11">
        <f>'Total electricity generation'!F11/SUM('Total electricity generation'!F$3:F$73)</f>
        <v>1.2352563678009573E-4</v>
      </c>
      <c r="G11">
        <f>'Total electricity generation'!G11/SUM('Total electricity generation'!G$3:G$73)</f>
        <v>1.1381946360803105E-4</v>
      </c>
      <c r="H11">
        <f>'Total electricity generation'!H11/SUM('Total electricity generation'!H$3:H$73)</f>
        <v>8.7883093562922952E-5</v>
      </c>
      <c r="I11">
        <f>'Total electricity generation'!I11/SUM('Total electricity generation'!I$3:I$73)</f>
        <v>8.6729857178504056E-5</v>
      </c>
      <c r="J11">
        <f>'Total electricity generation'!J11/SUM('Total electricity generation'!J$3:J$73)</f>
        <v>8.2444215530471887E-5</v>
      </c>
      <c r="K11">
        <f>'Total electricity generation'!K11/SUM('Total electricity generation'!K$3:K$73)</f>
        <v>7.0625501673474635E-5</v>
      </c>
      <c r="L11">
        <f>'Total electricity generation'!L11/SUM('Total electricity generation'!L$3:L$73)</f>
        <v>8.3296017907960322E-5</v>
      </c>
      <c r="M11">
        <f>'Total electricity generation'!M11/SUM('Total electricity generation'!M$3:M$73)</f>
        <v>7.7624846910525475E-5</v>
      </c>
      <c r="N11">
        <f>'Total electricity generation'!N11/SUM('Total electricity generation'!N$3:N$73)</f>
        <v>7.6772929622578057E-5</v>
      </c>
      <c r="O11">
        <f>'Total electricity generation'!O11/SUM('Total electricity generation'!O$3:O$73)</f>
        <v>7.130269591184798E-5</v>
      </c>
      <c r="P11">
        <f>'Total electricity generation'!P11/SUM('Total electricity generation'!P$3:P$73)</f>
        <v>6.6476145728783524E-5</v>
      </c>
      <c r="Q11">
        <f>'Total electricity generation'!Q11/SUM('Total electricity generation'!Q$3:Q$73)</f>
        <v>6.2384889450220254E-5</v>
      </c>
      <c r="R11">
        <f>'Total electricity generation'!R11/SUM('Total electricity generation'!R$3:R$73)</f>
        <v>6.3384228351258626E-5</v>
      </c>
      <c r="S11">
        <f>'Total electricity generation'!S11/SUM('Total electricity generation'!S$3:S$73)</f>
        <v>6.4741355580543819E-5</v>
      </c>
      <c r="T11">
        <f>'Total electricity generation'!T11/SUM('Total electricity generation'!T$3:T$73)</f>
        <v>6.6103431852876742E-5</v>
      </c>
      <c r="U11">
        <f>'Total electricity generation'!U11/SUM('Total electricity generation'!U$3:U$73)</f>
        <v>6.7626463658894948E-5</v>
      </c>
      <c r="V11">
        <f>'Total electricity generation'!V11/SUM('Total electricity generation'!V$3:V$73)</f>
        <v>6.9246087561682887E-5</v>
      </c>
      <c r="W11">
        <f>'Total electricity generation'!W11/SUM('Total electricity generation'!W$3:W$73)</f>
        <v>6.9148174858918533E-5</v>
      </c>
      <c r="X11">
        <f>'Total electricity generation'!X11/SUM('Total electricity generation'!X$3:X$73)</f>
        <v>6.9179854119856923E-5</v>
      </c>
      <c r="Y11">
        <f>'Total electricity generation'!Y11/SUM('Total electricity generation'!Y$3:Y$73)</f>
        <v>6.9382618252623529E-5</v>
      </c>
      <c r="Z11">
        <f>'Total electricity generation'!Z11/SUM('Total electricity generation'!Z$3:Z$73)</f>
        <v>6.9749022228061161E-5</v>
      </c>
      <c r="AA11">
        <f>'Total electricity generation'!AA11/SUM('Total electricity generation'!AA$3:AA$73)</f>
        <v>7.0329828879961111E-5</v>
      </c>
      <c r="AB11">
        <f>'Total electricity generation'!AB11/SUM('Total electricity generation'!AB$3:AB$73)</f>
        <v>7.0113199407628482E-5</v>
      </c>
      <c r="AC11">
        <f>'Total electricity generation'!AC11/SUM('Total electricity generation'!AC$3:AC$73)</f>
        <v>7.0195994342348248E-5</v>
      </c>
      <c r="AD11">
        <f>'Total electricity generation'!AD11/SUM('Total electricity generation'!AD$3:AD$73)</f>
        <v>7.0596087473664664E-5</v>
      </c>
      <c r="AE11">
        <f>'Total electricity generation'!AE11/SUM('Total electricity generation'!AE$3:AE$73)</f>
        <v>7.1371639652107735E-5</v>
      </c>
      <c r="AF11">
        <f>'Total electricity generation'!AF11/SUM('Total electricity generation'!AF$3:AF$73)</f>
        <v>7.256505936055054E-5</v>
      </c>
      <c r="AG11">
        <f>'Total electricity generation'!AG11/SUM('Total electricity generation'!AG$3:AG$73)</f>
        <v>7.3384841296900418E-5</v>
      </c>
      <c r="AH11">
        <f>'Total electricity generation'!AH11/SUM('Total electricity generation'!AH$3:AH$73)</f>
        <v>7.475851600230911E-5</v>
      </c>
      <c r="AI11">
        <f>'Total electricity generation'!AI11/SUM('Total electricity generation'!AI$3:AI$73)</f>
        <v>7.667461155219615E-5</v>
      </c>
      <c r="AJ11">
        <f>'Total electricity generation'!AJ11/SUM('Total electricity generation'!AJ$3:AJ$73)</f>
        <v>7.9130866891252558E-5</v>
      </c>
      <c r="AK11">
        <f>'Total electricity generation'!AK11/SUM('Total electricity generation'!AK$3:AK$73)</f>
        <v>8.2095754235856624E-5</v>
      </c>
      <c r="AL11">
        <f>'Total electricity generation'!AL11/SUM('Total electricity generation'!AL$3:AL$73)</f>
        <v>8.5855206461352067E-5</v>
      </c>
      <c r="AM11">
        <f>'Total electricity generation'!AM11/SUM('Total electricity generation'!AM$3:AM$73)</f>
        <v>8.9862830782152018E-5</v>
      </c>
      <c r="AN11">
        <f>'Total electricity generation'!AN11/SUM('Total electricity generation'!AN$3:AN$73)</f>
        <v>9.4019621317600026E-5</v>
      </c>
      <c r="AO11">
        <f>'Total electricity generation'!AO11/SUM('Total electricity generation'!AO$3:AO$73)</f>
        <v>9.8148265218177724E-5</v>
      </c>
      <c r="AP11">
        <f>'Total electricity generation'!AP11/SUM('Total electricity generation'!AP$3:AP$73)</f>
        <v>1.0207078038963179E-4</v>
      </c>
    </row>
    <row r="12" spans="1:42" x14ac:dyDescent="0.3">
      <c r="A12" t="s">
        <v>87</v>
      </c>
      <c r="B12">
        <f>'Total electricity generation'!B12/SUM('Total electricity generation'!B$3:B$73)</f>
        <v>5.538522468286091E-3</v>
      </c>
      <c r="C12">
        <f>'Total electricity generation'!C12/SUM('Total electricity generation'!C$3:C$73)</f>
        <v>5.1206111906194809E-3</v>
      </c>
      <c r="D12">
        <f>'Total electricity generation'!D12/SUM('Total electricity generation'!D$3:D$73)</f>
        <v>4.5313956894680943E-3</v>
      </c>
      <c r="E12">
        <f>'Total electricity generation'!E12/SUM('Total electricity generation'!E$3:E$73)</f>
        <v>4.3327786070609083E-3</v>
      </c>
      <c r="F12">
        <f>'Total electricity generation'!F12/SUM('Total electricity generation'!F$3:F$73)</f>
        <v>4.3000514293082938E-3</v>
      </c>
      <c r="G12">
        <f>'Total electricity generation'!G12/SUM('Total electricity generation'!G$3:G$73)</f>
        <v>4.4787033792743269E-3</v>
      </c>
      <c r="H12">
        <f>'Total electricity generation'!H12/SUM('Total electricity generation'!H$3:H$73)</f>
        <v>4.5533961734142989E-3</v>
      </c>
      <c r="I12">
        <f>'Total electricity generation'!I12/SUM('Total electricity generation'!I$3:I$73)</f>
        <v>4.4868302833035723E-3</v>
      </c>
      <c r="J12">
        <f>'Total electricity generation'!J12/SUM('Total electricity generation'!J$3:J$73)</f>
        <v>4.2655458960268412E-3</v>
      </c>
      <c r="K12">
        <f>'Total electricity generation'!K12/SUM('Total electricity generation'!K$3:K$73)</f>
        <v>4.472833683695181E-3</v>
      </c>
      <c r="L12">
        <f>'Total electricity generation'!L12/SUM('Total electricity generation'!L$3:L$73)</f>
        <v>4.5721538172805521E-3</v>
      </c>
      <c r="M12">
        <f>'Total electricity generation'!M12/SUM('Total electricity generation'!M$3:M$73)</f>
        <v>4.2641254088595995E-3</v>
      </c>
      <c r="N12">
        <f>'Total electricity generation'!N12/SUM('Total electricity generation'!N$3:N$73)</f>
        <v>4.1538152195537076E-3</v>
      </c>
      <c r="O12">
        <f>'Total electricity generation'!O12/SUM('Total electricity generation'!O$3:O$73)</f>
        <v>4.1409573929051414E-3</v>
      </c>
      <c r="P12">
        <f>'Total electricity generation'!P12/SUM('Total electricity generation'!P$3:P$73)</f>
        <v>4.1246312131798472E-3</v>
      </c>
      <c r="Q12">
        <f>'Total electricity generation'!Q12/SUM('Total electricity generation'!Q$3:Q$73)</f>
        <v>4.1154742247729408E-3</v>
      </c>
      <c r="R12">
        <f>'Total electricity generation'!R12/SUM('Total electricity generation'!R$3:R$73)</f>
        <v>4.1186570503506199E-3</v>
      </c>
      <c r="S12">
        <f>'Total electricity generation'!S12/SUM('Total electricity generation'!S$3:S$73)</f>
        <v>4.1233936421429104E-3</v>
      </c>
      <c r="T12">
        <f>'Total electricity generation'!T12/SUM('Total electricity generation'!T$3:T$73)</f>
        <v>4.1292079601495963E-3</v>
      </c>
      <c r="U12">
        <f>'Total electricity generation'!U12/SUM('Total electricity generation'!U$3:U$73)</f>
        <v>4.137380159087628E-3</v>
      </c>
      <c r="V12">
        <f>'Total electricity generation'!V12/SUM('Total electricity generation'!V$3:V$73)</f>
        <v>4.1480971609399045E-3</v>
      </c>
      <c r="W12">
        <f>'Total electricity generation'!W12/SUM('Total electricity generation'!W$3:W$73)</f>
        <v>4.1327472863354449E-3</v>
      </c>
      <c r="X12">
        <f>'Total electricity generation'!X12/SUM('Total electricity generation'!X$3:X$73)</f>
        <v>4.1175520570192496E-3</v>
      </c>
      <c r="Y12">
        <f>'Total electricity generation'!Y12/SUM('Total electricity generation'!Y$3:Y$73)</f>
        <v>4.1012978122078395E-3</v>
      </c>
      <c r="Z12">
        <f>'Total electricity generation'!Z12/SUM('Total electricity generation'!Z$3:Z$73)</f>
        <v>4.0828363268594859E-3</v>
      </c>
      <c r="AA12">
        <f>'Total electricity generation'!AA12/SUM('Total electricity generation'!AA$3:AA$73)</f>
        <v>4.0620111648096199E-3</v>
      </c>
      <c r="AB12">
        <f>'Total electricity generation'!AB12/SUM('Total electricity generation'!AB$3:AB$73)</f>
        <v>4.0406087257634782E-3</v>
      </c>
      <c r="AC12">
        <f>'Total electricity generation'!AC12/SUM('Total electricity generation'!AC$3:AC$73)</f>
        <v>4.0160782237382469E-3</v>
      </c>
      <c r="AD12">
        <f>'Total electricity generation'!AD12/SUM('Total electricity generation'!AD$3:AD$73)</f>
        <v>3.9878936537447772E-3</v>
      </c>
      <c r="AE12">
        <f>'Total electricity generation'!AE12/SUM('Total electricity generation'!AE$3:AE$73)</f>
        <v>3.955996668663325E-3</v>
      </c>
      <c r="AF12">
        <f>'Total electricity generation'!AF12/SUM('Total electricity generation'!AF$3:AF$73)</f>
        <v>3.9210281945411471E-3</v>
      </c>
      <c r="AG12">
        <f>'Total electricity generation'!AG12/SUM('Total electricity generation'!AG$3:AG$73)</f>
        <v>3.8973375649900255E-3</v>
      </c>
      <c r="AH12">
        <f>'Total electricity generation'!AH12/SUM('Total electricity generation'!AH$3:AH$73)</f>
        <v>3.8705217762898779E-3</v>
      </c>
      <c r="AI12">
        <f>'Total electricity generation'!AI12/SUM('Total electricity generation'!AI$3:AI$73)</f>
        <v>3.8414119060248054E-3</v>
      </c>
      <c r="AJ12">
        <f>'Total electricity generation'!AJ12/SUM('Total electricity generation'!AJ$3:AJ$73)</f>
        <v>3.8100132976408951E-3</v>
      </c>
      <c r="AK12">
        <f>'Total electricity generation'!AK12/SUM('Total electricity generation'!AK$3:AK$73)</f>
        <v>3.7780435209971443E-3</v>
      </c>
      <c r="AL12">
        <f>'Total electricity generation'!AL12/SUM('Total electricity generation'!AL$3:AL$73)</f>
        <v>3.7752868820649594E-3</v>
      </c>
      <c r="AM12">
        <f>'Total electricity generation'!AM12/SUM('Total electricity generation'!AM$3:AM$73)</f>
        <v>3.7704529990072837E-3</v>
      </c>
      <c r="AN12">
        <f>'Total electricity generation'!AN12/SUM('Total electricity generation'!AN$3:AN$73)</f>
        <v>3.765647706551445E-3</v>
      </c>
      <c r="AO12">
        <f>'Total electricity generation'!AO12/SUM('Total electricity generation'!AO$3:AO$73)</f>
        <v>3.7616435791885203E-3</v>
      </c>
      <c r="AP12">
        <f>'Total electricity generation'!AP12/SUM('Total electricity generation'!AP$3:AP$73)</f>
        <v>3.7583338918937676E-3</v>
      </c>
    </row>
    <row r="13" spans="1:42" x14ac:dyDescent="0.3">
      <c r="A13" t="s">
        <v>88</v>
      </c>
      <c r="B13">
        <f>'Total electricity generation'!B13/SUM('Total electricity generation'!B$3:B$73)</f>
        <v>3.3063982121789596E-3</v>
      </c>
      <c r="C13">
        <f>'Total electricity generation'!C13/SUM('Total electricity generation'!C$3:C$73)</f>
        <v>2.9604574701714006E-3</v>
      </c>
      <c r="D13">
        <f>'Total electricity generation'!D13/SUM('Total electricity generation'!D$3:D$73)</f>
        <v>3.1909257802729654E-3</v>
      </c>
      <c r="E13">
        <f>'Total electricity generation'!E13/SUM('Total electricity generation'!E$3:E$73)</f>
        <v>2.9171733344543829E-3</v>
      </c>
      <c r="F13">
        <f>'Total electricity generation'!F13/SUM('Total electricity generation'!F$3:F$73)</f>
        <v>2.725724316414266E-3</v>
      </c>
      <c r="G13">
        <f>'Total electricity generation'!G13/SUM('Total electricity generation'!G$3:G$73)</f>
        <v>2.6863474239401776E-3</v>
      </c>
      <c r="H13">
        <f>'Total electricity generation'!H13/SUM('Total electricity generation'!H$3:H$73)</f>
        <v>2.7310822510778869E-3</v>
      </c>
      <c r="I13">
        <f>'Total electricity generation'!I13/SUM('Total electricity generation'!I$3:I$73)</f>
        <v>2.7671023559418411E-3</v>
      </c>
      <c r="J13">
        <f>'Total electricity generation'!J13/SUM('Total electricity generation'!J$3:J$73)</f>
        <v>2.5713088544797782E-3</v>
      </c>
      <c r="K13">
        <f>'Total electricity generation'!K13/SUM('Total electricity generation'!K$3:K$73)</f>
        <v>2.7467310699887133E-3</v>
      </c>
      <c r="L13">
        <f>'Total electricity generation'!L13/SUM('Total electricity generation'!L$3:L$73)</f>
        <v>2.7015891247040972E-3</v>
      </c>
      <c r="M13">
        <f>'Total electricity generation'!M13/SUM('Total electricity generation'!M$3:M$73)</f>
        <v>2.4805898429906292E-3</v>
      </c>
      <c r="N13">
        <f>'Total electricity generation'!N13/SUM('Total electricity generation'!N$3:N$73)</f>
        <v>2.3718655222559012E-3</v>
      </c>
      <c r="O13">
        <f>'Total electricity generation'!O13/SUM('Total electricity generation'!O$3:O$73)</f>
        <v>2.327165736042107E-3</v>
      </c>
      <c r="P13">
        <f>'Total electricity generation'!P13/SUM('Total electricity generation'!P$3:P$73)</f>
        <v>2.2910760075286469E-3</v>
      </c>
      <c r="Q13">
        <f>'Total electricity generation'!Q13/SUM('Total electricity generation'!Q$3:Q$73)</f>
        <v>2.25871890775375E-3</v>
      </c>
      <c r="R13">
        <f>'Total electricity generation'!R13/SUM('Total electricity generation'!R$3:R$73)</f>
        <v>2.2318039073133088E-3</v>
      </c>
      <c r="S13">
        <f>'Total electricity generation'!S13/SUM('Total electricity generation'!S$3:S$73)</f>
        <v>2.2054701105813238E-3</v>
      </c>
      <c r="T13">
        <f>'Total electricity generation'!T13/SUM('Total electricity generation'!T$3:T$73)</f>
        <v>2.180072687288218E-3</v>
      </c>
      <c r="U13">
        <f>'Total electricity generation'!U13/SUM('Total electricity generation'!U$3:U$73)</f>
        <v>2.1562589135492747E-3</v>
      </c>
      <c r="V13">
        <f>'Total electricity generation'!V13/SUM('Total electricity generation'!V$3:V$73)</f>
        <v>2.1350878465404089E-3</v>
      </c>
      <c r="W13">
        <f>'Total electricity generation'!W13/SUM('Total electricity generation'!W$3:W$73)</f>
        <v>2.1125693418148086E-3</v>
      </c>
      <c r="X13">
        <f>'Total electricity generation'!X13/SUM('Total electricity generation'!X$3:X$73)</f>
        <v>2.0917568516534918E-3</v>
      </c>
      <c r="Y13">
        <f>'Total electricity generation'!Y13/SUM('Total electricity generation'!Y$3:Y$73)</f>
        <v>2.0727150324832263E-3</v>
      </c>
      <c r="Z13">
        <f>'Total electricity generation'!Z13/SUM('Total electricity generation'!Z$3:Z$73)</f>
        <v>2.05510849422407E-3</v>
      </c>
      <c r="AA13">
        <f>'Total electricity generation'!AA13/SUM('Total electricity generation'!AA$3:AA$73)</f>
        <v>2.0383444091710222E-3</v>
      </c>
      <c r="AB13">
        <f>'Total electricity generation'!AB13/SUM('Total electricity generation'!AB$3:AB$73)</f>
        <v>2.032777153664718E-3</v>
      </c>
      <c r="AC13">
        <f>'Total electricity generation'!AC13/SUM('Total electricity generation'!AC$3:AC$73)</f>
        <v>2.0265970220881236E-3</v>
      </c>
      <c r="AD13">
        <f>'Total electricity generation'!AD13/SUM('Total electricity generation'!AD$3:AD$73)</f>
        <v>2.019151821815654E-3</v>
      </c>
      <c r="AE13">
        <f>'Total electricity generation'!AE13/SUM('Total electricity generation'!AE$3:AE$73)</f>
        <v>2.0099381338650056E-3</v>
      </c>
      <c r="AF13">
        <f>'Total electricity generation'!AF13/SUM('Total electricity generation'!AF$3:AF$73)</f>
        <v>1.9996067571716575E-3</v>
      </c>
      <c r="AG13">
        <f>'Total electricity generation'!AG13/SUM('Total electricity generation'!AG$3:AG$73)</f>
        <v>1.9893108863595632E-3</v>
      </c>
      <c r="AH13">
        <f>'Total electricity generation'!AH13/SUM('Total electricity generation'!AH$3:AH$73)</f>
        <v>1.9767484076565938E-3</v>
      </c>
      <c r="AI13">
        <f>'Total electricity generation'!AI13/SUM('Total electricity generation'!AI$3:AI$73)</f>
        <v>1.9601399882213958E-3</v>
      </c>
      <c r="AJ13">
        <f>'Total electricity generation'!AJ13/SUM('Total electricity generation'!AJ$3:AJ$73)</f>
        <v>1.9412287483177855E-3</v>
      </c>
      <c r="AK13">
        <f>'Total electricity generation'!AK13/SUM('Total electricity generation'!AK$3:AK$73)</f>
        <v>1.9211013065336493E-3</v>
      </c>
      <c r="AL13">
        <f>'Total electricity generation'!AL13/SUM('Total electricity generation'!AL$3:AL$73)</f>
        <v>1.898028741702722E-3</v>
      </c>
      <c r="AM13">
        <f>'Total electricity generation'!AM13/SUM('Total electricity generation'!AM$3:AM$73)</f>
        <v>1.8732484268533273E-3</v>
      </c>
      <c r="AN13">
        <f>'Total electricity generation'!AN13/SUM('Total electricity generation'!AN$3:AN$73)</f>
        <v>1.8478856840173901E-3</v>
      </c>
      <c r="AO13">
        <f>'Total electricity generation'!AO13/SUM('Total electricity generation'!AO$3:AO$73)</f>
        <v>1.822328507539768E-3</v>
      </c>
      <c r="AP13">
        <f>'Total electricity generation'!AP13/SUM('Total electricity generation'!AP$3:AP$73)</f>
        <v>1.7964621120372492E-3</v>
      </c>
    </row>
    <row r="14" spans="1:42" x14ac:dyDescent="0.3">
      <c r="A14" t="s">
        <v>89</v>
      </c>
      <c r="B14">
        <f>'Total electricity generation'!B14/SUM('Total electricity generation'!B$3:B$73)</f>
        <v>2.5148916940906513E-3</v>
      </c>
      <c r="C14">
        <f>'Total electricity generation'!C14/SUM('Total electricity generation'!C$3:C$73)</f>
        <v>2.3601494924082498E-3</v>
      </c>
      <c r="D14">
        <f>'Total electricity generation'!D14/SUM('Total electricity generation'!D$3:D$73)</f>
        <v>2.0488464991392659E-3</v>
      </c>
      <c r="E14">
        <f>'Total electricity generation'!E14/SUM('Total electricity generation'!E$3:E$73)</f>
        <v>2.2054210366868822E-3</v>
      </c>
      <c r="F14">
        <f>'Total electricity generation'!F14/SUM('Total electricity generation'!F$3:F$73)</f>
        <v>2.1996019092564026E-3</v>
      </c>
      <c r="G14">
        <f>'Total electricity generation'!G14/SUM('Total electricity generation'!G$3:G$73)</f>
        <v>2.1566451254261881E-3</v>
      </c>
      <c r="H14">
        <f>'Total electricity generation'!H14/SUM('Total electricity generation'!H$3:H$73)</f>
        <v>2.4125848198519859E-3</v>
      </c>
      <c r="I14">
        <f>'Total electricity generation'!I14/SUM('Total electricity generation'!I$3:I$73)</f>
        <v>2.3061174936902591E-3</v>
      </c>
      <c r="J14">
        <f>'Total electricity generation'!J14/SUM('Total electricity generation'!J$3:J$73)</f>
        <v>2.235162978504319E-3</v>
      </c>
      <c r="K14">
        <f>'Total electricity generation'!K14/SUM('Total electricity generation'!K$3:K$73)</f>
        <v>1.9670869316384932E-3</v>
      </c>
      <c r="L14">
        <f>'Total electricity generation'!L14/SUM('Total electricity generation'!L$3:L$73)</f>
        <v>1.9773681331627792E-3</v>
      </c>
      <c r="M14">
        <f>'Total electricity generation'!M14/SUM('Total electricity generation'!M$3:M$73)</f>
        <v>1.7886675447801126E-3</v>
      </c>
      <c r="N14">
        <f>'Total electricity generation'!N14/SUM('Total electricity generation'!N$3:N$73)</f>
        <v>1.6740185144547598E-3</v>
      </c>
      <c r="O14">
        <f>'Total electricity generation'!O14/SUM('Total electricity generation'!O$3:O$73)</f>
        <v>1.6609787605810738E-3</v>
      </c>
      <c r="P14">
        <f>'Total electricity generation'!P14/SUM('Total electricity generation'!P$3:P$73)</f>
        <v>1.6511441397635176E-3</v>
      </c>
      <c r="Q14">
        <f>'Total electricity generation'!Q14/SUM('Total electricity generation'!Q$3:Q$73)</f>
        <v>1.6423623636199394E-3</v>
      </c>
      <c r="R14">
        <f>'Total electricity generation'!R14/SUM('Total electricity generation'!R$3:R$73)</f>
        <v>1.6137484282490644E-3</v>
      </c>
      <c r="S14">
        <f>'Total electricity generation'!S14/SUM('Total electricity generation'!S$3:S$73)</f>
        <v>1.5840657608199239E-3</v>
      </c>
      <c r="T14">
        <f>'Total electricity generation'!T14/SUM('Total electricity generation'!T$3:T$73)</f>
        <v>1.5543035032026791E-3</v>
      </c>
      <c r="U14">
        <f>'Total electricity generation'!U14/SUM('Total electricity generation'!U$3:U$73)</f>
        <v>1.5249430298363679E-3</v>
      </c>
      <c r="V14">
        <f>'Total electricity generation'!V14/SUM('Total electricity generation'!V$3:V$73)</f>
        <v>1.4970286449461476E-3</v>
      </c>
      <c r="W14">
        <f>'Total electricity generation'!W14/SUM('Total electricity generation'!W$3:W$73)</f>
        <v>1.4895710359766341E-3</v>
      </c>
      <c r="X14">
        <f>'Total electricity generation'!X14/SUM('Total electricity generation'!X$3:X$73)</f>
        <v>1.482373274185227E-3</v>
      </c>
      <c r="Y14">
        <f>'Total electricity generation'!Y14/SUM('Total electricity generation'!Y$3:Y$73)</f>
        <v>1.4753863685474334E-3</v>
      </c>
      <c r="Z14">
        <f>'Total electricity generation'!Z14/SUM('Total electricity generation'!Z$3:Z$73)</f>
        <v>1.4689429681783062E-3</v>
      </c>
      <c r="AA14">
        <f>'Total electricity generation'!AA14/SUM('Total electricity generation'!AA$3:AA$73)</f>
        <v>1.4622103912045987E-3</v>
      </c>
      <c r="AB14">
        <f>'Total electricity generation'!AB14/SUM('Total electricity generation'!AB$3:AB$73)</f>
        <v>1.4523725018069182E-3</v>
      </c>
      <c r="AC14">
        <f>'Total electricity generation'!AC14/SUM('Total electricity generation'!AC$3:AC$73)</f>
        <v>1.442050045779476E-3</v>
      </c>
      <c r="AD14">
        <f>'Total electricity generation'!AD14/SUM('Total electricity generation'!AD$3:AD$73)</f>
        <v>1.4307290123836305E-3</v>
      </c>
      <c r="AE14">
        <f>'Total electricity generation'!AE14/SUM('Total electricity generation'!AE$3:AE$73)</f>
        <v>1.4184409597902202E-3</v>
      </c>
      <c r="AF14">
        <f>'Total electricity generation'!AF14/SUM('Total electricity generation'!AF$3:AF$73)</f>
        <v>1.404509563050764E-3</v>
      </c>
      <c r="AG14">
        <f>'Total electricity generation'!AG14/SUM('Total electricity generation'!AG$3:AG$73)</f>
        <v>1.3938802167493154E-3</v>
      </c>
      <c r="AH14">
        <f>'Total electricity generation'!AH14/SUM('Total electricity generation'!AH$3:AH$73)</f>
        <v>1.3818496195727521E-3</v>
      </c>
      <c r="AI14">
        <f>'Total electricity generation'!AI14/SUM('Total electricity generation'!AI$3:AI$73)</f>
        <v>1.3684732645922377E-3</v>
      </c>
      <c r="AJ14">
        <f>'Total electricity generation'!AJ14/SUM('Total electricity generation'!AJ$3:AJ$73)</f>
        <v>1.3538954385717236E-3</v>
      </c>
      <c r="AK14">
        <f>'Total electricity generation'!AK14/SUM('Total electricity generation'!AK$3:AK$73)</f>
        <v>1.3384174381042963E-3</v>
      </c>
      <c r="AL14">
        <f>'Total electricity generation'!AL14/SUM('Total electricity generation'!AL$3:AL$73)</f>
        <v>1.315579596200939E-3</v>
      </c>
      <c r="AM14">
        <f>'Total electricity generation'!AM14/SUM('Total electricity generation'!AM$3:AM$73)</f>
        <v>1.2917604332332159E-3</v>
      </c>
      <c r="AN14">
        <f>'Total electricity generation'!AN14/SUM('Total electricity generation'!AN$3:AN$73)</f>
        <v>1.2676376000459694E-3</v>
      </c>
      <c r="AO14">
        <f>'Total electricity generation'!AO14/SUM('Total electricity generation'!AO$3:AO$73)</f>
        <v>1.2437190575708993E-3</v>
      </c>
      <c r="AP14">
        <f>'Total electricity generation'!AP14/SUM('Total electricity generation'!AP$3:AP$73)</f>
        <v>1.2200056996485309E-3</v>
      </c>
    </row>
    <row r="15" spans="1:42" x14ac:dyDescent="0.3">
      <c r="A15" t="s">
        <v>90</v>
      </c>
      <c r="B15">
        <f>'Total electricity generation'!B15/SUM('Total electricity generation'!B$3:B$73)</f>
        <v>3.7367683292975499E-3</v>
      </c>
      <c r="C15">
        <f>'Total electricity generation'!C15/SUM('Total electricity generation'!C$3:C$73)</f>
        <v>3.2933608056396149E-3</v>
      </c>
      <c r="D15">
        <f>'Total electricity generation'!D15/SUM('Total electricity generation'!D$3:D$73)</f>
        <v>3.0810343336996346E-3</v>
      </c>
      <c r="E15">
        <f>'Total electricity generation'!E15/SUM('Total electricity generation'!E$3:E$73)</f>
        <v>3.0292357332996878E-3</v>
      </c>
      <c r="F15">
        <f>'Total electricity generation'!F15/SUM('Total electricity generation'!F$3:F$73)</f>
        <v>2.8248172379748159E-3</v>
      </c>
      <c r="G15">
        <f>'Total electricity generation'!G15/SUM('Total electricity generation'!G$3:G$73)</f>
        <v>2.8125268094460606E-3</v>
      </c>
      <c r="H15">
        <f>'Total electricity generation'!H15/SUM('Total electricity generation'!H$3:H$73)</f>
        <v>2.7390121052275913E-3</v>
      </c>
      <c r="I15">
        <f>'Total electricity generation'!I15/SUM('Total electricity generation'!I$3:I$73)</f>
        <v>2.6045673118928899E-3</v>
      </c>
      <c r="J15">
        <f>'Total electricity generation'!J15/SUM('Total electricity generation'!J$3:J$73)</f>
        <v>2.6229189462200282E-3</v>
      </c>
      <c r="K15">
        <f>'Total electricity generation'!K15/SUM('Total electricity generation'!K$3:K$73)</f>
        <v>2.5307861562892122E-3</v>
      </c>
      <c r="L15">
        <f>'Total electricity generation'!L15/SUM('Total electricity generation'!L$3:L$73)</f>
        <v>2.5735864298750319E-3</v>
      </c>
      <c r="M15">
        <f>'Total electricity generation'!M15/SUM('Total electricity generation'!M$3:M$73)</f>
        <v>2.5230904504128702E-3</v>
      </c>
      <c r="N15">
        <f>'Total electricity generation'!N15/SUM('Total electricity generation'!N$3:N$73)</f>
        <v>2.4676884760526539E-3</v>
      </c>
      <c r="O15">
        <f>'Total electricity generation'!O15/SUM('Total electricity generation'!O$3:O$73)</f>
        <v>2.4089446761352651E-3</v>
      </c>
      <c r="P15">
        <f>'Total electricity generation'!P15/SUM('Total electricity generation'!P$3:P$73)</f>
        <v>2.3665067710182714E-3</v>
      </c>
      <c r="Q15">
        <f>'Total electricity generation'!Q15/SUM('Total electricity generation'!Q$3:Q$73)</f>
        <v>2.3288500894114161E-3</v>
      </c>
      <c r="R15">
        <f>'Total electricity generation'!R15/SUM('Total electricity generation'!R$3:R$73)</f>
        <v>2.2898423046013149E-3</v>
      </c>
      <c r="S15">
        <f>'Total electricity generation'!S15/SUM('Total electricity generation'!S$3:S$73)</f>
        <v>2.2534523477142836E-3</v>
      </c>
      <c r="T15">
        <f>'Total electricity generation'!T15/SUM('Total electricity generation'!T$3:T$73)</f>
        <v>2.2190581076539941E-3</v>
      </c>
      <c r="U15">
        <f>'Total electricity generation'!U15/SUM('Total electricity generation'!U$3:U$73)</f>
        <v>2.1878775563709185E-3</v>
      </c>
      <c r="V15">
        <f>'Total electricity generation'!V15/SUM('Total electricity generation'!V$3:V$73)</f>
        <v>2.1589965850942732E-3</v>
      </c>
      <c r="W15">
        <f>'Total electricity generation'!W15/SUM('Total electricity generation'!W$3:W$73)</f>
        <v>2.1122540666364729E-3</v>
      </c>
      <c r="X15">
        <f>'Total electricity generation'!X15/SUM('Total electricity generation'!X$3:X$73)</f>
        <v>2.0660244724680522E-3</v>
      </c>
      <c r="Y15">
        <f>'Total electricity generation'!Y15/SUM('Total electricity generation'!Y$3:Y$73)</f>
        <v>2.0211252627909699E-3</v>
      </c>
      <c r="Z15">
        <f>'Total electricity generation'!Z15/SUM('Total electricity generation'!Z$3:Z$73)</f>
        <v>1.9776681709601099E-3</v>
      </c>
      <c r="AA15">
        <f>'Total electricity generation'!AA15/SUM('Total electricity generation'!AA$3:AA$73)</f>
        <v>1.934398435740417E-3</v>
      </c>
      <c r="AB15">
        <f>'Total electricity generation'!AB15/SUM('Total electricity generation'!AB$3:AB$73)</f>
        <v>1.9146593082161993E-3</v>
      </c>
      <c r="AC15">
        <f>'Total electricity generation'!AC15/SUM('Total electricity generation'!AC$3:AC$73)</f>
        <v>1.8948554052981386E-3</v>
      </c>
      <c r="AD15">
        <f>'Total electricity generation'!AD15/SUM('Total electricity generation'!AD$3:AD$73)</f>
        <v>1.8746389614957394E-3</v>
      </c>
      <c r="AE15">
        <f>'Total electricity generation'!AE15/SUM('Total electricity generation'!AE$3:AE$73)</f>
        <v>1.8539848703966215E-3</v>
      </c>
      <c r="AF15">
        <f>'Total electricity generation'!AF15/SUM('Total electricity generation'!AF$3:AF$73)</f>
        <v>1.832851500001153E-3</v>
      </c>
      <c r="AG15">
        <f>'Total electricity generation'!AG15/SUM('Total electricity generation'!AG$3:AG$73)</f>
        <v>1.8056725682544772E-3</v>
      </c>
      <c r="AH15">
        <f>'Total electricity generation'!AH15/SUM('Total electricity generation'!AH$3:AH$73)</f>
        <v>1.7783804683088218E-3</v>
      </c>
      <c r="AI15">
        <f>'Total electricity generation'!AI15/SUM('Total electricity generation'!AI$3:AI$73)</f>
        <v>1.7510550926157051E-3</v>
      </c>
      <c r="AJ15">
        <f>'Total electricity generation'!AJ15/SUM('Total electricity generation'!AJ$3:AJ$73)</f>
        <v>1.7236159210967422E-3</v>
      </c>
      <c r="AK15">
        <f>'Total electricity generation'!AK15/SUM('Total electricity generation'!AK$3:AK$73)</f>
        <v>1.6966560561213716E-3</v>
      </c>
      <c r="AL15">
        <f>'Total electricity generation'!AL15/SUM('Total electricity generation'!AL$3:AL$73)</f>
        <v>1.678774989876214E-3</v>
      </c>
      <c r="AM15">
        <f>'Total electricity generation'!AM15/SUM('Total electricity generation'!AM$3:AM$73)</f>
        <v>1.6607628838529774E-3</v>
      </c>
      <c r="AN15">
        <f>'Total electricity generation'!AN15/SUM('Total electricity generation'!AN$3:AN$73)</f>
        <v>1.643162356280387E-3</v>
      </c>
      <c r="AO15">
        <f>'Total electricity generation'!AO15/SUM('Total electricity generation'!AO$3:AO$73)</f>
        <v>1.6262062714141169E-3</v>
      </c>
      <c r="AP15">
        <f>'Total electricity generation'!AP15/SUM('Total electricity generation'!AP$3:AP$73)</f>
        <v>1.6095088601894643E-3</v>
      </c>
    </row>
    <row r="16" spans="1:42" x14ac:dyDescent="0.3">
      <c r="A16" t="s">
        <v>91</v>
      </c>
      <c r="B16">
        <f>'Total electricity generation'!B16/SUM('Total electricity generation'!B$3:B$73)</f>
        <v>6.9070186618780628E-3</v>
      </c>
      <c r="C16">
        <f>'Total electricity generation'!C16/SUM('Total electricity generation'!C$3:C$73)</f>
        <v>6.7668191960796467E-3</v>
      </c>
      <c r="D16">
        <f>'Total electricity generation'!D16/SUM('Total electricity generation'!D$3:D$73)</f>
        <v>7.3215225654189465E-3</v>
      </c>
      <c r="E16">
        <f>'Total electricity generation'!E16/SUM('Total electricity generation'!E$3:E$73)</f>
        <v>6.5378063612926574E-3</v>
      </c>
      <c r="F16">
        <f>'Total electricity generation'!F16/SUM('Total electricity generation'!F$3:F$73)</f>
        <v>6.401852269704425E-3</v>
      </c>
      <c r="G16">
        <f>'Total electricity generation'!G16/SUM('Total electricity generation'!G$3:G$73)</f>
        <v>6.6706427925730168E-3</v>
      </c>
      <c r="H16">
        <f>'Total electricity generation'!H16/SUM('Total electricity generation'!H$3:H$73)</f>
        <v>6.2389585728514262E-3</v>
      </c>
      <c r="I16">
        <f>'Total electricity generation'!I16/SUM('Total electricity generation'!I$3:I$73)</f>
        <v>6.3733610357567094E-3</v>
      </c>
      <c r="J16">
        <f>'Total electricity generation'!J16/SUM('Total electricity generation'!J$3:J$73)</f>
        <v>6.1242391824999805E-3</v>
      </c>
      <c r="K16">
        <f>'Total electricity generation'!K16/SUM('Total electricity generation'!K$3:K$73)</f>
        <v>6.2334556730931443E-3</v>
      </c>
      <c r="L16">
        <f>'Total electricity generation'!L16/SUM('Total electricity generation'!L$3:L$73)</f>
        <v>6.1010351901218621E-3</v>
      </c>
      <c r="M16">
        <f>'Total electricity generation'!M16/SUM('Total electricity generation'!M$3:M$73)</f>
        <v>6.0247638418069304E-3</v>
      </c>
      <c r="N16">
        <f>'Total electricity generation'!N16/SUM('Total electricity generation'!N$3:N$73)</f>
        <v>5.9341291553948929E-3</v>
      </c>
      <c r="O16">
        <f>'Total electricity generation'!O16/SUM('Total electricity generation'!O$3:O$73)</f>
        <v>5.7685611439194477E-3</v>
      </c>
      <c r="P16">
        <f>'Total electricity generation'!P16/SUM('Total electricity generation'!P$3:P$73)</f>
        <v>5.6411667065732985E-3</v>
      </c>
      <c r="Q16">
        <f>'Total electricity generation'!Q16/SUM('Total electricity generation'!Q$3:Q$73)</f>
        <v>5.5219628358391237E-3</v>
      </c>
      <c r="R16">
        <f>'Total electricity generation'!R16/SUM('Total electricity generation'!R$3:R$73)</f>
        <v>5.4378127325579659E-3</v>
      </c>
      <c r="S16">
        <f>'Total electricity generation'!S16/SUM('Total electricity generation'!S$3:S$73)</f>
        <v>5.3555559869569247E-3</v>
      </c>
      <c r="T16">
        <f>'Total electricity generation'!T16/SUM('Total electricity generation'!T$3:T$73)</f>
        <v>5.2753851446712277E-3</v>
      </c>
      <c r="U16">
        <f>'Total electricity generation'!U16/SUM('Total electricity generation'!U$3:U$73)</f>
        <v>5.1968124291273121E-3</v>
      </c>
      <c r="V16">
        <f>'Total electricity generation'!V16/SUM('Total electricity generation'!V$3:V$73)</f>
        <v>5.1214699652085104E-3</v>
      </c>
      <c r="W16">
        <f>'Total electricity generation'!W16/SUM('Total electricity generation'!W$3:W$73)</f>
        <v>5.0445197692973887E-3</v>
      </c>
      <c r="X16">
        <f>'Total electricity generation'!X16/SUM('Total electricity generation'!X$3:X$73)</f>
        <v>4.9678249161629554E-3</v>
      </c>
      <c r="Y16">
        <f>'Total electricity generation'!Y16/SUM('Total electricity generation'!Y$3:Y$73)</f>
        <v>4.8909889281248779E-3</v>
      </c>
      <c r="Z16">
        <f>'Total electricity generation'!Z16/SUM('Total electricity generation'!Z$3:Z$73)</f>
        <v>4.813527560104394E-3</v>
      </c>
      <c r="AA16">
        <f>'Total electricity generation'!AA16/SUM('Total electricity generation'!AA$3:AA$73)</f>
        <v>4.7349409439891915E-3</v>
      </c>
      <c r="AB16">
        <f>'Total electricity generation'!AB16/SUM('Total electricity generation'!AB$3:AB$73)</f>
        <v>4.6674997806463786E-3</v>
      </c>
      <c r="AC16">
        <f>'Total electricity generation'!AC16/SUM('Total electricity generation'!AC$3:AC$73)</f>
        <v>4.5988641315945177E-3</v>
      </c>
      <c r="AD16">
        <f>'Total electricity generation'!AD16/SUM('Total electricity generation'!AD$3:AD$73)</f>
        <v>4.5290753157684032E-3</v>
      </c>
      <c r="AE16">
        <f>'Total electricity generation'!AE16/SUM('Total electricity generation'!AE$3:AE$73)</f>
        <v>4.4580951632013808E-3</v>
      </c>
      <c r="AF16">
        <f>'Total electricity generation'!AF16/SUM('Total electricity generation'!AF$3:AF$73)</f>
        <v>4.38588309001619E-3</v>
      </c>
      <c r="AG16">
        <f>'Total electricity generation'!AG16/SUM('Total electricity generation'!AG$3:AG$73)</f>
        <v>4.3148389203046039E-3</v>
      </c>
      <c r="AH16">
        <f>'Total electricity generation'!AH16/SUM('Total electricity generation'!AH$3:AH$73)</f>
        <v>4.2438176182505042E-3</v>
      </c>
      <c r="AI16">
        <f>'Total electricity generation'!AI16/SUM('Total electricity generation'!AI$3:AI$73)</f>
        <v>4.1726956117678514E-3</v>
      </c>
      <c r="AJ16">
        <f>'Total electricity generation'!AJ16/SUM('Total electricity generation'!AJ$3:AJ$73)</f>
        <v>4.1012579184316073E-3</v>
      </c>
      <c r="AK16">
        <f>'Total electricity generation'!AK16/SUM('Total electricity generation'!AK$3:AK$73)</f>
        <v>4.0310206343272441E-3</v>
      </c>
      <c r="AL16">
        <f>'Total electricity generation'!AL16/SUM('Total electricity generation'!AL$3:AL$73)</f>
        <v>3.9616407540751727E-3</v>
      </c>
      <c r="AM16">
        <f>'Total electricity generation'!AM16/SUM('Total electricity generation'!AM$3:AM$73)</f>
        <v>3.8926390004005587E-3</v>
      </c>
      <c r="AN16">
        <f>'Total electricity generation'!AN16/SUM('Total electricity generation'!AN$3:AN$73)</f>
        <v>3.8250508223627759E-3</v>
      </c>
      <c r="AO16">
        <f>'Total electricity generation'!AO16/SUM('Total electricity generation'!AO$3:AO$73)</f>
        <v>3.7593628566892552E-3</v>
      </c>
      <c r="AP16">
        <f>'Total electricity generation'!AP16/SUM('Total electricity generation'!AP$3:AP$73)</f>
        <v>3.6950065943137668E-3</v>
      </c>
    </row>
    <row r="17" spans="1:42" x14ac:dyDescent="0.3">
      <c r="A17" t="s">
        <v>92</v>
      </c>
      <c r="B17">
        <f>'Total electricity generation'!B17/SUM('Total electricity generation'!B$3:B$73)</f>
        <v>1.7798560446862934E-2</v>
      </c>
      <c r="C17">
        <f>'Total electricity generation'!C17/SUM('Total electricity generation'!C$3:C$73)</f>
        <v>1.6554492444465458E-2</v>
      </c>
      <c r="D17">
        <f>'Total electricity generation'!D17/SUM('Total electricity generation'!D$3:D$73)</f>
        <v>1.6002700962418362E-2</v>
      </c>
      <c r="E17">
        <f>'Total electricity generation'!E17/SUM('Total electricity generation'!E$3:E$73)</f>
        <v>1.5289485505389441E-2</v>
      </c>
      <c r="F17">
        <f>'Total electricity generation'!F17/SUM('Total electricity generation'!F$3:F$73)</f>
        <v>1.4069641366261983E-2</v>
      </c>
      <c r="G17">
        <f>'Total electricity generation'!G17/SUM('Total electricity generation'!G$3:G$73)</f>
        <v>1.390957980376928E-2</v>
      </c>
      <c r="H17">
        <f>'Total electricity generation'!H17/SUM('Total electricity generation'!H$3:H$73)</f>
        <v>1.3486767923410817E-2</v>
      </c>
      <c r="I17">
        <f>'Total electricity generation'!I17/SUM('Total electricity generation'!I$3:I$73)</f>
        <v>1.3093204615544101E-2</v>
      </c>
      <c r="J17">
        <f>'Total electricity generation'!J17/SUM('Total electricity generation'!J$3:J$73)</f>
        <v>1.2458701716481642E-2</v>
      </c>
      <c r="K17">
        <f>'Total electricity generation'!K17/SUM('Total electricity generation'!K$3:K$73)</f>
        <v>1.1965972046418756E-2</v>
      </c>
      <c r="L17">
        <f>'Total electricity generation'!L17/SUM('Total electricity generation'!L$3:L$73)</f>
        <v>1.1567480390013752E-2</v>
      </c>
      <c r="M17">
        <f>'Total electricity generation'!M17/SUM('Total electricity generation'!M$3:M$73)</f>
        <v>1.0798378188147623E-2</v>
      </c>
      <c r="N17">
        <f>'Total electricity generation'!N17/SUM('Total electricity generation'!N$3:N$73)</f>
        <v>1.1105359742684185E-2</v>
      </c>
      <c r="O17">
        <f>'Total electricity generation'!O17/SUM('Total electricity generation'!O$3:O$73)</f>
        <v>1.0948305739158915E-2</v>
      </c>
      <c r="P17">
        <f>'Total electricity generation'!P17/SUM('Total electricity generation'!P$3:P$73)</f>
        <v>1.0851314532792327E-2</v>
      </c>
      <c r="Q17">
        <f>'Total electricity generation'!Q17/SUM('Total electricity generation'!Q$3:Q$73)</f>
        <v>1.0764484731273895E-2</v>
      </c>
      <c r="R17">
        <f>'Total electricity generation'!R17/SUM('Total electricity generation'!R$3:R$73)</f>
        <v>1.0645546323560819E-2</v>
      </c>
      <c r="S17">
        <f>'Total electricity generation'!S17/SUM('Total electricity generation'!S$3:S$73)</f>
        <v>1.0535613833830474E-2</v>
      </c>
      <c r="T17">
        <f>'Total electricity generation'!T17/SUM('Total electricity generation'!T$3:T$73)</f>
        <v>1.0434432367435879E-2</v>
      </c>
      <c r="U17">
        <f>'Total electricity generation'!U17/SUM('Total electricity generation'!U$3:U$73)</f>
        <v>1.0341177560246863E-2</v>
      </c>
      <c r="V17">
        <f>'Total electricity generation'!V17/SUM('Total electricity generation'!V$3:V$73)</f>
        <v>1.0260823255697072E-2</v>
      </c>
      <c r="W17">
        <f>'Total electricity generation'!W17/SUM('Total electricity generation'!W$3:W$73)</f>
        <v>1.0228662085428136E-2</v>
      </c>
      <c r="X17">
        <f>'Total electricity generation'!X17/SUM('Total electricity generation'!X$3:X$73)</f>
        <v>1.0204407680204098E-2</v>
      </c>
      <c r="Y17">
        <f>'Total electricity generation'!Y17/SUM('Total electricity generation'!Y$3:Y$73)</f>
        <v>1.0186258421234958E-2</v>
      </c>
      <c r="Z17">
        <f>'Total electricity generation'!Z17/SUM('Total electricity generation'!Z$3:Z$73)</f>
        <v>1.0171250131378273E-2</v>
      </c>
      <c r="AA17">
        <f>'Total electricity generation'!AA17/SUM('Total electricity generation'!AA$3:AA$73)</f>
        <v>1.0155763490084126E-2</v>
      </c>
      <c r="AB17">
        <f>'Total electricity generation'!AB17/SUM('Total electricity generation'!AB$3:AB$73)</f>
        <v>1.0141765384498553E-2</v>
      </c>
      <c r="AC17">
        <f>'Total electricity generation'!AC17/SUM('Total electricity generation'!AC$3:AC$73)</f>
        <v>1.0121535045102893E-2</v>
      </c>
      <c r="AD17">
        <f>'Total electricity generation'!AD17/SUM('Total electricity generation'!AD$3:AD$73)</f>
        <v>1.0091333071557788E-2</v>
      </c>
      <c r="AE17">
        <f>'Total electricity generation'!AE17/SUM('Total electricity generation'!AE$3:AE$73)</f>
        <v>1.0047911432442581E-2</v>
      </c>
      <c r="AF17">
        <f>'Total electricity generation'!AF17/SUM('Total electricity generation'!AF$3:AF$73)</f>
        <v>9.9930935833746244E-3</v>
      </c>
      <c r="AG17">
        <f>'Total electricity generation'!AG17/SUM('Total electricity generation'!AG$3:AG$73)</f>
        <v>9.9462993076875044E-3</v>
      </c>
      <c r="AH17">
        <f>'Total electricity generation'!AH17/SUM('Total electricity generation'!AH$3:AH$73)</f>
        <v>9.8890946828770858E-3</v>
      </c>
      <c r="AI17">
        <f>'Total electricity generation'!AI17/SUM('Total electricity generation'!AI$3:AI$73)</f>
        <v>9.822422252195484E-3</v>
      </c>
      <c r="AJ17">
        <f>'Total electricity generation'!AJ17/SUM('Total electricity generation'!AJ$3:AJ$73)</f>
        <v>9.7469451320101701E-3</v>
      </c>
      <c r="AK17">
        <f>'Total electricity generation'!AK17/SUM('Total electricity generation'!AK$3:AK$73)</f>
        <v>9.6675039413992442E-3</v>
      </c>
      <c r="AL17">
        <f>'Total electricity generation'!AL17/SUM('Total electricity generation'!AL$3:AL$73)</f>
        <v>9.6259483790751624E-3</v>
      </c>
      <c r="AM17">
        <f>'Total electricity generation'!AM17/SUM('Total electricity generation'!AM$3:AM$73)</f>
        <v>9.5809182802461118E-3</v>
      </c>
      <c r="AN17">
        <f>'Total electricity generation'!AN17/SUM('Total electricity generation'!AN$3:AN$73)</f>
        <v>9.5341556954716029E-3</v>
      </c>
      <c r="AO17">
        <f>'Total electricity generation'!AO17/SUM('Total electricity generation'!AO$3:AO$73)</f>
        <v>9.4877776189289959E-3</v>
      </c>
      <c r="AP17">
        <f>'Total electricity generation'!AP17/SUM('Total electricity generation'!AP$3:AP$73)</f>
        <v>9.4423491632779164E-3</v>
      </c>
    </row>
    <row r="18" spans="1:42" x14ac:dyDescent="0.3">
      <c r="A18" t="s">
        <v>93</v>
      </c>
      <c r="B18">
        <f>'Total electricity generation'!B18/SUM('Total electricity generation'!B$3:B$73)</f>
        <v>3.9902744385458197E-3</v>
      </c>
      <c r="C18">
        <f>'Total electricity generation'!C18/SUM('Total electricity generation'!C$3:C$73)</f>
        <v>3.9318618573072782E-3</v>
      </c>
      <c r="D18">
        <f>'Total electricity generation'!D18/SUM('Total electricity generation'!D$3:D$73)</f>
        <v>3.8393796898643809E-3</v>
      </c>
      <c r="E18">
        <f>'Total electricity generation'!E18/SUM('Total electricity generation'!E$3:E$73)</f>
        <v>3.7066294088048081E-3</v>
      </c>
      <c r="F18">
        <f>'Total electricity generation'!F18/SUM('Total electricity generation'!F$3:F$73)</f>
        <v>3.5853702465127109E-3</v>
      </c>
      <c r="G18">
        <f>'Total electricity generation'!G18/SUM('Total electricity generation'!G$3:G$73)</f>
        <v>3.4487188841746405E-3</v>
      </c>
      <c r="H18">
        <f>'Total electricity generation'!H18/SUM('Total electricity generation'!H$3:H$73)</f>
        <v>3.327739144659243E-3</v>
      </c>
      <c r="I18">
        <f>'Total electricity generation'!I18/SUM('Total electricity generation'!I$3:I$73)</f>
        <v>3.374011382045653E-3</v>
      </c>
      <c r="J18">
        <f>'Total electricity generation'!J18/SUM('Total electricity generation'!J$3:J$73)</f>
        <v>3.2949779058699278E-3</v>
      </c>
      <c r="K18">
        <f>'Total electricity generation'!K18/SUM('Total electricity generation'!K$3:K$73)</f>
        <v>3.2163355672001769E-3</v>
      </c>
      <c r="L18">
        <f>'Total electricity generation'!L18/SUM('Total electricity generation'!L$3:L$73)</f>
        <v>3.031545508744073E-3</v>
      </c>
      <c r="M18">
        <f>'Total electricity generation'!M18/SUM('Total electricity generation'!M$3:M$73)</f>
        <v>2.9764022756713425E-3</v>
      </c>
      <c r="N18">
        <f>'Total electricity generation'!N18/SUM('Total electricity generation'!N$3:N$73)</f>
        <v>2.9030849041966392E-3</v>
      </c>
      <c r="O18">
        <f>'Total electricity generation'!O18/SUM('Total electricity generation'!O$3:O$73)</f>
        <v>2.8433790643239121E-3</v>
      </c>
      <c r="P18">
        <f>'Total electricity generation'!P18/SUM('Total electricity generation'!P$3:P$73)</f>
        <v>2.8016616555804666E-3</v>
      </c>
      <c r="Q18">
        <f>'Total electricity generation'!Q18/SUM('Total electricity generation'!Q$3:Q$73)</f>
        <v>2.7606658861177207E-3</v>
      </c>
      <c r="R18">
        <f>'Total electricity generation'!R18/SUM('Total electricity generation'!R$3:R$73)</f>
        <v>2.7459540102606067E-3</v>
      </c>
      <c r="S18">
        <f>'Total electricity generation'!S18/SUM('Total electricity generation'!S$3:S$73)</f>
        <v>2.7314247523360135E-3</v>
      </c>
      <c r="T18">
        <f>'Total electricity generation'!T18/SUM('Total electricity generation'!T$3:T$73)</f>
        <v>2.7170319040731579E-3</v>
      </c>
      <c r="U18">
        <f>'Total electricity generation'!U18/SUM('Total electricity generation'!U$3:U$73)</f>
        <v>2.7034993977782451E-3</v>
      </c>
      <c r="V18">
        <f>'Total electricity generation'!V18/SUM('Total electricity generation'!V$3:V$73)</f>
        <v>2.691914639343949E-3</v>
      </c>
      <c r="W18">
        <f>'Total electricity generation'!W18/SUM('Total electricity generation'!W$3:W$73)</f>
        <v>2.6566398221643177E-3</v>
      </c>
      <c r="X18">
        <f>'Total electricity generation'!X18/SUM('Total electricity generation'!X$3:X$73)</f>
        <v>2.6212690439971656E-3</v>
      </c>
      <c r="Y18">
        <f>'Total electricity generation'!Y18/SUM('Total electricity generation'!Y$3:Y$73)</f>
        <v>2.5859937567786493E-3</v>
      </c>
      <c r="Z18">
        <f>'Total electricity generation'!Z18/SUM('Total electricity generation'!Z$3:Z$73)</f>
        <v>2.550534186144125E-3</v>
      </c>
      <c r="AA18">
        <f>'Total electricity generation'!AA18/SUM('Total electricity generation'!AA$3:AA$73)</f>
        <v>2.5155206884349764E-3</v>
      </c>
      <c r="AB18">
        <f>'Total electricity generation'!AB18/SUM('Total electricity generation'!AB$3:AB$73)</f>
        <v>2.4846058453439368E-3</v>
      </c>
      <c r="AC18">
        <f>'Total electricity generation'!AC18/SUM('Total electricity generation'!AC$3:AC$73)</f>
        <v>2.4538636843840227E-3</v>
      </c>
      <c r="AD18">
        <f>'Total electricity generation'!AD18/SUM('Total electricity generation'!AD$3:AD$73)</f>
        <v>2.4234033550844958E-3</v>
      </c>
      <c r="AE18">
        <f>'Total electricity generation'!AE18/SUM('Total electricity generation'!AE$3:AE$73)</f>
        <v>2.3930940190519507E-3</v>
      </c>
      <c r="AF18">
        <f>'Total electricity generation'!AF18/SUM('Total electricity generation'!AF$3:AF$73)</f>
        <v>2.364008756736318E-3</v>
      </c>
      <c r="AG18">
        <f>'Total electricity generation'!AG18/SUM('Total electricity generation'!AG$3:AG$73)</f>
        <v>2.3363782805374878E-3</v>
      </c>
      <c r="AH18">
        <f>'Total electricity generation'!AH18/SUM('Total electricity generation'!AH$3:AH$73)</f>
        <v>2.3095965019925111E-3</v>
      </c>
      <c r="AI18">
        <f>'Total electricity generation'!AI18/SUM('Total electricity generation'!AI$3:AI$73)</f>
        <v>2.2836154772436904E-3</v>
      </c>
      <c r="AJ18">
        <f>'Total electricity generation'!AJ18/SUM('Total electricity generation'!AJ$3:AJ$73)</f>
        <v>2.2583905841088987E-3</v>
      </c>
      <c r="AK18">
        <f>'Total electricity generation'!AK18/SUM('Total electricity generation'!AK$3:AK$73)</f>
        <v>2.234499904672099E-3</v>
      </c>
      <c r="AL18">
        <f>'Total electricity generation'!AL18/SUM('Total electricity generation'!AL$3:AL$73)</f>
        <v>2.2098963551275396E-3</v>
      </c>
      <c r="AM18">
        <f>'Total electricity generation'!AM18/SUM('Total electricity generation'!AM$3:AM$73)</f>
        <v>2.1853873330053477E-3</v>
      </c>
      <c r="AN18">
        <f>'Total electricity generation'!AN18/SUM('Total electricity generation'!AN$3:AN$73)</f>
        <v>2.1615579030904238E-3</v>
      </c>
      <c r="AO18">
        <f>'Total electricity generation'!AO18/SUM('Total electricity generation'!AO$3:AO$73)</f>
        <v>2.1381137353932685E-3</v>
      </c>
      <c r="AP18">
        <f>'Total electricity generation'!AP18/SUM('Total electricity generation'!AP$3:AP$73)</f>
        <v>2.1147328556309192E-3</v>
      </c>
    </row>
    <row r="19" spans="1:42" x14ac:dyDescent="0.3">
      <c r="A19" t="s">
        <v>94</v>
      </c>
      <c r="B19">
        <f>'Total electricity generation'!B19/SUM('Total electricity generation'!B$3:B$73)</f>
        <v>6.027855638082452E-4</v>
      </c>
      <c r="C19">
        <f>'Total electricity generation'!C19/SUM('Total electricity generation'!C$3:C$73)</f>
        <v>5.8006449183906712E-4</v>
      </c>
      <c r="D19">
        <f>'Total electricity generation'!D19/SUM('Total electricity generation'!D$3:D$73)</f>
        <v>5.2603346846121564E-4</v>
      </c>
      <c r="E19">
        <f>'Total electricity generation'!E19/SUM('Total electricity generation'!E$3:E$73)</f>
        <v>5.6663713729502533E-4</v>
      </c>
      <c r="F19">
        <f>'Total electricity generation'!F19/SUM('Total electricity generation'!F$3:F$73)</f>
        <v>5.1851919349428467E-4</v>
      </c>
      <c r="G19">
        <f>'Total electricity generation'!G19/SUM('Total electricity generation'!G$3:G$73)</f>
        <v>4.1760700588887453E-4</v>
      </c>
      <c r="H19">
        <f>'Total electricity generation'!H19/SUM('Total electricity generation'!H$3:H$73)</f>
        <v>4.8668539159450898E-4</v>
      </c>
      <c r="I19">
        <f>'Total electricity generation'!I19/SUM('Total electricity generation'!I$3:I$73)</f>
        <v>5.1066280769141706E-4</v>
      </c>
      <c r="J19">
        <f>'Total electricity generation'!J19/SUM('Total electricity generation'!J$3:J$73)</f>
        <v>4.634096725662789E-4</v>
      </c>
      <c r="K19">
        <f>'Total electricity generation'!K19/SUM('Total electricity generation'!K$3:K$73)</f>
        <v>2.8183147694725461E-4</v>
      </c>
      <c r="L19">
        <f>'Total electricity generation'!L19/SUM('Total electricity generation'!L$3:L$73)</f>
        <v>2.2721115979515446E-4</v>
      </c>
      <c r="M19">
        <f>'Total electricity generation'!M19/SUM('Total electricity generation'!M$3:M$73)</f>
        <v>2.5335314112094007E-4</v>
      </c>
      <c r="N19">
        <f>'Total electricity generation'!N19/SUM('Total electricity generation'!N$3:N$73)</f>
        <v>3.0682269977413073E-4</v>
      </c>
      <c r="O19">
        <f>'Total electricity generation'!O19/SUM('Total electricity generation'!O$3:O$73)</f>
        <v>3.0166862781565558E-4</v>
      </c>
      <c r="P19">
        <f>'Total electricity generation'!P19/SUM('Total electricity generation'!P$3:P$73)</f>
        <v>2.9774597040038199E-4</v>
      </c>
      <c r="Q19">
        <f>'Total electricity generation'!Q19/SUM('Total electricity generation'!Q$3:Q$73)</f>
        <v>2.9423382715442208E-4</v>
      </c>
      <c r="R19">
        <f>'Total electricity generation'!R19/SUM('Total electricity generation'!R$3:R$73)</f>
        <v>2.9144033559258981E-4</v>
      </c>
      <c r="S19">
        <f>'Total electricity generation'!S19/SUM('Total electricity generation'!S$3:S$73)</f>
        <v>2.886345013069943E-4</v>
      </c>
      <c r="T19">
        <f>'Total electricity generation'!T19/SUM('Total electricity generation'!T$3:T$73)</f>
        <v>2.8570037230369314E-4</v>
      </c>
      <c r="U19">
        <f>'Total electricity generation'!U19/SUM('Total electricity generation'!U$3:U$73)</f>
        <v>2.8268515677148601E-4</v>
      </c>
      <c r="V19">
        <f>'Total electricity generation'!V19/SUM('Total electricity generation'!V$3:V$73)</f>
        <v>2.7977455537218709E-4</v>
      </c>
      <c r="W19">
        <f>'Total electricity generation'!W19/SUM('Total electricity generation'!W$3:W$73)</f>
        <v>2.7681683850861604E-4</v>
      </c>
      <c r="X19">
        <f>'Total electricity generation'!X19/SUM('Total electricity generation'!X$3:X$73)</f>
        <v>2.7382023078400874E-4</v>
      </c>
      <c r="Y19">
        <f>'Total electricity generation'!Y19/SUM('Total electricity generation'!Y$3:Y$73)</f>
        <v>2.7077533736119373E-4</v>
      </c>
      <c r="Z19">
        <f>'Total electricity generation'!Z19/SUM('Total electricity generation'!Z$3:Z$73)</f>
        <v>2.6770421994686889E-4</v>
      </c>
      <c r="AA19">
        <f>'Total electricity generation'!AA19/SUM('Total electricity generation'!AA$3:AA$73)</f>
        <v>2.6471223964305395E-4</v>
      </c>
      <c r="AB19">
        <f>'Total electricity generation'!AB19/SUM('Total electricity generation'!AB$3:AB$73)</f>
        <v>2.6220019832839329E-4</v>
      </c>
      <c r="AC19">
        <f>'Total electricity generation'!AC19/SUM('Total electricity generation'!AC$3:AC$73)</f>
        <v>2.5970658001804169E-4</v>
      </c>
      <c r="AD19">
        <f>'Total electricity generation'!AD19/SUM('Total electricity generation'!AD$3:AD$73)</f>
        <v>2.5722797749090913E-4</v>
      </c>
      <c r="AE19">
        <f>'Total electricity generation'!AE19/SUM('Total electricity generation'!AE$3:AE$73)</f>
        <v>2.5481034092891179E-4</v>
      </c>
      <c r="AF19">
        <f>'Total electricity generation'!AF19/SUM('Total electricity generation'!AF$3:AF$73)</f>
        <v>2.5244822710262865E-4</v>
      </c>
      <c r="AG19">
        <f>'Total electricity generation'!AG19/SUM('Total electricity generation'!AG$3:AG$73)</f>
        <v>2.5038841482176292E-4</v>
      </c>
      <c r="AH19">
        <f>'Total electricity generation'!AH19/SUM('Total electricity generation'!AH$3:AH$73)</f>
        <v>2.4844530488082759E-4</v>
      </c>
      <c r="AI19">
        <f>'Total electricity generation'!AI19/SUM('Total electricity generation'!AI$3:AI$73)</f>
        <v>2.4656488454951215E-4</v>
      </c>
      <c r="AJ19">
        <f>'Total electricity generation'!AJ19/SUM('Total electricity generation'!AJ$3:AJ$73)</f>
        <v>2.4473303015426989E-4</v>
      </c>
      <c r="AK19">
        <f>'Total electricity generation'!AK19/SUM('Total electricity generation'!AK$3:AK$73)</f>
        <v>2.4300441861272245E-4</v>
      </c>
      <c r="AL19">
        <f>'Total electricity generation'!AL19/SUM('Total electricity generation'!AL$3:AL$73)</f>
        <v>2.4143347497839816E-4</v>
      </c>
      <c r="AM19">
        <f>'Total electricity generation'!AM19/SUM('Total electricity generation'!AM$3:AM$73)</f>
        <v>2.4002807601287442E-4</v>
      </c>
      <c r="AN19">
        <f>'Total electricity generation'!AN19/SUM('Total electricity generation'!AN$3:AN$73)</f>
        <v>2.3855973274848578E-4</v>
      </c>
      <c r="AO19">
        <f>'Total electricity generation'!AO19/SUM('Total electricity generation'!AO$3:AO$73)</f>
        <v>2.3703602250481364E-4</v>
      </c>
      <c r="AP19">
        <f>'Total electricity generation'!AP19/SUM('Total electricity generation'!AP$3:AP$73)</f>
        <v>2.3534397912527654E-4</v>
      </c>
    </row>
    <row r="20" spans="1:42" x14ac:dyDescent="0.3">
      <c r="A20" t="s">
        <v>95</v>
      </c>
      <c r="B20">
        <f>'Total electricity generation'!B20/SUM('Total electricity generation'!B$3:B$73)</f>
        <v>2.4746188670811561E-4</v>
      </c>
      <c r="C20">
        <f>'Total electricity generation'!C20/SUM('Total electricity generation'!C$3:C$73)</f>
        <v>2.2178601404629247E-4</v>
      </c>
      <c r="D20">
        <f>'Total electricity generation'!D20/SUM('Total electricity generation'!D$3:D$73)</f>
        <v>2.0734619950708857E-4</v>
      </c>
      <c r="E20">
        <f>'Total electricity generation'!E20/SUM('Total electricity generation'!E$3:E$73)</f>
        <v>1.8312282345616277E-4</v>
      </c>
      <c r="F20">
        <f>'Total electricity generation'!F20/SUM('Total electricity generation'!F$3:F$73)</f>
        <v>1.8124591355819347E-4</v>
      </c>
      <c r="G20">
        <f>'Total electricity generation'!G20/SUM('Total electricity generation'!G$3:G$73)</f>
        <v>1.8658758200848724E-4</v>
      </c>
      <c r="H20">
        <f>'Total electricity generation'!H20/SUM('Total electricity generation'!H$3:H$73)</f>
        <v>1.9546071232673452E-4</v>
      </c>
      <c r="I20">
        <f>'Total electricity generation'!I20/SUM('Total electricity generation'!I$3:I$73)</f>
        <v>1.9418340106564639E-4</v>
      </c>
      <c r="J20">
        <f>'Total electricity generation'!J20/SUM('Total electricity generation'!J$3:J$73)</f>
        <v>1.8967028110106622E-4</v>
      </c>
      <c r="K20">
        <f>'Total electricity generation'!K20/SUM('Total electricity generation'!K$3:K$73)</f>
        <v>1.9027217565656531E-4</v>
      </c>
      <c r="L20">
        <f>'Total electricity generation'!L20/SUM('Total electricity generation'!L$3:L$73)</f>
        <v>1.8068135736961432E-4</v>
      </c>
      <c r="M20">
        <f>'Total electricity generation'!M20/SUM('Total electricity generation'!M$3:M$73)</f>
        <v>1.7966867526422465E-4</v>
      </c>
      <c r="N20">
        <f>'Total electricity generation'!N20/SUM('Total electricity generation'!N$3:N$73)</f>
        <v>1.8069858647569824E-4</v>
      </c>
      <c r="O20">
        <f>'Total electricity generation'!O20/SUM('Total electricity generation'!O$3:O$73)</f>
        <v>1.8584331543492833E-4</v>
      </c>
      <c r="P20">
        <f>'Total electricity generation'!P20/SUM('Total electricity generation'!P$3:P$73)</f>
        <v>1.9214686378018459E-4</v>
      </c>
      <c r="Q20">
        <f>'Total electricity generation'!Q20/SUM('Total electricity generation'!Q$3:Q$73)</f>
        <v>1.9904239114831789E-4</v>
      </c>
      <c r="R20">
        <f>'Total electricity generation'!R20/SUM('Total electricity generation'!R$3:R$73)</f>
        <v>1.9795449275053395E-4</v>
      </c>
      <c r="S20">
        <f>'Total electricity generation'!S20/SUM('Total electricity generation'!S$3:S$73)</f>
        <v>1.9683161637868994E-4</v>
      </c>
      <c r="T20">
        <f>'Total electricity generation'!T20/SUM('Total electricity generation'!T$3:T$73)</f>
        <v>1.9558457787111912E-4</v>
      </c>
      <c r="U20">
        <f>'Total electricity generation'!U20/SUM('Total electricity generation'!U$3:U$73)</f>
        <v>1.9427159958118682E-4</v>
      </c>
      <c r="V20">
        <f>'Total electricity generation'!V20/SUM('Total electricity generation'!V$3:V$73)</f>
        <v>1.9299674329312873E-4</v>
      </c>
      <c r="W20">
        <f>'Total electricity generation'!W20/SUM('Total electricity generation'!W$3:W$73)</f>
        <v>1.9167370312585507E-4</v>
      </c>
      <c r="X20">
        <f>'Total electricity generation'!X20/SUM('Total electricity generation'!X$3:X$73)</f>
        <v>1.9036205024702807E-4</v>
      </c>
      <c r="Y20">
        <f>'Total electricity generation'!Y20/SUM('Total electricity generation'!Y$3:Y$73)</f>
        <v>1.8906190855105169E-4</v>
      </c>
      <c r="Z20">
        <f>'Total electricity generation'!Z20/SUM('Total electricity generation'!Z$3:Z$73)</f>
        <v>1.87846354319458E-4</v>
      </c>
      <c r="AA20">
        <f>'Total electricity generation'!AA20/SUM('Total electricity generation'!AA$3:AA$73)</f>
        <v>1.8682519789578109E-4</v>
      </c>
      <c r="AB20">
        <f>'Total electricity generation'!AB20/SUM('Total electricity generation'!AB$3:AB$73)</f>
        <v>1.8476332339890179E-4</v>
      </c>
      <c r="AC20">
        <f>'Total electricity generation'!AC20/SUM('Total electricity generation'!AC$3:AC$73)</f>
        <v>1.8268047785450594E-4</v>
      </c>
      <c r="AD20">
        <f>'Total electricity generation'!AD20/SUM('Total electricity generation'!AD$3:AD$73)</f>
        <v>1.805907370506934E-4</v>
      </c>
      <c r="AE20">
        <f>'Total electricity generation'!AE20/SUM('Total electricity generation'!AE$3:AE$73)</f>
        <v>1.7846043076192225E-4</v>
      </c>
      <c r="AF20">
        <f>'Total electricity generation'!AF20/SUM('Total electricity generation'!AF$3:AF$73)</f>
        <v>1.7631757051233567E-4</v>
      </c>
      <c r="AG20">
        <f>'Total electricity generation'!AG20/SUM('Total electricity generation'!AG$3:AG$73)</f>
        <v>1.7443795657700592E-4</v>
      </c>
      <c r="AH20">
        <f>'Total electricity generation'!AH20/SUM('Total electricity generation'!AH$3:AH$73)</f>
        <v>1.7258745692350387E-4</v>
      </c>
      <c r="AI20">
        <f>'Total electricity generation'!AI20/SUM('Total electricity generation'!AI$3:AI$73)</f>
        <v>1.7077461196282671E-4</v>
      </c>
      <c r="AJ20">
        <f>'Total electricity generation'!AJ20/SUM('Total electricity generation'!AJ$3:AJ$73)</f>
        <v>1.6902566901730068E-4</v>
      </c>
      <c r="AK20">
        <f>'Total electricity generation'!AK20/SUM('Total electricity generation'!AK$3:AK$73)</f>
        <v>1.6742498186019826E-4</v>
      </c>
      <c r="AL20">
        <f>'Total electricity generation'!AL20/SUM('Total electricity generation'!AL$3:AL$73)</f>
        <v>1.657944793030758E-4</v>
      </c>
      <c r="AM20">
        <f>'Total electricity generation'!AM20/SUM('Total electricity generation'!AM$3:AM$73)</f>
        <v>1.6435273605407177E-4</v>
      </c>
      <c r="AN20">
        <f>'Total electricity generation'!AN20/SUM('Total electricity generation'!AN$3:AN$73)</f>
        <v>1.6309969485479877E-4</v>
      </c>
      <c r="AO20">
        <f>'Total electricity generation'!AO20/SUM('Total electricity generation'!AO$3:AO$73)</f>
        <v>1.6207071156774843E-4</v>
      </c>
      <c r="AP20">
        <f>'Total electricity generation'!AP20/SUM('Total electricity generation'!AP$3:AP$73)</f>
        <v>1.612133930236187E-4</v>
      </c>
    </row>
    <row r="21" spans="1:42" x14ac:dyDescent="0.3">
      <c r="A21" t="s">
        <v>96</v>
      </c>
      <c r="B21">
        <f>'Total electricity generation'!B21/SUM('Total electricity generation'!B$3:B$73)</f>
        <v>3.0813482963261657E-4</v>
      </c>
      <c r="C21">
        <f>'Total electricity generation'!C21/SUM('Total electricity generation'!C$3:C$73)</f>
        <v>2.7416683195279621E-4</v>
      </c>
      <c r="D21">
        <f>'Total electricity generation'!D21/SUM('Total electricity generation'!D$3:D$73)</f>
        <v>2.7109308647100096E-4</v>
      </c>
      <c r="E21">
        <f>'Total electricity generation'!E21/SUM('Total electricity generation'!E$3:E$73)</f>
        <v>2.6503380075000934E-4</v>
      </c>
      <c r="F21">
        <f>'Total electricity generation'!F21/SUM('Total electricity generation'!F$3:F$73)</f>
        <v>2.1411726410125353E-4</v>
      </c>
      <c r="G21">
        <f>'Total electricity generation'!G21/SUM('Total electricity generation'!G$3:G$73)</f>
        <v>2.2770332429082051E-4</v>
      </c>
      <c r="H21">
        <f>'Total electricity generation'!H21/SUM('Total electricity generation'!H$3:H$73)</f>
        <v>2.5693278038821724E-4</v>
      </c>
      <c r="I21">
        <f>'Total electricity generation'!I21/SUM('Total electricity generation'!I$3:I$73)</f>
        <v>2.9223127260590243E-4</v>
      </c>
      <c r="J21">
        <f>'Total electricity generation'!J21/SUM('Total electricity generation'!J$3:J$73)</f>
        <v>2.5204861435029633E-4</v>
      </c>
      <c r="K21">
        <f>'Total electricity generation'!K21/SUM('Total electricity generation'!K$3:K$73)</f>
        <v>2.3826659431878743E-4</v>
      </c>
      <c r="L21">
        <f>'Total electricity generation'!L21/SUM('Total electricity generation'!L$3:L$73)</f>
        <v>2.1344110662945091E-4</v>
      </c>
      <c r="M21">
        <f>'Total electricity generation'!M21/SUM('Total electricity generation'!M$3:M$73)</f>
        <v>2.052249808012967E-4</v>
      </c>
      <c r="N21">
        <f>'Total electricity generation'!N21/SUM('Total electricity generation'!N$3:N$73)</f>
        <v>1.7146467887739624E-4</v>
      </c>
      <c r="O21">
        <f>'Total electricity generation'!O21/SUM('Total electricity generation'!O$3:O$73)</f>
        <v>2.1420183233557017E-4</v>
      </c>
      <c r="P21">
        <f>'Total electricity generation'!P21/SUM('Total electricity generation'!P$3:P$73)</f>
        <v>2.1074078990302057E-4</v>
      </c>
      <c r="Q21">
        <f>'Total electricity generation'!Q21/SUM('Total electricity generation'!Q$3:Q$73)</f>
        <v>2.0745041632591957E-4</v>
      </c>
      <c r="R21">
        <f>'Total electricity generation'!R21/SUM('Total electricity generation'!R$3:R$73)</f>
        <v>2.0377320402747458E-4</v>
      </c>
      <c r="S21">
        <f>'Total electricity generation'!S21/SUM('Total electricity generation'!S$3:S$73)</f>
        <v>2.0011002560740642E-4</v>
      </c>
      <c r="T21">
        <f>'Total electricity generation'!T21/SUM('Total electricity generation'!T$3:T$73)</f>
        <v>1.9648234938686335E-4</v>
      </c>
      <c r="U21">
        <f>'Total electricity generation'!U21/SUM('Total electricity generation'!U$3:U$73)</f>
        <v>1.9289484712434868E-4</v>
      </c>
      <c r="V21">
        <f>'Total electricity generation'!V21/SUM('Total electricity generation'!V$3:V$73)</f>
        <v>1.8939715941201804E-4</v>
      </c>
      <c r="W21">
        <f>'Total electricity generation'!W21/SUM('Total electricity generation'!W$3:W$73)</f>
        <v>1.8838124567880512E-4</v>
      </c>
      <c r="X21">
        <f>'Total electricity generation'!X21/SUM('Total electricity generation'!X$3:X$73)</f>
        <v>1.8729765295227887E-4</v>
      </c>
      <c r="Y21">
        <f>'Total electricity generation'!Y21/SUM('Total electricity generation'!Y$3:Y$73)</f>
        <v>1.8616352849751508E-4</v>
      </c>
      <c r="Z21">
        <f>'Total electricity generation'!Z21/SUM('Total electricity generation'!Z$3:Z$73)</f>
        <v>1.8503577078006662E-4</v>
      </c>
      <c r="AA21">
        <f>'Total electricity generation'!AA21/SUM('Total electricity generation'!AA$3:AA$73)</f>
        <v>1.8387404109879396E-4</v>
      </c>
      <c r="AB21">
        <f>'Total electricity generation'!AB21/SUM('Total electricity generation'!AB$3:AB$73)</f>
        <v>1.8212237587460466E-4</v>
      </c>
      <c r="AC21">
        <f>'Total electricity generation'!AC21/SUM('Total electricity generation'!AC$3:AC$73)</f>
        <v>1.8038288748189302E-4</v>
      </c>
      <c r="AD21">
        <f>'Total electricity generation'!AD21/SUM('Total electricity generation'!AD$3:AD$73)</f>
        <v>1.7864919444920022E-4</v>
      </c>
      <c r="AE21">
        <f>'Total electricity generation'!AE21/SUM('Total electricity generation'!AE$3:AE$73)</f>
        <v>1.7694390955562371E-4</v>
      </c>
      <c r="AF21">
        <f>'Total electricity generation'!AF21/SUM('Total electricity generation'!AF$3:AF$73)</f>
        <v>1.7527549809258117E-4</v>
      </c>
      <c r="AG21">
        <f>'Total electricity generation'!AG21/SUM('Total electricity generation'!AG$3:AG$73)</f>
        <v>1.7310814380415229E-4</v>
      </c>
      <c r="AH21">
        <f>'Total electricity generation'!AH21/SUM('Total electricity generation'!AH$3:AH$73)</f>
        <v>1.7105405367498892E-4</v>
      </c>
      <c r="AI21">
        <f>'Total electricity generation'!AI21/SUM('Total electricity generation'!AI$3:AI$73)</f>
        <v>1.6910422301945384E-4</v>
      </c>
      <c r="AJ21">
        <f>'Total electricity generation'!AJ21/SUM('Total electricity generation'!AJ$3:AJ$73)</f>
        <v>1.6724667926076761E-4</v>
      </c>
      <c r="AK21">
        <f>'Total electricity generation'!AK21/SUM('Total electricity generation'!AK$3:AK$73)</f>
        <v>1.6554995584801816E-4</v>
      </c>
      <c r="AL21">
        <f>'Total electricity generation'!AL21/SUM('Total electricity generation'!AL$3:AL$73)</f>
        <v>1.6326911872340043E-4</v>
      </c>
      <c r="AM21">
        <f>'Total electricity generation'!AM21/SUM('Total electricity generation'!AM$3:AM$73)</f>
        <v>1.6121205616625235E-4</v>
      </c>
      <c r="AN21">
        <f>'Total electricity generation'!AN21/SUM('Total electricity generation'!AN$3:AN$73)</f>
        <v>1.5925278785758351E-4</v>
      </c>
      <c r="AO21">
        <f>'Total electricity generation'!AO21/SUM('Total electricity generation'!AO$3:AO$73)</f>
        <v>1.5737077866428306E-4</v>
      </c>
      <c r="AP21">
        <f>'Total electricity generation'!AP21/SUM('Total electricity generation'!AP$3:AP$73)</f>
        <v>1.554510750365355E-4</v>
      </c>
    </row>
    <row r="22" spans="1:42" x14ac:dyDescent="0.3">
      <c r="A22" t="s">
        <v>97</v>
      </c>
      <c r="B22">
        <f>'Total electricity generation'!B22/SUM('Total electricity generation'!B$3:B$73)</f>
        <v>2.5568634799302223E-4</v>
      </c>
      <c r="C22">
        <f>'Total electricity generation'!C22/SUM('Total electricity generation'!C$3:C$73)</f>
        <v>2.0538233190454833E-4</v>
      </c>
      <c r="D22">
        <f>'Total electricity generation'!D22/SUM('Total electricity generation'!D$3:D$73)</f>
        <v>2.1169693190517376E-4</v>
      </c>
      <c r="E22">
        <f>'Total electricity generation'!E22/SUM('Total electricity generation'!E$3:E$73)</f>
        <v>1.9314749877664703E-4</v>
      </c>
      <c r="F22">
        <f>'Total electricity generation'!F22/SUM('Total electricity generation'!F$3:F$73)</f>
        <v>1.7306192590191697E-4</v>
      </c>
      <c r="G22">
        <f>'Total electricity generation'!G22/SUM('Total electricity generation'!G$3:G$73)</f>
        <v>1.9208022042829234E-4</v>
      </c>
      <c r="H22">
        <f>'Total electricity generation'!H22/SUM('Total electricity generation'!H$3:H$73)</f>
        <v>1.5980336646405301E-4</v>
      </c>
      <c r="I22">
        <f>'Total electricity generation'!I22/SUM('Total electricity generation'!I$3:I$73)</f>
        <v>1.5276665082358701E-4</v>
      </c>
      <c r="J22">
        <f>'Total electricity generation'!J22/SUM('Total electricity generation'!J$3:J$73)</f>
        <v>1.2291205615110428E-4</v>
      </c>
      <c r="K22">
        <f>'Total electricity generation'!K22/SUM('Total electricity generation'!K$3:K$73)</f>
        <v>1.3872518796808909E-4</v>
      </c>
      <c r="L22">
        <f>'Total electricity generation'!L22/SUM('Total electricity generation'!L$3:L$73)</f>
        <v>1.9844688739351131E-4</v>
      </c>
      <c r="M22">
        <f>'Total electricity generation'!M22/SUM('Total electricity generation'!M$3:M$73)</f>
        <v>1.7194813780056493E-4</v>
      </c>
      <c r="N22">
        <f>'Total electricity generation'!N22/SUM('Total electricity generation'!N$3:N$73)</f>
        <v>1.6238076755967579E-4</v>
      </c>
      <c r="O22">
        <f>'Total electricity generation'!O22/SUM('Total electricity generation'!O$3:O$73)</f>
        <v>2.280548752947284E-4</v>
      </c>
      <c r="P22">
        <f>'Total electricity generation'!P22/SUM('Total electricity generation'!P$3:P$73)</f>
        <v>2.252214447815139E-4</v>
      </c>
      <c r="Q22">
        <f>'Total electricity generation'!Q22/SUM('Total electricity generation'!Q$3:Q$73)</f>
        <v>2.2306798436784412E-4</v>
      </c>
      <c r="R22">
        <f>'Total electricity generation'!R22/SUM('Total electricity generation'!R$3:R$73)</f>
        <v>2.1596221323734623E-4</v>
      </c>
      <c r="S22">
        <f>'Total electricity generation'!S22/SUM('Total electricity generation'!S$3:S$73)</f>
        <v>2.0894038290819616E-4</v>
      </c>
      <c r="T22">
        <f>'Total electricity generation'!T22/SUM('Total electricity generation'!T$3:T$73)</f>
        <v>2.022082737720702E-4</v>
      </c>
      <c r="U22">
        <f>'Total electricity generation'!U22/SUM('Total electricity generation'!U$3:U$73)</f>
        <v>1.9561547690278333E-4</v>
      </c>
      <c r="V22">
        <f>'Total electricity generation'!V22/SUM('Total electricity generation'!V$3:V$73)</f>
        <v>1.8936952050132289E-4</v>
      </c>
      <c r="W22">
        <f>'Total electricity generation'!W22/SUM('Total electricity generation'!W$3:W$73)</f>
        <v>1.869600170690772E-4</v>
      </c>
      <c r="X22">
        <f>'Total electricity generation'!X22/SUM('Total electricity generation'!X$3:X$73)</f>
        <v>1.8461893921997477E-4</v>
      </c>
      <c r="Y22">
        <f>'Total electricity generation'!Y22/SUM('Total electricity generation'!Y$3:Y$73)</f>
        <v>1.8229324719059591E-4</v>
      </c>
      <c r="Z22">
        <f>'Total electricity generation'!Z22/SUM('Total electricity generation'!Z$3:Z$73)</f>
        <v>1.8003142298558757E-4</v>
      </c>
      <c r="AA22">
        <f>'Total electricity generation'!AA22/SUM('Total electricity generation'!AA$3:AA$73)</f>
        <v>1.7780378955886377E-4</v>
      </c>
      <c r="AB22">
        <f>'Total electricity generation'!AB22/SUM('Total electricity generation'!AB$3:AB$73)</f>
        <v>1.758276119887475E-4</v>
      </c>
      <c r="AC22">
        <f>'Total electricity generation'!AC22/SUM('Total electricity generation'!AC$3:AC$73)</f>
        <v>1.7389257100376712E-4</v>
      </c>
      <c r="AD22">
        <f>'Total electricity generation'!AD22/SUM('Total electricity generation'!AD$3:AD$73)</f>
        <v>1.7203230342372172E-4</v>
      </c>
      <c r="AE22">
        <f>'Total electricity generation'!AE22/SUM('Total electricity generation'!AE$3:AE$73)</f>
        <v>1.7023547778057967E-4</v>
      </c>
      <c r="AF22">
        <f>'Total electricity generation'!AF22/SUM('Total electricity generation'!AF$3:AF$73)</f>
        <v>1.6837397203389246E-4</v>
      </c>
      <c r="AG22">
        <f>'Total electricity generation'!AG22/SUM('Total electricity generation'!AG$3:AG$73)</f>
        <v>1.6828887045280285E-4</v>
      </c>
      <c r="AH22">
        <f>'Total electricity generation'!AH22/SUM('Total electricity generation'!AH$3:AH$73)</f>
        <v>1.6812778766591184E-4</v>
      </c>
      <c r="AI22">
        <f>'Total electricity generation'!AI22/SUM('Total electricity generation'!AI$3:AI$73)</f>
        <v>1.6789833252274321E-4</v>
      </c>
      <c r="AJ22">
        <f>'Total electricity generation'!AJ22/SUM('Total electricity generation'!AJ$3:AJ$73)</f>
        <v>1.6758337389817434E-4</v>
      </c>
      <c r="AK22">
        <f>'Total electricity generation'!AK22/SUM('Total electricity generation'!AK$3:AK$73)</f>
        <v>1.6722534064624777E-4</v>
      </c>
      <c r="AL22">
        <f>'Total electricity generation'!AL22/SUM('Total electricity generation'!AL$3:AL$73)</f>
        <v>1.661593929506989E-4</v>
      </c>
      <c r="AM22">
        <f>'Total electricity generation'!AM22/SUM('Total electricity generation'!AM$3:AM$73)</f>
        <v>1.6483896446150642E-4</v>
      </c>
      <c r="AN22">
        <f>'Total electricity generation'!AN22/SUM('Total electricity generation'!AN$3:AN$73)</f>
        <v>1.634620354226665E-4</v>
      </c>
      <c r="AO22">
        <f>'Total electricity generation'!AO22/SUM('Total electricity generation'!AO$3:AO$73)</f>
        <v>1.6205625747896092E-4</v>
      </c>
      <c r="AP22">
        <f>'Total electricity generation'!AP22/SUM('Total electricity generation'!AP$3:AP$73)</f>
        <v>1.6063118748968285E-4</v>
      </c>
    </row>
    <row r="23" spans="1:42" x14ac:dyDescent="0.3">
      <c r="A23" t="s">
        <v>98</v>
      </c>
      <c r="B23">
        <f>'Total electricity generation'!B23/SUM('Total electricity generation'!B$3:B$73)</f>
        <v>1.7376149465877853E-3</v>
      </c>
      <c r="C23">
        <f>'Total electricity generation'!C23/SUM('Total electricity generation'!C$3:C$73)</f>
        <v>1.6205457822765362E-3</v>
      </c>
      <c r="D23">
        <f>'Total electricity generation'!D23/SUM('Total electricity generation'!D$3:D$73)</f>
        <v>1.5224717660807668E-3</v>
      </c>
      <c r="E23">
        <f>'Total electricity generation'!E23/SUM('Total electricity generation'!E$3:E$73)</f>
        <v>1.2916712302856947E-3</v>
      </c>
      <c r="F23">
        <f>'Total electricity generation'!F23/SUM('Total electricity generation'!F$3:F$73)</f>
        <v>1.2226507229286105E-3</v>
      </c>
      <c r="G23">
        <f>'Total electricity generation'!G23/SUM('Total electricity generation'!G$3:G$73)</f>
        <v>1.2466454451828882E-3</v>
      </c>
      <c r="H23">
        <f>'Total electricity generation'!H23/SUM('Total electricity generation'!H$3:H$73)</f>
        <v>1.272662053260816E-3</v>
      </c>
      <c r="I23">
        <f>'Total electricity generation'!I23/SUM('Total electricity generation'!I$3:I$73)</f>
        <v>1.2740125594337902E-3</v>
      </c>
      <c r="J23">
        <f>'Total electricity generation'!J23/SUM('Total electricity generation'!J$3:J$73)</f>
        <v>1.196662843444672E-3</v>
      </c>
      <c r="K23">
        <f>'Total electricity generation'!K23/SUM('Total electricity generation'!K$3:K$73)</f>
        <v>1.2649060782023384E-3</v>
      </c>
      <c r="L23">
        <f>'Total electricity generation'!L23/SUM('Total electricity generation'!L$3:L$73)</f>
        <v>1.2953971615771319E-3</v>
      </c>
      <c r="M23">
        <f>'Total electricity generation'!M23/SUM('Total electricity generation'!M$3:M$73)</f>
        <v>1.2614671208174642E-3</v>
      </c>
      <c r="N23">
        <f>'Total electricity generation'!N23/SUM('Total electricity generation'!N$3:N$73)</f>
        <v>1.2233227430692034E-3</v>
      </c>
      <c r="O23">
        <f>'Total electricity generation'!O23/SUM('Total electricity generation'!O$3:O$73)</f>
        <v>1.223765837953535E-3</v>
      </c>
      <c r="P23">
        <f>'Total electricity generation'!P23/SUM('Total electricity generation'!P$3:P$73)</f>
        <v>1.2249926019313145E-3</v>
      </c>
      <c r="Q23">
        <f>'Total electricity generation'!Q23/SUM('Total electricity generation'!Q$3:Q$73)</f>
        <v>1.2290972788267472E-3</v>
      </c>
      <c r="R23">
        <f>'Total electricity generation'!R23/SUM('Total electricity generation'!R$3:R$73)</f>
        <v>1.2389662346918152E-3</v>
      </c>
      <c r="S23">
        <f>'Total electricity generation'!S23/SUM('Total electricity generation'!S$3:S$73)</f>
        <v>1.248463754520303E-3</v>
      </c>
      <c r="T23">
        <f>'Total electricity generation'!T23/SUM('Total electricity generation'!T$3:T$73)</f>
        <v>1.2586743662773199E-3</v>
      </c>
      <c r="U23">
        <f>'Total electricity generation'!U23/SUM('Total electricity generation'!U$3:U$73)</f>
        <v>1.2696055962955243E-3</v>
      </c>
      <c r="V23">
        <f>'Total electricity generation'!V23/SUM('Total electricity generation'!V$3:V$73)</f>
        <v>1.2816064687387577E-3</v>
      </c>
      <c r="W23">
        <f>'Total electricity generation'!W23/SUM('Total electricity generation'!W$3:W$73)</f>
        <v>1.2703775361041527E-3</v>
      </c>
      <c r="X23">
        <f>'Total electricity generation'!X23/SUM('Total electricity generation'!X$3:X$73)</f>
        <v>1.2598173714395476E-3</v>
      </c>
      <c r="Y23">
        <f>'Total electricity generation'!Y23/SUM('Total electricity generation'!Y$3:Y$73)</f>
        <v>1.249526304467016E-3</v>
      </c>
      <c r="Z23">
        <f>'Total electricity generation'!Z23/SUM('Total electricity generation'!Z$3:Z$73)</f>
        <v>1.2397787148736926E-3</v>
      </c>
      <c r="AA23">
        <f>'Total electricity generation'!AA23/SUM('Total electricity generation'!AA$3:AA$73)</f>
        <v>1.2305811585140802E-3</v>
      </c>
      <c r="AB23">
        <f>'Total electricity generation'!AB23/SUM('Total electricity generation'!AB$3:AB$73)</f>
        <v>1.2254259530337971E-3</v>
      </c>
      <c r="AC23">
        <f>'Total electricity generation'!AC23/SUM('Total electricity generation'!AC$3:AC$73)</f>
        <v>1.2219766424222081E-3</v>
      </c>
      <c r="AD23">
        <f>'Total electricity generation'!AD23/SUM('Total electricity generation'!AD$3:AD$73)</f>
        <v>1.2193649406972442E-3</v>
      </c>
      <c r="AE23">
        <f>'Total electricity generation'!AE23/SUM('Total electricity generation'!AE$3:AE$73)</f>
        <v>1.2160141600890994E-3</v>
      </c>
      <c r="AF23">
        <f>'Total electricity generation'!AF23/SUM('Total electricity generation'!AF$3:AF$73)</f>
        <v>1.2133032796639081E-3</v>
      </c>
      <c r="AG23">
        <f>'Total electricity generation'!AG23/SUM('Total electricity generation'!AG$3:AG$73)</f>
        <v>1.2145525711053627E-3</v>
      </c>
      <c r="AH23">
        <f>'Total electricity generation'!AH23/SUM('Total electricity generation'!AH$3:AH$73)</f>
        <v>1.2162836312296528E-3</v>
      </c>
      <c r="AI23">
        <f>'Total electricity generation'!AI23/SUM('Total electricity generation'!AI$3:AI$73)</f>
        <v>1.2185520375856155E-3</v>
      </c>
      <c r="AJ23">
        <f>'Total electricity generation'!AJ23/SUM('Total electricity generation'!AJ$3:AJ$73)</f>
        <v>1.221044522714381E-3</v>
      </c>
      <c r="AK23">
        <f>'Total electricity generation'!AK23/SUM('Total electricity generation'!AK$3:AK$73)</f>
        <v>1.223907266774043E-3</v>
      </c>
      <c r="AL23">
        <f>'Total electricity generation'!AL23/SUM('Total electricity generation'!AL$3:AL$73)</f>
        <v>1.2315578706794468E-3</v>
      </c>
      <c r="AM23">
        <f>'Total electricity generation'!AM23/SUM('Total electricity generation'!AM$3:AM$73)</f>
        <v>1.2387869742625842E-3</v>
      </c>
      <c r="AN23">
        <f>'Total electricity generation'!AN23/SUM('Total electricity generation'!AN$3:AN$73)</f>
        <v>1.2461806817036861E-3</v>
      </c>
      <c r="AO23">
        <f>'Total electricity generation'!AO23/SUM('Total electricity generation'!AO$3:AO$73)</f>
        <v>1.2537593980933453E-3</v>
      </c>
      <c r="AP23">
        <f>'Total electricity generation'!AP23/SUM('Total electricity generation'!AP$3:AP$73)</f>
        <v>1.2612825378267214E-3</v>
      </c>
    </row>
    <row r="24" spans="1:42" x14ac:dyDescent="0.3">
      <c r="A24" t="s">
        <v>99</v>
      </c>
      <c r="B24">
        <f>'Total electricity generation'!B24/SUM('Total electricity generation'!B$3:B$73)</f>
        <v>9.8294406193353155E-5</v>
      </c>
      <c r="C24">
        <f>'Total electricity generation'!C24/SUM('Total electricity generation'!C$3:C$73)</f>
        <v>9.8034633345018795E-5</v>
      </c>
      <c r="D24">
        <f>'Total electricity generation'!D24/SUM('Total electricity generation'!D$3:D$73)</f>
        <v>1.008373674814096E-4</v>
      </c>
      <c r="E24">
        <f>'Total electricity generation'!E24/SUM('Total electricity generation'!E$3:E$73)</f>
        <v>9.6082877291985076E-5</v>
      </c>
      <c r="F24">
        <f>'Total electricity generation'!F24/SUM('Total electricity generation'!F$3:F$73)</f>
        <v>9.3530097171353789E-5</v>
      </c>
      <c r="G24">
        <f>'Total electricity generation'!G24/SUM('Total electricity generation'!G$3:G$73)</f>
        <v>5.3698107724232481E-5</v>
      </c>
      <c r="H24">
        <f>'Total electricity generation'!H24/SUM('Total electricity generation'!H$3:H$73)</f>
        <v>3.4275502638257357E-5</v>
      </c>
      <c r="I24">
        <f>'Total electricity generation'!I24/SUM('Total electricity generation'!I$3:I$73)</f>
        <v>6.4093622800122656E-5</v>
      </c>
      <c r="J24">
        <f>'Total electricity generation'!J24/SUM('Total electricity generation'!J$3:J$73)</f>
        <v>7.355383666384677E-5</v>
      </c>
      <c r="K24">
        <f>'Total electricity generation'!K24/SUM('Total electricity generation'!K$3:K$73)</f>
        <v>7.6228506396958806E-5</v>
      </c>
      <c r="L24">
        <f>'Total electricity generation'!L24/SUM('Total electricity generation'!L$3:L$73)</f>
        <v>7.9850154404786282E-5</v>
      </c>
      <c r="M24">
        <f>'Total electricity generation'!M24/SUM('Total electricity generation'!M$3:M$73)</f>
        <v>7.7713676044654007E-5</v>
      </c>
      <c r="N24">
        <f>'Total electricity generation'!N24/SUM('Total electricity generation'!N$3:N$73)</f>
        <v>7.8646153799637419E-5</v>
      </c>
      <c r="O24">
        <f>'Total electricity generation'!O24/SUM('Total electricity generation'!O$3:O$73)</f>
        <v>8.3462627448958792E-5</v>
      </c>
      <c r="P24">
        <f>'Total electricity generation'!P24/SUM('Total electricity generation'!P$3:P$73)</f>
        <v>8.8613751869403678E-5</v>
      </c>
      <c r="Q24">
        <f>'Total electricity generation'!Q24/SUM('Total electricity generation'!Q$3:Q$73)</f>
        <v>9.5436626672217752E-5</v>
      </c>
      <c r="R24">
        <f>'Total electricity generation'!R24/SUM('Total electricity generation'!R$3:R$73)</f>
        <v>9.492310136184772E-5</v>
      </c>
      <c r="S24">
        <f>'Total electricity generation'!S24/SUM('Total electricity generation'!S$3:S$73)</f>
        <v>9.4425213255656994E-5</v>
      </c>
      <c r="T24">
        <f>'Total electricity generation'!T24/SUM('Total electricity generation'!T$3:T$73)</f>
        <v>9.3848188290100837E-5</v>
      </c>
      <c r="U24">
        <f>'Total electricity generation'!U24/SUM('Total electricity generation'!U$3:U$73)</f>
        <v>9.3227299610575343E-5</v>
      </c>
      <c r="V24">
        <f>'Total electricity generation'!V24/SUM('Total electricity generation'!V$3:V$73)</f>
        <v>9.2616426643266555E-5</v>
      </c>
      <c r="W24">
        <f>'Total electricity generation'!W24/SUM('Total electricity generation'!W$3:W$73)</f>
        <v>9.2180380883685663E-5</v>
      </c>
      <c r="X24">
        <f>'Total electricity generation'!X24/SUM('Total electricity generation'!X$3:X$73)</f>
        <v>9.1744589631810914E-5</v>
      </c>
      <c r="Y24">
        <f>'Total electricity generation'!Y24/SUM('Total electricity generation'!Y$3:Y$73)</f>
        <v>9.1290725712222658E-5</v>
      </c>
      <c r="Z24">
        <f>'Total electricity generation'!Z24/SUM('Total electricity generation'!Z$3:Z$73)</f>
        <v>9.083962794232657E-5</v>
      </c>
      <c r="AA24">
        <f>'Total electricity generation'!AA24/SUM('Total electricity generation'!AA$3:AA$73)</f>
        <v>9.031090980547451E-5</v>
      </c>
      <c r="AB24">
        <f>'Total electricity generation'!AB24/SUM('Total electricity generation'!AB$3:AB$73)</f>
        <v>8.8628053978120658E-5</v>
      </c>
      <c r="AC24">
        <f>'Total electricity generation'!AC24/SUM('Total electricity generation'!AC$3:AC$73)</f>
        <v>8.6999696131239511E-5</v>
      </c>
      <c r="AD24">
        <f>'Total electricity generation'!AD24/SUM('Total electricity generation'!AD$3:AD$73)</f>
        <v>8.5419520852167267E-5</v>
      </c>
      <c r="AE24">
        <f>'Total electricity generation'!AE24/SUM('Total electricity generation'!AE$3:AE$73)</f>
        <v>8.3887971427032271E-5</v>
      </c>
      <c r="AF24">
        <f>'Total electricity generation'!AF24/SUM('Total electricity generation'!AF$3:AF$73)</f>
        <v>8.2343013806836067E-5</v>
      </c>
      <c r="AG24">
        <f>'Total electricity generation'!AG24/SUM('Total electricity generation'!AG$3:AG$73)</f>
        <v>8.126761659024786E-5</v>
      </c>
      <c r="AH24">
        <f>'Total electricity generation'!AH24/SUM('Total electricity generation'!AH$3:AH$73)</f>
        <v>8.0211070710028661E-5</v>
      </c>
      <c r="AI24">
        <f>'Total electricity generation'!AI24/SUM('Total electricity generation'!AI$3:AI$73)</f>
        <v>7.9161910009250121E-5</v>
      </c>
      <c r="AJ24">
        <f>'Total electricity generation'!AJ24/SUM('Total electricity generation'!AJ$3:AJ$73)</f>
        <v>7.8116528766492894E-5</v>
      </c>
      <c r="AK24">
        <f>'Total electricity generation'!AK24/SUM('Total electricity generation'!AK$3:AK$73)</f>
        <v>7.7081232237258263E-5</v>
      </c>
      <c r="AL24">
        <f>'Total electricity generation'!AL24/SUM('Total electricity generation'!AL$3:AL$73)</f>
        <v>7.6054040628982004E-5</v>
      </c>
      <c r="AM24">
        <f>'Total electricity generation'!AM24/SUM('Total electricity generation'!AM$3:AM$73)</f>
        <v>7.4997891749311791E-5</v>
      </c>
      <c r="AN24">
        <f>'Total electricity generation'!AN24/SUM('Total electricity generation'!AN$3:AN$73)</f>
        <v>7.3947429525904104E-5</v>
      </c>
      <c r="AO24">
        <f>'Total electricity generation'!AO24/SUM('Total electricity generation'!AO$3:AO$73)</f>
        <v>7.2913659775514236E-5</v>
      </c>
      <c r="AP24">
        <f>'Total electricity generation'!AP24/SUM('Total electricity generation'!AP$3:AP$73)</f>
        <v>7.1896633894714135E-5</v>
      </c>
    </row>
    <row r="25" spans="1:42" x14ac:dyDescent="0.3">
      <c r="A25" t="s">
        <v>100</v>
      </c>
      <c r="B25">
        <f>'Total electricity generation'!B25/SUM('Total electricity generation'!B$3:B$73)</f>
        <v>7.3267088081327677E-3</v>
      </c>
      <c r="C25">
        <f>'Total electricity generation'!C25/SUM('Total electricity generation'!C$3:C$73)</f>
        <v>7.3534176804844319E-3</v>
      </c>
      <c r="D25">
        <f>'Total electricity generation'!D25/SUM('Total electricity generation'!D$3:D$73)</f>
        <v>7.1236052751694288E-3</v>
      </c>
      <c r="E25">
        <f>'Total electricity generation'!E25/SUM('Total electricity generation'!E$3:E$73)</f>
        <v>7.0202717394246758E-3</v>
      </c>
      <c r="F25">
        <f>'Total electricity generation'!F25/SUM('Total electricity generation'!F$3:F$73)</f>
        <v>6.6207368607630592E-3</v>
      </c>
      <c r="G25">
        <f>'Total electricity generation'!G25/SUM('Total electricity generation'!G$3:G$73)</f>
        <v>6.7823900282674302E-3</v>
      </c>
      <c r="H25">
        <f>'Total electricity generation'!H25/SUM('Total electricity generation'!H$3:H$73)</f>
        <v>6.6612025770751582E-3</v>
      </c>
      <c r="I25">
        <f>'Total electricity generation'!I25/SUM('Total electricity generation'!I$3:I$73)</f>
        <v>6.6121366419302522E-3</v>
      </c>
      <c r="J25">
        <f>'Total electricity generation'!J25/SUM('Total electricity generation'!J$3:J$73)</f>
        <v>6.3684061933667428E-3</v>
      </c>
      <c r="K25">
        <f>'Total electricity generation'!K25/SUM('Total electricity generation'!K$3:K$73)</f>
        <v>6.0599689935317618E-3</v>
      </c>
      <c r="L25">
        <f>'Total electricity generation'!L25/SUM('Total electricity generation'!L$3:L$73)</f>
        <v>5.88750284534583E-3</v>
      </c>
      <c r="M25">
        <f>'Total electricity generation'!M25/SUM('Total electricity generation'!M$3:M$73)</f>
        <v>6.3008456352017621E-3</v>
      </c>
      <c r="N25">
        <f>'Total electricity generation'!N25/SUM('Total electricity generation'!N$3:N$73)</f>
        <v>6.1631493748008914E-3</v>
      </c>
      <c r="O25">
        <f>'Total electricity generation'!O25/SUM('Total electricity generation'!O$3:O$73)</f>
        <v>6.1257965143105345E-3</v>
      </c>
      <c r="P25">
        <f>'Total electricity generation'!P25/SUM('Total electricity generation'!P$3:P$73)</f>
        <v>6.122753601953676E-3</v>
      </c>
      <c r="Q25">
        <f>'Total electricity generation'!Q25/SUM('Total electricity generation'!Q$3:Q$73)</f>
        <v>6.1185691453973139E-3</v>
      </c>
      <c r="R25">
        <f>'Total electricity generation'!R25/SUM('Total electricity generation'!R$3:R$73)</f>
        <v>6.0561417752925187E-3</v>
      </c>
      <c r="S25">
        <f>'Total electricity generation'!S25/SUM('Total electricity generation'!S$3:S$73)</f>
        <v>5.9917155701026317E-3</v>
      </c>
      <c r="T25">
        <f>'Total electricity generation'!T25/SUM('Total electricity generation'!T$3:T$73)</f>
        <v>5.9265022481523972E-3</v>
      </c>
      <c r="U25">
        <f>'Total electricity generation'!U25/SUM('Total electricity generation'!U$3:U$73)</f>
        <v>5.8614454360117578E-3</v>
      </c>
      <c r="V25">
        <f>'Total electricity generation'!V25/SUM('Total electricity generation'!V$3:V$73)</f>
        <v>5.8000561047509913E-3</v>
      </c>
      <c r="W25">
        <f>'Total electricity generation'!W25/SUM('Total electricity generation'!W$3:W$73)</f>
        <v>5.7638002461765968E-3</v>
      </c>
      <c r="X25">
        <f>'Total electricity generation'!X25/SUM('Total electricity generation'!X$3:X$73)</f>
        <v>5.7266344642368586E-3</v>
      </c>
      <c r="Y25">
        <f>'Total electricity generation'!Y25/SUM('Total electricity generation'!Y$3:Y$73)</f>
        <v>5.688717593926286E-3</v>
      </c>
      <c r="Z25">
        <f>'Total electricity generation'!Z25/SUM('Total electricity generation'!Z$3:Z$73)</f>
        <v>5.649557217112678E-3</v>
      </c>
      <c r="AA25">
        <f>'Total electricity generation'!AA25/SUM('Total electricity generation'!AA$3:AA$73)</f>
        <v>5.6080309295183494E-3</v>
      </c>
      <c r="AB25">
        <f>'Total electricity generation'!AB25/SUM('Total electricity generation'!AB$3:AB$73)</f>
        <v>5.5608139350712569E-3</v>
      </c>
      <c r="AC25">
        <f>'Total electricity generation'!AC25/SUM('Total electricity generation'!AC$3:AC$73)</f>
        <v>5.5111067953530586E-3</v>
      </c>
      <c r="AD25">
        <f>'Total electricity generation'!AD25/SUM('Total electricity generation'!AD$3:AD$73)</f>
        <v>5.4598256212812588E-3</v>
      </c>
      <c r="AE25">
        <f>'Total electricity generation'!AE25/SUM('Total electricity generation'!AE$3:AE$73)</f>
        <v>5.4076687352097906E-3</v>
      </c>
      <c r="AF25">
        <f>'Total electricity generation'!AF25/SUM('Total electricity generation'!AF$3:AF$73)</f>
        <v>5.356253125525675E-3</v>
      </c>
      <c r="AG25">
        <f>'Total electricity generation'!AG25/SUM('Total electricity generation'!AG$3:AG$73)</f>
        <v>5.3181182230011108E-3</v>
      </c>
      <c r="AH25">
        <f>'Total electricity generation'!AH25/SUM('Total electricity generation'!AH$3:AH$73)</f>
        <v>5.2795486425785574E-3</v>
      </c>
      <c r="AI25">
        <f>'Total electricity generation'!AI25/SUM('Total electricity generation'!AI$3:AI$73)</f>
        <v>5.2412853455431844E-3</v>
      </c>
      <c r="AJ25">
        <f>'Total electricity generation'!AJ25/SUM('Total electricity generation'!AJ$3:AJ$73)</f>
        <v>5.2025992000664066E-3</v>
      </c>
      <c r="AK25">
        <f>'Total electricity generation'!AK25/SUM('Total electricity generation'!AK$3:AK$73)</f>
        <v>5.1644719628083299E-3</v>
      </c>
      <c r="AL25">
        <f>'Total electricity generation'!AL25/SUM('Total electricity generation'!AL$3:AL$73)</f>
        <v>5.1230952029038997E-3</v>
      </c>
      <c r="AM25">
        <f>'Total electricity generation'!AM25/SUM('Total electricity generation'!AM$3:AM$73)</f>
        <v>5.0798349423089905E-3</v>
      </c>
      <c r="AN25">
        <f>'Total electricity generation'!AN25/SUM('Total electricity generation'!AN$3:AN$73)</f>
        <v>5.0357509772639211E-3</v>
      </c>
      <c r="AO25">
        <f>'Total electricity generation'!AO25/SUM('Total electricity generation'!AO$3:AO$73)</f>
        <v>4.9915343790109179E-3</v>
      </c>
      <c r="AP25">
        <f>'Total electricity generation'!AP25/SUM('Total electricity generation'!AP$3:AP$73)</f>
        <v>4.9468052076164061E-3</v>
      </c>
    </row>
    <row r="26" spans="1:42" x14ac:dyDescent="0.3">
      <c r="A26" t="s">
        <v>101</v>
      </c>
      <c r="B26">
        <f>'Total electricity generation'!B26/SUM('Total electricity generation'!B$3:B$73)</f>
        <v>7.6439570264190729E-4</v>
      </c>
      <c r="C26">
        <f>'Total electricity generation'!C26/SUM('Total electricity generation'!C$3:C$73)</f>
        <v>7.2250759934174274E-4</v>
      </c>
      <c r="D26">
        <f>'Total electricity generation'!D26/SUM('Total electricity generation'!D$3:D$73)</f>
        <v>6.9169422993775815E-4</v>
      </c>
      <c r="E26">
        <f>'Total electricity generation'!E26/SUM('Total electricity generation'!E$3:E$73)</f>
        <v>6.8734770792826163E-4</v>
      </c>
      <c r="F26">
        <f>'Total electricity generation'!F26/SUM('Total electricity generation'!F$3:F$73)</f>
        <v>7.2647097025460789E-4</v>
      </c>
      <c r="G26">
        <f>'Total electricity generation'!G26/SUM('Total electricity generation'!G$3:G$73)</f>
        <v>6.2134206814109779E-4</v>
      </c>
      <c r="H26">
        <f>'Total electricity generation'!H26/SUM('Total electricity generation'!H$3:H$73)</f>
        <v>6.5984313668307547E-4</v>
      </c>
      <c r="I26">
        <f>'Total electricity generation'!I26/SUM('Total electricity generation'!I$3:I$73)</f>
        <v>6.3350355033669559E-4</v>
      </c>
      <c r="J26">
        <f>'Total electricity generation'!J26/SUM('Total electricity generation'!J$3:J$73)</f>
        <v>6.1193412153956515E-4</v>
      </c>
      <c r="K26">
        <f>'Total electricity generation'!K26/SUM('Total electricity generation'!K$3:K$73)</f>
        <v>5.9579965805465476E-4</v>
      </c>
      <c r="L26">
        <f>'Total electricity generation'!L26/SUM('Total electricity generation'!L$3:L$73)</f>
        <v>6.3985899040184754E-4</v>
      </c>
      <c r="M26">
        <f>'Total electricity generation'!M26/SUM('Total electricity generation'!M$3:M$73)</f>
        <v>5.5647911490853486E-4</v>
      </c>
      <c r="N26">
        <f>'Total electricity generation'!N26/SUM('Total electricity generation'!N$3:N$73)</f>
        <v>4.6635620904743812E-4</v>
      </c>
      <c r="O26">
        <f>'Total electricity generation'!O26/SUM('Total electricity generation'!O$3:O$73)</f>
        <v>4.666273429450279E-4</v>
      </c>
      <c r="P26">
        <f>'Total electricity generation'!P26/SUM('Total electricity generation'!P$3:P$73)</f>
        <v>4.694425687204551E-4</v>
      </c>
      <c r="Q26">
        <f>'Total electricity generation'!Q26/SUM('Total electricity generation'!Q$3:Q$73)</f>
        <v>4.7265877373174598E-4</v>
      </c>
      <c r="R26">
        <f>'Total electricity generation'!R26/SUM('Total electricity generation'!R$3:R$73)</f>
        <v>4.7007705833944851E-4</v>
      </c>
      <c r="S26">
        <f>'Total electricity generation'!S26/SUM('Total electricity generation'!S$3:S$73)</f>
        <v>4.6735790310266286E-4</v>
      </c>
      <c r="T26">
        <f>'Total electricity generation'!T26/SUM('Total electricity generation'!T$3:T$73)</f>
        <v>4.645094760558093E-4</v>
      </c>
      <c r="U26">
        <f>'Total electricity generation'!U26/SUM('Total electricity generation'!U$3:U$73)</f>
        <v>4.6165393327097604E-4</v>
      </c>
      <c r="V26">
        <f>'Total electricity generation'!V26/SUM('Total electricity generation'!V$3:V$73)</f>
        <v>4.5895788942024911E-4</v>
      </c>
      <c r="W26">
        <f>'Total electricity generation'!W26/SUM('Total electricity generation'!W$3:W$73)</f>
        <v>4.5506839117743993E-4</v>
      </c>
      <c r="X26">
        <f>'Total electricity generation'!X26/SUM('Total electricity generation'!X$3:X$73)</f>
        <v>4.512406449669279E-4</v>
      </c>
      <c r="Y26">
        <f>'Total electricity generation'!Y26/SUM('Total electricity generation'!Y$3:Y$73)</f>
        <v>4.4757344146889914E-4</v>
      </c>
      <c r="Z26">
        <f>'Total electricity generation'!Z26/SUM('Total electricity generation'!Z$3:Z$73)</f>
        <v>4.4413538035638345E-4</v>
      </c>
      <c r="AA26">
        <f>'Total electricity generation'!AA26/SUM('Total electricity generation'!AA$3:AA$73)</f>
        <v>4.4089009863470944E-4</v>
      </c>
      <c r="AB26">
        <f>'Total electricity generation'!AB26/SUM('Total electricity generation'!AB$3:AB$73)</f>
        <v>4.3738785979704445E-4</v>
      </c>
      <c r="AC26">
        <f>'Total electricity generation'!AC26/SUM('Total electricity generation'!AC$3:AC$73)</f>
        <v>4.3427040413687669E-4</v>
      </c>
      <c r="AD26">
        <f>'Total electricity generation'!AD26/SUM('Total electricity generation'!AD$3:AD$73)</f>
        <v>4.3156101136466248E-4</v>
      </c>
      <c r="AE26">
        <f>'Total electricity generation'!AE26/SUM('Total electricity generation'!AE$3:AE$73)</f>
        <v>4.2925109660270409E-4</v>
      </c>
      <c r="AF26">
        <f>'Total electricity generation'!AF26/SUM('Total electricity generation'!AF$3:AF$73)</f>
        <v>4.2722626754933209E-4</v>
      </c>
      <c r="AG26">
        <f>'Total electricity generation'!AG26/SUM('Total electricity generation'!AG$3:AG$73)</f>
        <v>4.2510479380435074E-4</v>
      </c>
      <c r="AH26">
        <f>'Total electricity generation'!AH26/SUM('Total electricity generation'!AH$3:AH$73)</f>
        <v>4.2319856610098478E-4</v>
      </c>
      <c r="AI26">
        <f>'Total electricity generation'!AI26/SUM('Total electricity generation'!AI$3:AI$73)</f>
        <v>4.213993103897093E-4</v>
      </c>
      <c r="AJ26">
        <f>'Total electricity generation'!AJ26/SUM('Total electricity generation'!AJ$3:AJ$73)</f>
        <v>4.1949939453649109E-4</v>
      </c>
      <c r="AK26">
        <f>'Total electricity generation'!AK26/SUM('Total electricity generation'!AK$3:AK$73)</f>
        <v>4.1758598586474167E-4</v>
      </c>
      <c r="AL26">
        <f>'Total electricity generation'!AL26/SUM('Total electricity generation'!AL$3:AL$73)</f>
        <v>4.1633303345904994E-4</v>
      </c>
      <c r="AM26">
        <f>'Total electricity generation'!AM26/SUM('Total electricity generation'!AM$3:AM$73)</f>
        <v>4.1451336468635065E-4</v>
      </c>
      <c r="AN26">
        <f>'Total electricity generation'!AN26/SUM('Total electricity generation'!AN$3:AN$73)</f>
        <v>4.123719485077002E-4</v>
      </c>
      <c r="AO26">
        <f>'Total electricity generation'!AO26/SUM('Total electricity generation'!AO$3:AO$73)</f>
        <v>4.0988356364153415E-4</v>
      </c>
      <c r="AP26">
        <f>'Total electricity generation'!AP26/SUM('Total electricity generation'!AP$3:AP$73)</f>
        <v>4.070708333277281E-4</v>
      </c>
    </row>
    <row r="27" spans="1:42" x14ac:dyDescent="0.3">
      <c r="A27" t="s">
        <v>102</v>
      </c>
      <c r="B27">
        <f>'Total electricity generation'!B27/SUM('Total electricity generation'!B$3:B$73)</f>
        <v>1.2934502324913426E-3</v>
      </c>
      <c r="C27">
        <f>'Total electricity generation'!C27/SUM('Total electricity generation'!C$3:C$73)</f>
        <v>1.2857428874410036E-3</v>
      </c>
      <c r="D27">
        <f>'Total electricity generation'!D27/SUM('Total electricity generation'!D$3:D$73)</f>
        <v>1.2569505331869694E-3</v>
      </c>
      <c r="E27">
        <f>'Total electricity generation'!E27/SUM('Total electricity generation'!E$3:E$73)</f>
        <v>1.227735139737613E-3</v>
      </c>
      <c r="F27">
        <f>'Total electricity generation'!F27/SUM('Total electricity generation'!F$3:F$73)</f>
        <v>1.1366510650895525E-3</v>
      </c>
      <c r="G27">
        <f>'Total electricity generation'!G27/SUM('Total electricity generation'!G$3:G$73)</f>
        <v>1.1028976324206341E-3</v>
      </c>
      <c r="H27">
        <f>'Total electricity generation'!H27/SUM('Total electricity generation'!H$3:H$73)</f>
        <v>1.0771130811668677E-3</v>
      </c>
      <c r="I27">
        <f>'Total electricity generation'!I27/SUM('Total electricity generation'!I$3:I$73)</f>
        <v>1.0702978231310644E-3</v>
      </c>
      <c r="J27">
        <f>'Total electricity generation'!J27/SUM('Total electricity generation'!J$3:J$73)</f>
        <v>1.0065265804531027E-3</v>
      </c>
      <c r="K27">
        <f>'Total electricity generation'!K27/SUM('Total electricity generation'!K$3:K$73)</f>
        <v>1.0510414724114866E-3</v>
      </c>
      <c r="L27">
        <f>'Total electricity generation'!L27/SUM('Total electricity generation'!L$3:L$73)</f>
        <v>1.0726720143928571E-3</v>
      </c>
      <c r="M27">
        <f>'Total electricity generation'!M27/SUM('Total electricity generation'!M$3:M$73)</f>
        <v>1.0504411584755389E-3</v>
      </c>
      <c r="N27">
        <f>'Total electricity generation'!N27/SUM('Total electricity generation'!N$3:N$73)</f>
        <v>9.1795673175273441E-4</v>
      </c>
      <c r="O27">
        <f>'Total electricity generation'!O27/SUM('Total electricity generation'!O$3:O$73)</f>
        <v>9.2113292215567622E-4</v>
      </c>
      <c r="P27">
        <f>'Total electricity generation'!P27/SUM('Total electricity generation'!P$3:P$73)</f>
        <v>9.310083641657467E-4</v>
      </c>
      <c r="Q27">
        <f>'Total electricity generation'!Q27/SUM('Total electricity generation'!Q$3:Q$73)</f>
        <v>9.4068758111415175E-4</v>
      </c>
      <c r="R27">
        <f>'Total electricity generation'!R27/SUM('Total electricity generation'!R$3:R$73)</f>
        <v>9.463802406160357E-4</v>
      </c>
      <c r="S27">
        <f>'Total electricity generation'!S27/SUM('Total electricity generation'!S$3:S$73)</f>
        <v>9.5295037704124419E-4</v>
      </c>
      <c r="T27">
        <f>'Total electricity generation'!T27/SUM('Total electricity generation'!T$3:T$73)</f>
        <v>9.6018086518793858E-4</v>
      </c>
      <c r="U27">
        <f>'Total electricity generation'!U27/SUM('Total electricity generation'!U$3:U$73)</f>
        <v>9.6770712652965703E-4</v>
      </c>
      <c r="V27">
        <f>'Total electricity generation'!V27/SUM('Total electricity generation'!V$3:V$73)</f>
        <v>9.7623102151015969E-4</v>
      </c>
      <c r="W27">
        <f>'Total electricity generation'!W27/SUM('Total electricity generation'!W$3:W$73)</f>
        <v>9.7473765909173045E-4</v>
      </c>
      <c r="X27">
        <f>'Total electricity generation'!X27/SUM('Total electricity generation'!X$3:X$73)</f>
        <v>9.73080820335304E-4</v>
      </c>
      <c r="Y27">
        <f>'Total electricity generation'!Y27/SUM('Total electricity generation'!Y$3:Y$73)</f>
        <v>9.7131868384467087E-4</v>
      </c>
      <c r="Z27">
        <f>'Total electricity generation'!Z27/SUM('Total electricity generation'!Z$3:Z$73)</f>
        <v>9.6961060369950129E-4</v>
      </c>
      <c r="AA27">
        <f>'Total electricity generation'!AA27/SUM('Total electricity generation'!AA$3:AA$73)</f>
        <v>9.6772388848757646E-4</v>
      </c>
      <c r="AB27">
        <f>'Total electricity generation'!AB27/SUM('Total electricity generation'!AB$3:AB$73)</f>
        <v>9.6117069716402531E-4</v>
      </c>
      <c r="AC27">
        <f>'Total electricity generation'!AC27/SUM('Total electricity generation'!AC$3:AC$73)</f>
        <v>9.5456198153390888E-4</v>
      </c>
      <c r="AD27">
        <f>'Total electricity generation'!AD27/SUM('Total electricity generation'!AD$3:AD$73)</f>
        <v>9.479679496584572E-4</v>
      </c>
      <c r="AE27">
        <f>'Total electricity generation'!AE27/SUM('Total electricity generation'!AE$3:AE$73)</f>
        <v>9.4143459959589626E-4</v>
      </c>
      <c r="AF27">
        <f>'Total electricity generation'!AF27/SUM('Total electricity generation'!AF$3:AF$73)</f>
        <v>9.3490314654632732E-4</v>
      </c>
      <c r="AG27">
        <f>'Total electricity generation'!AG27/SUM('Total electricity generation'!AG$3:AG$73)</f>
        <v>9.2938525248187982E-4</v>
      </c>
      <c r="AH27">
        <f>'Total electricity generation'!AH27/SUM('Total electricity generation'!AH$3:AH$73)</f>
        <v>9.2419422339747438E-4</v>
      </c>
      <c r="AI27">
        <f>'Total electricity generation'!AI27/SUM('Total electricity generation'!AI$3:AI$73)</f>
        <v>9.1927317258238975E-4</v>
      </c>
      <c r="AJ27">
        <f>'Total electricity generation'!AJ27/SUM('Total electricity generation'!AJ$3:AJ$73)</f>
        <v>9.1449817752995832E-4</v>
      </c>
      <c r="AK27">
        <f>'Total electricity generation'!AK27/SUM('Total electricity generation'!AK$3:AK$73)</f>
        <v>9.1005196961666435E-4</v>
      </c>
      <c r="AL27">
        <f>'Total electricity generation'!AL27/SUM('Total electricity generation'!AL$3:AL$73)</f>
        <v>9.0580005458444635E-4</v>
      </c>
      <c r="AM27">
        <f>'Total electricity generation'!AM27/SUM('Total electricity generation'!AM$3:AM$73)</f>
        <v>9.0146568451120776E-4</v>
      </c>
      <c r="AN27">
        <f>'Total electricity generation'!AN27/SUM('Total electricity generation'!AN$3:AN$73)</f>
        <v>8.9719773260045835E-4</v>
      </c>
      <c r="AO27">
        <f>'Total electricity generation'!AO27/SUM('Total electricity generation'!AO$3:AO$73)</f>
        <v>8.9302234316049204E-4</v>
      </c>
      <c r="AP27">
        <f>'Total electricity generation'!AP27/SUM('Total electricity generation'!AP$3:AP$73)</f>
        <v>8.8873816780210199E-4</v>
      </c>
    </row>
    <row r="28" spans="1:42" x14ac:dyDescent="0.3">
      <c r="A28" t="s">
        <v>103</v>
      </c>
      <c r="B28">
        <f>'Total electricity generation'!B28/SUM('Total electricity generation'!B$3:B$73)</f>
        <v>2.1685763970884166E-3</v>
      </c>
      <c r="C28">
        <f>'Total electricity generation'!C28/SUM('Total electricity generation'!C$3:C$73)</f>
        <v>2.2843702730100911E-3</v>
      </c>
      <c r="D28">
        <f>'Total electricity generation'!D28/SUM('Total electricity generation'!D$3:D$73)</f>
        <v>2.0782462754007358E-3</v>
      </c>
      <c r="E28">
        <f>'Total electricity generation'!E28/SUM('Total electricity generation'!E$3:E$73)</f>
        <v>1.8695363198051847E-3</v>
      </c>
      <c r="F28">
        <f>'Total electricity generation'!F28/SUM('Total electricity generation'!F$3:F$73)</f>
        <v>1.9779136691704937E-3</v>
      </c>
      <c r="G28">
        <f>'Total electricity generation'!G28/SUM('Total electricity generation'!G$3:G$73)</f>
        <v>2.0246506141175652E-3</v>
      </c>
      <c r="H28">
        <f>'Total electricity generation'!H28/SUM('Total electricity generation'!H$3:H$73)</f>
        <v>1.8093656186227505E-3</v>
      </c>
      <c r="I28">
        <f>'Total electricity generation'!I28/SUM('Total electricity generation'!I$3:I$73)</f>
        <v>1.7685848636114557E-3</v>
      </c>
      <c r="J28">
        <f>'Total electricity generation'!J28/SUM('Total electricity generation'!J$3:J$73)</f>
        <v>1.754643590911788E-3</v>
      </c>
      <c r="K28">
        <f>'Total electricity generation'!K28/SUM('Total electricity generation'!K$3:K$73)</f>
        <v>1.6374056157559423E-3</v>
      </c>
      <c r="L28">
        <f>'Total electricity generation'!L28/SUM('Total electricity generation'!L$3:L$73)</f>
        <v>1.5165640183794958E-3</v>
      </c>
      <c r="M28">
        <f>'Total electricity generation'!M28/SUM('Total electricity generation'!M$3:M$73)</f>
        <v>1.6671462721363928E-3</v>
      </c>
      <c r="N28">
        <f>'Total electricity generation'!N28/SUM('Total electricity generation'!N$3:N$73)</f>
        <v>1.7297202266999426E-3</v>
      </c>
      <c r="O28">
        <f>'Total electricity generation'!O28/SUM('Total electricity generation'!O$3:O$73)</f>
        <v>1.694390747401385E-3</v>
      </c>
      <c r="P28">
        <f>'Total electricity generation'!P28/SUM('Total electricity generation'!P$3:P$73)</f>
        <v>1.6673971385512509E-3</v>
      </c>
      <c r="Q28">
        <f>'Total electricity generation'!Q28/SUM('Total electricity generation'!Q$3:Q$73)</f>
        <v>1.6397528714280287E-3</v>
      </c>
      <c r="R28">
        <f>'Total electricity generation'!R28/SUM('Total electricity generation'!R$3:R$73)</f>
        <v>1.6064184388737471E-3</v>
      </c>
      <c r="S28">
        <f>'Total electricity generation'!S28/SUM('Total electricity generation'!S$3:S$73)</f>
        <v>1.5723266102641749E-3</v>
      </c>
      <c r="T28">
        <f>'Total electricity generation'!T28/SUM('Total electricity generation'!T$3:T$73)</f>
        <v>1.5380062682388057E-3</v>
      </c>
      <c r="U28">
        <f>'Total electricity generation'!U28/SUM('Total electricity generation'!U$3:U$73)</f>
        <v>1.5035483135252801E-3</v>
      </c>
      <c r="V28">
        <f>'Total electricity generation'!V28/SUM('Total electricity generation'!V$3:V$73)</f>
        <v>1.4697934081973857E-3</v>
      </c>
      <c r="W28">
        <f>'Total electricity generation'!W28/SUM('Total electricity generation'!W$3:W$73)</f>
        <v>1.4470721498433565E-3</v>
      </c>
      <c r="X28">
        <f>'Total electricity generation'!X28/SUM('Total electricity generation'!X$3:X$73)</f>
        <v>1.4240784072294167E-3</v>
      </c>
      <c r="Y28">
        <f>'Total electricity generation'!Y28/SUM('Total electricity generation'!Y$3:Y$73)</f>
        <v>1.4008966885358427E-3</v>
      </c>
      <c r="Z28">
        <f>'Total electricity generation'!Z28/SUM('Total electricity generation'!Z$3:Z$73)</f>
        <v>1.3774800220583954E-3</v>
      </c>
      <c r="AA28">
        <f>'Total electricity generation'!AA28/SUM('Total electricity generation'!AA$3:AA$73)</f>
        <v>1.3538112310470659E-3</v>
      </c>
      <c r="AB28">
        <f>'Total electricity generation'!AB28/SUM('Total electricity generation'!AB$3:AB$73)</f>
        <v>1.3251308232291039E-3</v>
      </c>
      <c r="AC28">
        <f>'Total electricity generation'!AC28/SUM('Total electricity generation'!AC$3:AC$73)</f>
        <v>1.2966602174285134E-3</v>
      </c>
      <c r="AD28">
        <f>'Total electricity generation'!AD28/SUM('Total electricity generation'!AD$3:AD$73)</f>
        <v>1.2683745794031293E-3</v>
      </c>
      <c r="AE28">
        <f>'Total electricity generation'!AE28/SUM('Total electricity generation'!AE$3:AE$73)</f>
        <v>1.2403454503851917E-3</v>
      </c>
      <c r="AF28">
        <f>'Total electricity generation'!AF28/SUM('Total electricity generation'!AF$3:AF$73)</f>
        <v>1.212468760212906E-3</v>
      </c>
      <c r="AG28">
        <f>'Total electricity generation'!AG28/SUM('Total electricity generation'!AG$3:AG$73)</f>
        <v>1.1868002809147531E-3</v>
      </c>
      <c r="AH28">
        <f>'Total electricity generation'!AH28/SUM('Total electricity generation'!AH$3:AH$73)</f>
        <v>1.1614007329729765E-3</v>
      </c>
      <c r="AI28">
        <f>'Total electricity generation'!AI28/SUM('Total electricity generation'!AI$3:AI$73)</f>
        <v>1.1363198600408101E-3</v>
      </c>
      <c r="AJ28">
        <f>'Total electricity generation'!AJ28/SUM('Total electricity generation'!AJ$3:AJ$73)</f>
        <v>1.1115272756904327E-3</v>
      </c>
      <c r="AK28">
        <f>'Total electricity generation'!AK28/SUM('Total electricity generation'!AK$3:AK$73)</f>
        <v>1.0872944409926416E-3</v>
      </c>
      <c r="AL28">
        <f>'Total electricity generation'!AL28/SUM('Total electricity generation'!AL$3:AL$73)</f>
        <v>1.0625198800281997E-3</v>
      </c>
      <c r="AM28">
        <f>'Total electricity generation'!AM28/SUM('Total electricity generation'!AM$3:AM$73)</f>
        <v>1.0380771582003477E-3</v>
      </c>
      <c r="AN28">
        <f>'Total electricity generation'!AN28/SUM('Total electricity generation'!AN$3:AN$73)</f>
        <v>1.0143035909140491E-3</v>
      </c>
      <c r="AO28">
        <f>'Total electricity generation'!AO28/SUM('Total electricity generation'!AO$3:AO$73)</f>
        <v>9.9126633437835853E-4</v>
      </c>
      <c r="AP28">
        <f>'Total electricity generation'!AP28/SUM('Total electricity generation'!AP$3:AP$73)</f>
        <v>9.6889392126145403E-4</v>
      </c>
    </row>
    <row r="29" spans="1:42" x14ac:dyDescent="0.3">
      <c r="A29" t="s">
        <v>104</v>
      </c>
      <c r="B29">
        <f>'Total electricity generation'!B29/SUM('Total electricity generation'!B$3:B$73)</f>
        <v>2.835337949245554E-3</v>
      </c>
      <c r="C29">
        <f>'Total electricity generation'!C29/SUM('Total electricity generation'!C$3:C$73)</f>
        <v>2.7991771720873638E-3</v>
      </c>
      <c r="D29">
        <f>'Total electricity generation'!D29/SUM('Total electricity generation'!D$3:D$73)</f>
        <v>2.5954382320506129E-3</v>
      </c>
      <c r="E29">
        <f>'Total electricity generation'!E29/SUM('Total electricity generation'!E$3:E$73)</f>
        <v>2.5135579491294109E-3</v>
      </c>
      <c r="F29">
        <f>'Total electricity generation'!F29/SUM('Total electricity generation'!F$3:F$73)</f>
        <v>2.7361815395423044E-3</v>
      </c>
      <c r="G29">
        <f>'Total electricity generation'!G29/SUM('Total electricity generation'!G$3:G$73)</f>
        <v>2.7279868234832637E-3</v>
      </c>
      <c r="H29">
        <f>'Total electricity generation'!H29/SUM('Total electricity generation'!H$3:H$73)</f>
        <v>2.603522365075554E-3</v>
      </c>
      <c r="I29">
        <f>'Total electricity generation'!I29/SUM('Total electricity generation'!I$3:I$73)</f>
        <v>2.4948660998940849E-3</v>
      </c>
      <c r="J29">
        <f>'Total electricity generation'!J29/SUM('Total electricity generation'!J$3:J$73)</f>
        <v>2.4315726624973485E-3</v>
      </c>
      <c r="K29">
        <f>'Total electricity generation'!K29/SUM('Total electricity generation'!K$3:K$73)</f>
        <v>2.2064730788580881E-3</v>
      </c>
      <c r="L29">
        <f>'Total electricity generation'!L29/SUM('Total electricity generation'!L$3:L$73)</f>
        <v>2.0844332158900421E-3</v>
      </c>
      <c r="M29">
        <f>'Total electricity generation'!M29/SUM('Total electricity generation'!M$3:M$73)</f>
        <v>2.0865902282486424E-3</v>
      </c>
      <c r="N29">
        <f>'Total electricity generation'!N29/SUM('Total electricity generation'!N$3:N$73)</f>
        <v>1.9204481578781508E-3</v>
      </c>
      <c r="O29">
        <f>'Total electricity generation'!O29/SUM('Total electricity generation'!O$3:O$73)</f>
        <v>1.9424890431552597E-3</v>
      </c>
      <c r="P29">
        <f>'Total electricity generation'!P29/SUM('Total electricity generation'!P$3:P$73)</f>
        <v>1.9761413068839322E-3</v>
      </c>
      <c r="Q29">
        <f>'Total electricity generation'!Q29/SUM('Total electricity generation'!Q$3:Q$73)</f>
        <v>2.0115327680729415E-3</v>
      </c>
      <c r="R29">
        <f>'Total electricity generation'!R29/SUM('Total electricity generation'!R$3:R$73)</f>
        <v>2.0211750068201456E-3</v>
      </c>
      <c r="S29">
        <f>'Total electricity generation'!S29/SUM('Total electricity generation'!S$3:S$73)</f>
        <v>2.0299550942870395E-3</v>
      </c>
      <c r="T29">
        <f>'Total electricity generation'!T29/SUM('Total electricity generation'!T$3:T$73)</f>
        <v>2.0380312823645836E-3</v>
      </c>
      <c r="U29">
        <f>'Total electricity generation'!U29/SUM('Total electricity generation'!U$3:U$73)</f>
        <v>2.0452065849413683E-3</v>
      </c>
      <c r="V29">
        <f>'Total electricity generation'!V29/SUM('Total electricity generation'!V$3:V$73)</f>
        <v>2.0527649660716245E-3</v>
      </c>
      <c r="W29">
        <f>'Total electricity generation'!W29/SUM('Total electricity generation'!W$3:W$73)</f>
        <v>2.0174034509836854E-3</v>
      </c>
      <c r="X29">
        <f>'Total electricity generation'!X29/SUM('Total electricity generation'!X$3:X$73)</f>
        <v>1.9822198415997932E-3</v>
      </c>
      <c r="Y29">
        <f>'Total electricity generation'!Y29/SUM('Total electricity generation'!Y$3:Y$73)</f>
        <v>1.9476900594495472E-3</v>
      </c>
      <c r="Z29">
        <f>'Total electricity generation'!Z29/SUM('Total electricity generation'!Z$3:Z$73)</f>
        <v>1.914153533005842E-3</v>
      </c>
      <c r="AA29">
        <f>'Total electricity generation'!AA29/SUM('Total electricity generation'!AA$3:AA$73)</f>
        <v>1.8802993598226469E-3</v>
      </c>
      <c r="AB29">
        <f>'Total electricity generation'!AB29/SUM('Total electricity generation'!AB$3:AB$73)</f>
        <v>1.8591043632580516E-3</v>
      </c>
      <c r="AC29">
        <f>'Total electricity generation'!AC29/SUM('Total electricity generation'!AC$3:AC$73)</f>
        <v>1.838238690336932E-3</v>
      </c>
      <c r="AD29">
        <f>'Total electricity generation'!AD29/SUM('Total electricity generation'!AD$3:AD$73)</f>
        <v>1.8173806641975177E-3</v>
      </c>
      <c r="AE29">
        <f>'Total electricity generation'!AE29/SUM('Total electricity generation'!AE$3:AE$73)</f>
        <v>1.7972188176519199E-3</v>
      </c>
      <c r="AF29">
        <f>'Total electricity generation'!AF29/SUM('Total electricity generation'!AF$3:AF$73)</f>
        <v>1.7767104698569783E-3</v>
      </c>
      <c r="AG29">
        <f>'Total electricity generation'!AG29/SUM('Total electricity generation'!AG$3:AG$73)</f>
        <v>1.759214035313129E-3</v>
      </c>
      <c r="AH29">
        <f>'Total electricity generation'!AH29/SUM('Total electricity generation'!AH$3:AH$73)</f>
        <v>1.74227494716401E-3</v>
      </c>
      <c r="AI29">
        <f>'Total electricity generation'!AI29/SUM('Total electricity generation'!AI$3:AI$73)</f>
        <v>1.7257969249504248E-3</v>
      </c>
      <c r="AJ29">
        <f>'Total electricity generation'!AJ29/SUM('Total electricity generation'!AJ$3:AJ$73)</f>
        <v>1.7092794700182847E-3</v>
      </c>
      <c r="AK29">
        <f>'Total electricity generation'!AK29/SUM('Total electricity generation'!AK$3:AK$73)</f>
        <v>1.6930471354821145E-3</v>
      </c>
      <c r="AL29">
        <f>'Total electricity generation'!AL29/SUM('Total electricity generation'!AL$3:AL$73)</f>
        <v>1.678965277537546E-3</v>
      </c>
      <c r="AM29">
        <f>'Total electricity generation'!AM29/SUM('Total electricity generation'!AM$3:AM$73)</f>
        <v>1.6634802936681468E-3</v>
      </c>
      <c r="AN29">
        <f>'Total electricity generation'!AN29/SUM('Total electricity generation'!AN$3:AN$73)</f>
        <v>1.6478320603913825E-3</v>
      </c>
      <c r="AO29">
        <f>'Total electricity generation'!AO29/SUM('Total electricity generation'!AO$3:AO$73)</f>
        <v>1.6321517107193092E-3</v>
      </c>
      <c r="AP29">
        <f>'Total electricity generation'!AP29/SUM('Total electricity generation'!AP$3:AP$73)</f>
        <v>1.6162167299378861E-3</v>
      </c>
    </row>
    <row r="30" spans="1:42" x14ac:dyDescent="0.3">
      <c r="A30" t="s">
        <v>105</v>
      </c>
      <c r="B30">
        <f>'Total electricity generation'!B30/SUM('Total electricity generation'!B$3:B$73)</f>
        <v>5.7425972738458292E-3</v>
      </c>
      <c r="C30">
        <f>'Total electricity generation'!C30/SUM('Total electricity generation'!C$3:C$73)</f>
        <v>5.7354534618890961E-3</v>
      </c>
      <c r="D30">
        <f>'Total electricity generation'!D30/SUM('Total electricity generation'!D$3:D$73)</f>
        <v>6.4895043911869848E-3</v>
      </c>
      <c r="E30">
        <f>'Total electricity generation'!E30/SUM('Total electricity generation'!E$3:E$73)</f>
        <v>5.7119584511145533E-3</v>
      </c>
      <c r="F30">
        <f>'Total electricity generation'!F30/SUM('Total electricity generation'!F$3:F$73)</f>
        <v>5.901644977729382E-3</v>
      </c>
      <c r="G30">
        <f>'Total electricity generation'!G30/SUM('Total electricity generation'!G$3:G$73)</f>
        <v>5.9340772811492925E-3</v>
      </c>
      <c r="H30">
        <f>'Total electricity generation'!H30/SUM('Total electricity generation'!H$3:H$73)</f>
        <v>5.9479964733895043E-3</v>
      </c>
      <c r="I30">
        <f>'Total electricity generation'!I30/SUM('Total electricity generation'!I$3:I$73)</f>
        <v>5.7876714681846441E-3</v>
      </c>
      <c r="J30">
        <f>'Total electricity generation'!J30/SUM('Total electricity generation'!J$3:J$73)</f>
        <v>5.5006765137664707E-3</v>
      </c>
      <c r="K30">
        <f>'Total electricity generation'!K30/SUM('Total electricity generation'!K$3:K$73)</f>
        <v>4.9803676886142813E-3</v>
      </c>
      <c r="L30">
        <f>'Total electricity generation'!L30/SUM('Total electricity generation'!L$3:L$73)</f>
        <v>5.7648191480169737E-3</v>
      </c>
      <c r="M30">
        <f>'Total electricity generation'!M30/SUM('Total electricity generation'!M$3:M$73)</f>
        <v>5.5206348274366981E-3</v>
      </c>
      <c r="N30">
        <f>'Total electricity generation'!N30/SUM('Total electricity generation'!N$3:N$73)</f>
        <v>5.0088619387387246E-3</v>
      </c>
      <c r="O30">
        <f>'Total electricity generation'!O30/SUM('Total electricity generation'!O$3:O$73)</f>
        <v>4.8788867916104168E-3</v>
      </c>
      <c r="P30">
        <f>'Total electricity generation'!P30/SUM('Total electricity generation'!P$3:P$73)</f>
        <v>4.7481888243653975E-3</v>
      </c>
      <c r="Q30">
        <f>'Total electricity generation'!Q30/SUM('Total electricity generation'!Q$3:Q$73)</f>
        <v>4.6207933228489444E-3</v>
      </c>
      <c r="R30">
        <f>'Total electricity generation'!R30/SUM('Total electricity generation'!R$3:R$73)</f>
        <v>4.5134058458787098E-3</v>
      </c>
      <c r="S30">
        <f>'Total electricity generation'!S30/SUM('Total electricity generation'!S$3:S$73)</f>
        <v>4.4112925147763238E-3</v>
      </c>
      <c r="T30">
        <f>'Total electricity generation'!T30/SUM('Total electricity generation'!T$3:T$73)</f>
        <v>4.3155310146880963E-3</v>
      </c>
      <c r="U30">
        <f>'Total electricity generation'!U30/SUM('Total electricity generation'!U$3:U$73)</f>
        <v>4.2293339139716944E-3</v>
      </c>
      <c r="V30">
        <f>'Total electricity generation'!V30/SUM('Total electricity generation'!V$3:V$73)</f>
        <v>4.1513789510976111E-3</v>
      </c>
      <c r="W30">
        <f>'Total electricity generation'!W30/SUM('Total electricity generation'!W$3:W$73)</f>
        <v>4.0866536560139376E-3</v>
      </c>
      <c r="X30">
        <f>'Total electricity generation'!X30/SUM('Total electricity generation'!X$3:X$73)</f>
        <v>4.0241154055965954E-3</v>
      </c>
      <c r="Y30">
        <f>'Total electricity generation'!Y30/SUM('Total electricity generation'!Y$3:Y$73)</f>
        <v>3.9626438385165315E-3</v>
      </c>
      <c r="Z30">
        <f>'Total electricity generation'!Z30/SUM('Total electricity generation'!Z$3:Z$73)</f>
        <v>3.9013170491370729E-3</v>
      </c>
      <c r="AA30">
        <f>'Total electricity generation'!AA30/SUM('Total electricity generation'!AA$3:AA$73)</f>
        <v>3.8393486409253291E-3</v>
      </c>
      <c r="AB30">
        <f>'Total electricity generation'!AB30/SUM('Total electricity generation'!AB$3:AB$73)</f>
        <v>3.7862112909862939E-3</v>
      </c>
      <c r="AC30">
        <f>'Total electricity generation'!AC30/SUM('Total electricity generation'!AC$3:AC$73)</f>
        <v>3.7323079955586826E-3</v>
      </c>
      <c r="AD30">
        <f>'Total electricity generation'!AD30/SUM('Total electricity generation'!AD$3:AD$73)</f>
        <v>3.6778503992346912E-3</v>
      </c>
      <c r="AE30">
        <f>'Total electricity generation'!AE30/SUM('Total electricity generation'!AE$3:AE$73)</f>
        <v>3.6226222877655183E-3</v>
      </c>
      <c r="AF30">
        <f>'Total electricity generation'!AF30/SUM('Total electricity generation'!AF$3:AF$73)</f>
        <v>3.5667090680477232E-3</v>
      </c>
      <c r="AG30">
        <f>'Total electricity generation'!AG30/SUM('Total electricity generation'!AG$3:AG$73)</f>
        <v>3.5095507413996918E-3</v>
      </c>
      <c r="AH30">
        <f>'Total electricity generation'!AH30/SUM('Total electricity generation'!AH$3:AH$73)</f>
        <v>3.4524159103692521E-3</v>
      </c>
      <c r="AI30">
        <f>'Total electricity generation'!AI30/SUM('Total electricity generation'!AI$3:AI$73)</f>
        <v>3.3951131839037164E-3</v>
      </c>
      <c r="AJ30">
        <f>'Total electricity generation'!AJ30/SUM('Total electricity generation'!AJ$3:AJ$73)</f>
        <v>3.3374251408455156E-3</v>
      </c>
      <c r="AK30">
        <f>'Total electricity generation'!AK30/SUM('Total electricity generation'!AK$3:AK$73)</f>
        <v>3.2801653294644724E-3</v>
      </c>
      <c r="AL30">
        <f>'Total electricity generation'!AL30/SUM('Total electricity generation'!AL$3:AL$73)</f>
        <v>3.2235182036212335E-3</v>
      </c>
      <c r="AM30">
        <f>'Total electricity generation'!AM30/SUM('Total electricity generation'!AM$3:AM$73)</f>
        <v>3.1670151289118439E-3</v>
      </c>
      <c r="AN30">
        <f>'Total electricity generation'!AN30/SUM('Total electricity generation'!AN$3:AN$73)</f>
        <v>3.1114515588359284E-3</v>
      </c>
      <c r="AO30">
        <f>'Total electricity generation'!AO30/SUM('Total electricity generation'!AO$3:AO$73)</f>
        <v>3.0571438957893659E-3</v>
      </c>
      <c r="AP30">
        <f>'Total electricity generation'!AP30/SUM('Total electricity generation'!AP$3:AP$73)</f>
        <v>3.0040005146541719E-3</v>
      </c>
    </row>
    <row r="31" spans="1:42" x14ac:dyDescent="0.3">
      <c r="A31" t="s">
        <v>106</v>
      </c>
      <c r="B31">
        <f>'Total electricity generation'!B31/SUM('Total electricity generation'!B$3:B$73)</f>
        <v>3.1531921288326316E-3</v>
      </c>
      <c r="C31">
        <f>'Total electricity generation'!C31/SUM('Total electricity generation'!C$3:C$73)</f>
        <v>2.9074984818795581E-3</v>
      </c>
      <c r="D31">
        <f>'Total electricity generation'!D31/SUM('Total electricity generation'!D$3:D$73)</f>
        <v>3.0699027674697698E-3</v>
      </c>
      <c r="E31">
        <f>'Total electricity generation'!E31/SUM('Total electricity generation'!E$3:E$73)</f>
        <v>2.9969938624964973E-3</v>
      </c>
      <c r="F31">
        <f>'Total electricity generation'!F31/SUM('Total electricity generation'!F$3:F$73)</f>
        <v>2.9889272253811831E-3</v>
      </c>
      <c r="G31">
        <f>'Total electricity generation'!G31/SUM('Total electricity generation'!G$3:G$73)</f>
        <v>2.7849948503238177E-3</v>
      </c>
      <c r="H31">
        <f>'Total electricity generation'!H31/SUM('Total electricity generation'!H$3:H$73)</f>
        <v>2.5261622752052897E-3</v>
      </c>
      <c r="I31">
        <f>'Total electricity generation'!I31/SUM('Total electricity generation'!I$3:I$73)</f>
        <v>2.4482530989259942E-3</v>
      </c>
      <c r="J31">
        <f>'Total electricity generation'!J31/SUM('Total electricity generation'!J$3:J$73)</f>
        <v>2.5902197742144811E-3</v>
      </c>
      <c r="K31">
        <f>'Total electricity generation'!K31/SUM('Total electricity generation'!K$3:K$73)</f>
        <v>2.7192141780791653E-3</v>
      </c>
      <c r="L31">
        <f>'Total electricity generation'!L31/SUM('Total electricity generation'!L$3:L$73)</f>
        <v>2.667304600204817E-3</v>
      </c>
      <c r="M31">
        <f>'Total electricity generation'!M31/SUM('Total electricity generation'!M$3:M$73)</f>
        <v>2.3150074625687281E-3</v>
      </c>
      <c r="N31">
        <f>'Total electricity generation'!N31/SUM('Total electricity generation'!N$3:N$73)</f>
        <v>2.2494082190872779E-3</v>
      </c>
      <c r="O31">
        <f>'Total electricity generation'!O31/SUM('Total electricity generation'!O$3:O$73)</f>
        <v>2.2160279936746588E-3</v>
      </c>
      <c r="P31">
        <f>'Total electricity generation'!P31/SUM('Total electricity generation'!P$3:P$73)</f>
        <v>2.1859170242143331E-3</v>
      </c>
      <c r="Q31">
        <f>'Total electricity generation'!Q31/SUM('Total electricity generation'!Q$3:Q$73)</f>
        <v>2.1537961159073427E-3</v>
      </c>
      <c r="R31">
        <f>'Total electricity generation'!R31/SUM('Total electricity generation'!R$3:R$73)</f>
        <v>2.1242945384260391E-3</v>
      </c>
      <c r="S31">
        <f>'Total electricity generation'!S31/SUM('Total electricity generation'!S$3:S$73)</f>
        <v>2.0953042939913366E-3</v>
      </c>
      <c r="T31">
        <f>'Total electricity generation'!T31/SUM('Total electricity generation'!T$3:T$73)</f>
        <v>2.0667975327779658E-3</v>
      </c>
      <c r="U31">
        <f>'Total electricity generation'!U31/SUM('Total electricity generation'!U$3:U$73)</f>
        <v>2.0390312714275221E-3</v>
      </c>
      <c r="V31">
        <f>'Total electricity generation'!V31/SUM('Total electricity generation'!V$3:V$73)</f>
        <v>2.0127531845298276E-3</v>
      </c>
      <c r="W31">
        <f>'Total electricity generation'!W31/SUM('Total electricity generation'!W$3:W$73)</f>
        <v>1.9947585505599888E-3</v>
      </c>
      <c r="X31">
        <f>'Total electricity generation'!X31/SUM('Total electricity generation'!X$3:X$73)</f>
        <v>1.9773826829698497E-3</v>
      </c>
      <c r="Y31">
        <f>'Total electricity generation'!Y31/SUM('Total electricity generation'!Y$3:Y$73)</f>
        <v>1.9606270565218045E-3</v>
      </c>
      <c r="Z31">
        <f>'Total electricity generation'!Z31/SUM('Total electricity generation'!Z$3:Z$73)</f>
        <v>1.9442459030797304E-3</v>
      </c>
      <c r="AA31">
        <f>'Total electricity generation'!AA31/SUM('Total electricity generation'!AA$3:AA$73)</f>
        <v>1.9282390311724884E-3</v>
      </c>
      <c r="AB31">
        <f>'Total electricity generation'!AB31/SUM('Total electricity generation'!AB$3:AB$73)</f>
        <v>1.9156204529472373E-3</v>
      </c>
      <c r="AC31">
        <f>'Total electricity generation'!AC31/SUM('Total electricity generation'!AC$3:AC$73)</f>
        <v>1.9023807820577432E-3</v>
      </c>
      <c r="AD31">
        <f>'Total electricity generation'!AD31/SUM('Total electricity generation'!AD$3:AD$73)</f>
        <v>1.88856207822565E-3</v>
      </c>
      <c r="AE31">
        <f>'Total electricity generation'!AE31/SUM('Total electricity generation'!AE$3:AE$73)</f>
        <v>1.8740521094374049E-3</v>
      </c>
      <c r="AF31">
        <f>'Total electricity generation'!AF31/SUM('Total electricity generation'!AF$3:AF$73)</f>
        <v>1.8589498130639874E-3</v>
      </c>
      <c r="AG31">
        <f>'Total electricity generation'!AG31/SUM('Total electricity generation'!AG$3:AG$73)</f>
        <v>1.8427960450725703E-3</v>
      </c>
      <c r="AH31">
        <f>'Total electricity generation'!AH31/SUM('Total electricity generation'!AH$3:AH$73)</f>
        <v>1.8262442052181607E-3</v>
      </c>
      <c r="AI31">
        <f>'Total electricity generation'!AI31/SUM('Total electricity generation'!AI$3:AI$73)</f>
        <v>1.8092827714201228E-3</v>
      </c>
      <c r="AJ31">
        <f>'Total electricity generation'!AJ31/SUM('Total electricity generation'!AJ$3:AJ$73)</f>
        <v>1.791765028677597E-3</v>
      </c>
      <c r="AK31">
        <f>'Total electricity generation'!AK31/SUM('Total electricity generation'!AK$3:AK$73)</f>
        <v>1.7743108687601151E-3</v>
      </c>
      <c r="AL31">
        <f>'Total electricity generation'!AL31/SUM('Total electricity generation'!AL$3:AL$73)</f>
        <v>1.7567544529998804E-3</v>
      </c>
      <c r="AM31">
        <f>'Total electricity generation'!AM31/SUM('Total electricity generation'!AM$3:AM$73)</f>
        <v>1.7389922910937886E-3</v>
      </c>
      <c r="AN31">
        <f>'Total electricity generation'!AN31/SUM('Total electricity generation'!AN$3:AN$73)</f>
        <v>1.7214374221137237E-3</v>
      </c>
      <c r="AO31">
        <f>'Total electricity generation'!AO31/SUM('Total electricity generation'!AO$3:AO$73)</f>
        <v>1.7044845527152414E-3</v>
      </c>
      <c r="AP31">
        <f>'Total electricity generation'!AP31/SUM('Total electricity generation'!AP$3:AP$73)</f>
        <v>1.6880298655506719E-3</v>
      </c>
    </row>
    <row r="32" spans="1:42" x14ac:dyDescent="0.3">
      <c r="A32" t="s">
        <v>107</v>
      </c>
      <c r="B32">
        <f>'Total electricity generation'!B32/SUM('Total electricity generation'!B$3:B$73)</f>
        <v>7.931902910370916E-4</v>
      </c>
      <c r="C32">
        <f>'Total electricity generation'!C32/SUM('Total electricity generation'!C$3:C$73)</f>
        <v>7.7433413240069685E-4</v>
      </c>
      <c r="D32">
        <f>'Total electricity generation'!D32/SUM('Total electricity generation'!D$3:D$73)</f>
        <v>7.7140146553237015E-4</v>
      </c>
      <c r="E32">
        <f>'Total electricity generation'!E32/SUM('Total electricity generation'!E$3:E$73)</f>
        <v>7.7327294758845028E-4</v>
      </c>
      <c r="F32">
        <f>'Total electricity generation'!F32/SUM('Total electricity generation'!F$3:F$73)</f>
        <v>7.5503160402514238E-4</v>
      </c>
      <c r="G32">
        <f>'Total electricity generation'!G32/SUM('Total electricity generation'!G$3:G$73)</f>
        <v>7.7354671461685263E-4</v>
      </c>
      <c r="H32">
        <f>'Total electricity generation'!H32/SUM('Total electricity generation'!H$3:H$73)</f>
        <v>7.4182994191896476E-4</v>
      </c>
      <c r="I32">
        <f>'Total electricity generation'!I32/SUM('Total electricity generation'!I$3:I$73)</f>
        <v>7.4650907356254138E-4</v>
      </c>
      <c r="J32">
        <f>'Total electricity generation'!J32/SUM('Total electricity generation'!J$3:J$73)</f>
        <v>7.4322029518782379E-4</v>
      </c>
      <c r="K32">
        <f>'Total electricity generation'!K32/SUM('Total electricity generation'!K$3:K$73)</f>
        <v>7.2122720446408624E-4</v>
      </c>
      <c r="L32">
        <f>'Total electricity generation'!L32/SUM('Total electricity generation'!L$3:L$73)</f>
        <v>7.1181043029978517E-4</v>
      </c>
      <c r="M32">
        <f>'Total electricity generation'!M32/SUM('Total electricity generation'!M$3:M$73)</f>
        <v>6.8733189702828836E-4</v>
      </c>
      <c r="N32">
        <f>'Total electricity generation'!N32/SUM('Total electricity generation'!N$3:N$73)</f>
        <v>6.8901149336494493E-4</v>
      </c>
      <c r="O32">
        <f>'Total electricity generation'!O32/SUM('Total electricity generation'!O$3:O$73)</f>
        <v>6.7706194660135195E-4</v>
      </c>
      <c r="P32">
        <f>'Total electricity generation'!P32/SUM('Total electricity generation'!P$3:P$73)</f>
        <v>6.6793586206038416E-4</v>
      </c>
      <c r="Q32">
        <f>'Total electricity generation'!Q32/SUM('Total electricity generation'!Q$3:Q$73)</f>
        <v>6.5866522184262544E-4</v>
      </c>
      <c r="R32">
        <f>'Total electricity generation'!R32/SUM('Total electricity generation'!R$3:R$73)</f>
        <v>6.4971140041232794E-4</v>
      </c>
      <c r="S32">
        <f>'Total electricity generation'!S32/SUM('Total electricity generation'!S$3:S$73)</f>
        <v>6.4031944055717026E-4</v>
      </c>
      <c r="T32">
        <f>'Total electricity generation'!T32/SUM('Total electricity generation'!T$3:T$73)</f>
        <v>6.3050445786579903E-4</v>
      </c>
      <c r="U32">
        <f>'Total electricity generation'!U32/SUM('Total electricity generation'!U$3:U$73)</f>
        <v>6.2035912381272864E-4</v>
      </c>
      <c r="V32">
        <f>'Total electricity generation'!V32/SUM('Total electricity generation'!V$3:V$73)</f>
        <v>6.1022027269582173E-4</v>
      </c>
      <c r="W32">
        <f>'Total electricity generation'!W32/SUM('Total electricity generation'!W$3:W$73)</f>
        <v>6.0201069915555966E-4</v>
      </c>
      <c r="X32">
        <f>'Total electricity generation'!X32/SUM('Total electricity generation'!X$3:X$73)</f>
        <v>5.9353321461333235E-4</v>
      </c>
      <c r="Y32">
        <f>'Total electricity generation'!Y32/SUM('Total electricity generation'!Y$3:Y$73)</f>
        <v>5.8483204154475535E-4</v>
      </c>
      <c r="Z32">
        <f>'Total electricity generation'!Z32/SUM('Total electricity generation'!Z$3:Z$73)</f>
        <v>5.7588678995632698E-4</v>
      </c>
      <c r="AA32">
        <f>'Total electricity generation'!AA32/SUM('Total electricity generation'!AA$3:AA$73)</f>
        <v>5.6674472587424211E-4</v>
      </c>
      <c r="AB32">
        <f>'Total electricity generation'!AB32/SUM('Total electricity generation'!AB$3:AB$73)</f>
        <v>5.5910270054294615E-4</v>
      </c>
      <c r="AC32">
        <f>'Total electricity generation'!AC32/SUM('Total electricity generation'!AC$3:AC$73)</f>
        <v>5.5125786346439968E-4</v>
      </c>
      <c r="AD32">
        <f>'Total electricity generation'!AD32/SUM('Total electricity generation'!AD$3:AD$73)</f>
        <v>5.4325402947721793E-4</v>
      </c>
      <c r="AE32">
        <f>'Total electricity generation'!AE32/SUM('Total electricity generation'!AE$3:AE$73)</f>
        <v>5.3503939845640617E-4</v>
      </c>
      <c r="AF32">
        <f>'Total electricity generation'!AF32/SUM('Total electricity generation'!AF$3:AF$73)</f>
        <v>5.2666711652914384E-4</v>
      </c>
      <c r="AG32">
        <f>'Total electricity generation'!AG32/SUM('Total electricity generation'!AG$3:AG$73)</f>
        <v>5.180835721248344E-4</v>
      </c>
      <c r="AH32">
        <f>'Total electricity generation'!AH32/SUM('Total electricity generation'!AH$3:AH$73)</f>
        <v>5.0945225022558751E-4</v>
      </c>
      <c r="AI32">
        <f>'Total electricity generation'!AI32/SUM('Total electricity generation'!AI$3:AI$73)</f>
        <v>5.0075995246785083E-4</v>
      </c>
      <c r="AJ32">
        <f>'Total electricity generation'!AJ32/SUM('Total electricity generation'!AJ$3:AJ$73)</f>
        <v>4.9198831135716461E-4</v>
      </c>
      <c r="AK32">
        <f>'Total electricity generation'!AK32/SUM('Total electricity generation'!AK$3:AK$73)</f>
        <v>4.8329929266070591E-4</v>
      </c>
      <c r="AL32">
        <f>'Total electricity generation'!AL32/SUM('Total electricity generation'!AL$3:AL$73)</f>
        <v>4.7466662622205273E-4</v>
      </c>
      <c r="AM32">
        <f>'Total electricity generation'!AM32/SUM('Total electricity generation'!AM$3:AM$73)</f>
        <v>4.6601770770022741E-4</v>
      </c>
      <c r="AN32">
        <f>'Total electricity generation'!AN32/SUM('Total electricity generation'!AN$3:AN$73)</f>
        <v>4.5749550640247115E-4</v>
      </c>
      <c r="AO32">
        <f>'Total electricity generation'!AO32/SUM('Total electricity generation'!AO$3:AO$73)</f>
        <v>4.4913129065879658E-4</v>
      </c>
      <c r="AP32">
        <f>'Total electricity generation'!AP32/SUM('Total electricity generation'!AP$3:AP$73)</f>
        <v>4.4090180524074789E-4</v>
      </c>
    </row>
    <row r="33" spans="1:42" x14ac:dyDescent="0.3">
      <c r="A33" t="s">
        <v>108</v>
      </c>
      <c r="B33">
        <f>'Total electricity generation'!B33/SUM('Total electricity generation'!B$3:B$73)</f>
        <v>6.9290116865372195E-4</v>
      </c>
      <c r="C33">
        <f>'Total electricity generation'!C33/SUM('Total electricity generation'!C$3:C$73)</f>
        <v>5.1171919054745715E-4</v>
      </c>
      <c r="D33">
        <f>'Total electricity generation'!D33/SUM('Total electricity generation'!D$3:D$73)</f>
        <v>4.7274878805103046E-4</v>
      </c>
      <c r="E33">
        <f>'Total electricity generation'!E33/SUM('Total electricity generation'!E$3:E$73)</f>
        <v>5.9981582255449215E-4</v>
      </c>
      <c r="F33">
        <f>'Total electricity generation'!F33/SUM('Total electricity generation'!F$3:F$73)</f>
        <v>5.646759839869987E-4</v>
      </c>
      <c r="G33">
        <f>'Total electricity generation'!G33/SUM('Total electricity generation'!G$3:G$73)</f>
        <v>4.6921395748582214E-4</v>
      </c>
      <c r="H33">
        <f>'Total electricity generation'!H33/SUM('Total electricity generation'!H$3:H$73)</f>
        <v>5.1270246740550338E-4</v>
      </c>
      <c r="I33">
        <f>'Total electricity generation'!I33/SUM('Total electricity generation'!I$3:I$73)</f>
        <v>4.6499343666356487E-4</v>
      </c>
      <c r="J33">
        <f>'Total electricity generation'!J33/SUM('Total electricity generation'!J$3:J$73)</f>
        <v>5.1091671145447415E-4</v>
      </c>
      <c r="K33">
        <f>'Total electricity generation'!K33/SUM('Total electricity generation'!K$3:K$73)</f>
        <v>4.7222296751566113E-4</v>
      </c>
      <c r="L33">
        <f>'Total electricity generation'!L33/SUM('Total electricity generation'!L$3:L$73)</f>
        <v>4.9918099596574271E-4</v>
      </c>
      <c r="M33">
        <f>'Total electricity generation'!M33/SUM('Total electricity generation'!M$3:M$73)</f>
        <v>5.3418588623680774E-4</v>
      </c>
      <c r="N33">
        <f>'Total electricity generation'!N33/SUM('Total electricity generation'!N$3:N$73)</f>
        <v>4.8815711816145867E-4</v>
      </c>
      <c r="O33">
        <f>'Total electricity generation'!O33/SUM('Total electricity generation'!O$3:O$73)</f>
        <v>4.78178392183517E-4</v>
      </c>
      <c r="P33">
        <f>'Total electricity generation'!P33/SUM('Total electricity generation'!P$3:P$73)</f>
        <v>4.7081912270621832E-4</v>
      </c>
      <c r="Q33">
        <f>'Total electricity generation'!Q33/SUM('Total electricity generation'!Q$3:Q$73)</f>
        <v>4.6341882346842317E-4</v>
      </c>
      <c r="R33">
        <f>'Total electricity generation'!R33/SUM('Total electricity generation'!R$3:R$73)</f>
        <v>4.6728333992272856E-4</v>
      </c>
      <c r="S33">
        <f>'Total electricity generation'!S33/SUM('Total electricity generation'!S$3:S$73)</f>
        <v>4.7564231327649564E-4</v>
      </c>
      <c r="T33">
        <f>'Total electricity generation'!T33/SUM('Total electricity generation'!T$3:T$73)</f>
        <v>4.9024742875542913E-4</v>
      </c>
      <c r="U33">
        <f>'Total electricity generation'!U33/SUM('Total electricity generation'!U$3:U$73)</f>
        <v>5.129212693220646E-4</v>
      </c>
      <c r="V33">
        <f>'Total electricity generation'!V33/SUM('Total electricity generation'!V$3:V$73)</f>
        <v>5.4669695916346561E-4</v>
      </c>
      <c r="W33">
        <f>'Total electricity generation'!W33/SUM('Total electricity generation'!W$3:W$73)</f>
        <v>5.3834186844417076E-4</v>
      </c>
      <c r="X33">
        <f>'Total electricity generation'!X33/SUM('Total electricity generation'!X$3:X$73)</f>
        <v>5.3004140192254221E-4</v>
      </c>
      <c r="Y33">
        <f>'Total electricity generation'!Y33/SUM('Total electricity generation'!Y$3:Y$73)</f>
        <v>5.2173755147119118E-4</v>
      </c>
      <c r="Z33">
        <f>'Total electricity generation'!Z33/SUM('Total electricity generation'!Z$3:Z$73)</f>
        <v>5.1345659435612055E-4</v>
      </c>
      <c r="AA33">
        <f>'Total electricity generation'!AA33/SUM('Total electricity generation'!AA$3:AA$73)</f>
        <v>5.0495043232468635E-4</v>
      </c>
      <c r="AB33">
        <f>'Total electricity generation'!AB33/SUM('Total electricity generation'!AB$3:AB$73)</f>
        <v>4.9823597347341481E-4</v>
      </c>
      <c r="AC33">
        <f>'Total electricity generation'!AC33/SUM('Total electricity generation'!AC$3:AC$73)</f>
        <v>4.9152853947905266E-4</v>
      </c>
      <c r="AD33">
        <f>'Total electricity generation'!AD33/SUM('Total electricity generation'!AD$3:AD$73)</f>
        <v>4.8490535641951222E-4</v>
      </c>
      <c r="AE33">
        <f>'Total electricity generation'!AE33/SUM('Total electricity generation'!AE$3:AE$73)</f>
        <v>4.7828858606958652E-4</v>
      </c>
      <c r="AF33">
        <f>'Total electricity generation'!AF33/SUM('Total electricity generation'!AF$3:AF$73)</f>
        <v>4.7163243794567022E-4</v>
      </c>
      <c r="AG33">
        <f>'Total electricity generation'!AG33/SUM('Total electricity generation'!AG$3:AG$73)</f>
        <v>4.6471366328653427E-4</v>
      </c>
      <c r="AH33">
        <f>'Total electricity generation'!AH33/SUM('Total electricity generation'!AH$3:AH$73)</f>
        <v>4.5777979064620889E-4</v>
      </c>
      <c r="AI33">
        <f>'Total electricity generation'!AI33/SUM('Total electricity generation'!AI$3:AI$73)</f>
        <v>4.5087640132366458E-4</v>
      </c>
      <c r="AJ33">
        <f>'Total electricity generation'!AJ33/SUM('Total electricity generation'!AJ$3:AJ$73)</f>
        <v>4.4397346622583741E-4</v>
      </c>
      <c r="AK33">
        <f>'Total electricity generation'!AK33/SUM('Total electricity generation'!AK$3:AK$73)</f>
        <v>4.3719547041750094E-4</v>
      </c>
      <c r="AL33">
        <f>'Total electricity generation'!AL33/SUM('Total electricity generation'!AL$3:AL$73)</f>
        <v>4.3219329186216821E-4</v>
      </c>
      <c r="AM33">
        <f>'Total electricity generation'!AM33/SUM('Total electricity generation'!AM$3:AM$73)</f>
        <v>4.2713855501976287E-4</v>
      </c>
      <c r="AN33">
        <f>'Total electricity generation'!AN33/SUM('Total electricity generation'!AN$3:AN$73)</f>
        <v>4.222258531091174E-4</v>
      </c>
      <c r="AO33">
        <f>'Total electricity generation'!AO33/SUM('Total electricity generation'!AO$3:AO$73)</f>
        <v>4.1746642863826542E-4</v>
      </c>
      <c r="AP33">
        <f>'Total electricity generation'!AP33/SUM('Total electricity generation'!AP$3:AP$73)</f>
        <v>4.128114217949892E-4</v>
      </c>
    </row>
    <row r="34" spans="1:42" x14ac:dyDescent="0.3">
      <c r="A34" t="s">
        <v>109</v>
      </c>
      <c r="B34">
        <f>'Total electricity generation'!B34/SUM('Total electricity generation'!B$3:B$73)</f>
        <v>9.815352064426807E-3</v>
      </c>
      <c r="C34">
        <f>'Total electricity generation'!C34/SUM('Total electricity generation'!C$3:C$73)</f>
        <v>1.031577190260639E-2</v>
      </c>
      <c r="D34">
        <f>'Total electricity generation'!D34/SUM('Total electricity generation'!D$3:D$73)</f>
        <v>1.052260347740617E-2</v>
      </c>
      <c r="E34">
        <f>'Total electricity generation'!E34/SUM('Total electricity generation'!E$3:E$73)</f>
        <v>1.0238994346198229E-2</v>
      </c>
      <c r="F34">
        <f>'Total electricity generation'!F34/SUM('Total electricity generation'!F$3:F$73)</f>
        <v>1.0483078263136702E-2</v>
      </c>
      <c r="G34">
        <f>'Total electricity generation'!G34/SUM('Total electricity generation'!G$3:G$73)</f>
        <v>1.075155454911475E-2</v>
      </c>
      <c r="H34">
        <f>'Total electricity generation'!H34/SUM('Total electricity generation'!H$3:H$73)</f>
        <v>1.0945290886981729E-2</v>
      </c>
      <c r="I34">
        <f>'Total electricity generation'!I34/SUM('Total electricity generation'!I$3:I$73)</f>
        <v>1.1502285077474864E-2</v>
      </c>
      <c r="J34">
        <f>'Total electricity generation'!J34/SUM('Total electricity generation'!J$3:J$73)</f>
        <v>1.1388374225222913E-2</v>
      </c>
      <c r="K34">
        <f>'Total electricity generation'!K34/SUM('Total electricity generation'!K$3:K$73)</f>
        <v>1.1205635518822631E-2</v>
      </c>
      <c r="L34">
        <f>'Total electricity generation'!L34/SUM('Total electricity generation'!L$3:L$73)</f>
        <v>1.1381831121705141E-2</v>
      </c>
      <c r="M34">
        <f>'Total electricity generation'!M34/SUM('Total electricity generation'!M$3:M$73)</f>
        <v>1.1702384934265397E-2</v>
      </c>
      <c r="N34">
        <f>'Total electricity generation'!N34/SUM('Total electricity generation'!N$3:N$73)</f>
        <v>1.1219263319780955E-2</v>
      </c>
      <c r="O34">
        <f>'Total electricity generation'!O34/SUM('Total electricity generation'!O$3:O$73)</f>
        <v>1.100481742663665E-2</v>
      </c>
      <c r="P34">
        <f>'Total electricity generation'!P34/SUM('Total electricity generation'!P$3:P$73)</f>
        <v>1.0817517450608683E-2</v>
      </c>
      <c r="Q34">
        <f>'Total electricity generation'!Q34/SUM('Total electricity generation'!Q$3:Q$73)</f>
        <v>1.0634381146287706E-2</v>
      </c>
      <c r="R34">
        <f>'Total electricity generation'!R34/SUM('Total electricity generation'!R$3:R$73)</f>
        <v>1.0502682690164473E-2</v>
      </c>
      <c r="S34">
        <f>'Total electricity generation'!S34/SUM('Total electricity generation'!S$3:S$73)</f>
        <v>1.0367449626551678E-2</v>
      </c>
      <c r="T34">
        <f>'Total electricity generation'!T34/SUM('Total electricity generation'!T$3:T$73)</f>
        <v>1.0229378197893844E-2</v>
      </c>
      <c r="U34">
        <f>'Total electricity generation'!U34/SUM('Total electricity generation'!U$3:U$73)</f>
        <v>1.0089997355348284E-2</v>
      </c>
      <c r="V34">
        <f>'Total electricity generation'!V34/SUM('Total electricity generation'!V$3:V$73)</f>
        <v>9.9535720901479229E-3</v>
      </c>
      <c r="W34">
        <f>'Total electricity generation'!W34/SUM('Total electricity generation'!W$3:W$73)</f>
        <v>9.8311759942231475E-3</v>
      </c>
      <c r="X34">
        <f>'Total electricity generation'!X34/SUM('Total electricity generation'!X$3:X$73)</f>
        <v>9.7072839775831261E-3</v>
      </c>
      <c r="Y34">
        <f>'Total electricity generation'!Y34/SUM('Total electricity generation'!Y$3:Y$73)</f>
        <v>9.5821311774292144E-3</v>
      </c>
      <c r="Z34">
        <f>'Total electricity generation'!Z34/SUM('Total electricity generation'!Z$3:Z$73)</f>
        <v>9.4516590754181989E-3</v>
      </c>
      <c r="AA34">
        <f>'Total electricity generation'!AA34/SUM('Total electricity generation'!AA$3:AA$73)</f>
        <v>9.3260427603783572E-3</v>
      </c>
      <c r="AB34">
        <f>'Total electricity generation'!AB34/SUM('Total electricity generation'!AB$3:AB$73)</f>
        <v>9.2203607708128618E-3</v>
      </c>
      <c r="AC34">
        <f>'Total electricity generation'!AC34/SUM('Total electricity generation'!AC$3:AC$73)</f>
        <v>9.1137224299008383E-3</v>
      </c>
      <c r="AD34">
        <f>'Total electricity generation'!AD34/SUM('Total electricity generation'!AD$3:AD$73)</f>
        <v>9.0068826992386348E-3</v>
      </c>
      <c r="AE34">
        <f>'Total electricity generation'!AE34/SUM('Total electricity generation'!AE$3:AE$73)</f>
        <v>8.8980180291593422E-3</v>
      </c>
      <c r="AF34">
        <f>'Total electricity generation'!AF34/SUM('Total electricity generation'!AF$3:AF$73)</f>
        <v>8.7935530306599806E-3</v>
      </c>
      <c r="AG34">
        <f>'Total electricity generation'!AG34/SUM('Total electricity generation'!AG$3:AG$73)</f>
        <v>8.6884404069015424E-3</v>
      </c>
      <c r="AH34">
        <f>'Total electricity generation'!AH34/SUM('Total electricity generation'!AH$3:AH$73)</f>
        <v>8.5833614067330234E-3</v>
      </c>
      <c r="AI34">
        <f>'Total electricity generation'!AI34/SUM('Total electricity generation'!AI$3:AI$73)</f>
        <v>8.479007298735677E-3</v>
      </c>
      <c r="AJ34">
        <f>'Total electricity generation'!AJ34/SUM('Total electricity generation'!AJ$3:AJ$73)</f>
        <v>8.3755712656365857E-3</v>
      </c>
      <c r="AK34">
        <f>'Total electricity generation'!AK34/SUM('Total electricity generation'!AK$3:AK$73)</f>
        <v>8.273532921305525E-3</v>
      </c>
      <c r="AL34">
        <f>'Total electricity generation'!AL34/SUM('Total electricity generation'!AL$3:AL$73)</f>
        <v>8.1729800200933556E-3</v>
      </c>
      <c r="AM34">
        <f>'Total electricity generation'!AM34/SUM('Total electricity generation'!AM$3:AM$73)</f>
        <v>8.0723465551023315E-3</v>
      </c>
      <c r="AN34">
        <f>'Total electricity generation'!AN34/SUM('Total electricity generation'!AN$3:AN$73)</f>
        <v>7.9744934216971868E-3</v>
      </c>
      <c r="AO34">
        <f>'Total electricity generation'!AO34/SUM('Total electricity generation'!AO$3:AO$73)</f>
        <v>7.8753007135437224E-3</v>
      </c>
      <c r="AP34">
        <f>'Total electricity generation'!AP34/SUM('Total electricity generation'!AP$3:AP$73)</f>
        <v>7.7745548237511432E-3</v>
      </c>
    </row>
    <row r="35" spans="1:42" x14ac:dyDescent="0.3">
      <c r="A35" t="s">
        <v>110</v>
      </c>
      <c r="B35">
        <f>'Total electricity generation'!B35/SUM('Total electricity generation'!B$3:B$73)</f>
        <v>3.3756735523355908E-4</v>
      </c>
      <c r="C35">
        <f>'Total electricity generation'!C35/SUM('Total electricity generation'!C$3:C$73)</f>
        <v>3.0409182504772007E-4</v>
      </c>
      <c r="D35">
        <f>'Total electricity generation'!D35/SUM('Total electricity generation'!D$3:D$73)</f>
        <v>2.7525875988168564E-4</v>
      </c>
      <c r="E35">
        <f>'Total electricity generation'!E35/SUM('Total electricity generation'!E$3:E$73)</f>
        <v>2.6011952652925678E-4</v>
      </c>
      <c r="F35">
        <f>'Total electricity generation'!F35/SUM('Total electricity generation'!F$3:F$73)</f>
        <v>2.2388897202621613E-4</v>
      </c>
      <c r="G35">
        <f>'Total electricity generation'!G35/SUM('Total electricity generation'!G$3:G$73)</f>
        <v>2.3232324861571094E-4</v>
      </c>
      <c r="H35">
        <f>'Total electricity generation'!H35/SUM('Total electricity generation'!H$3:H$73)</f>
        <v>2.2512855523102785E-4</v>
      </c>
      <c r="I35">
        <f>'Total electricity generation'!I35/SUM('Total electricity generation'!I$3:I$73)</f>
        <v>2.1730304857313381E-4</v>
      </c>
      <c r="J35">
        <f>'Total electricity generation'!J35/SUM('Total electricity generation'!J$3:J$73)</f>
        <v>2.1015697432383415E-4</v>
      </c>
      <c r="K35">
        <f>'Total electricity generation'!K35/SUM('Total electricity generation'!K$3:K$73)</f>
        <v>2.1722371228038762E-4</v>
      </c>
      <c r="L35">
        <f>'Total electricity generation'!L35/SUM('Total electricity generation'!L$3:L$73)</f>
        <v>1.9903259483766654E-4</v>
      </c>
      <c r="M35">
        <f>'Total electricity generation'!M35/SUM('Total electricity generation'!M$3:M$73)</f>
        <v>1.9388746915544771E-4</v>
      </c>
      <c r="N35">
        <f>'Total electricity generation'!N35/SUM('Total electricity generation'!N$3:N$73)</f>
        <v>2.0324824420277508E-4</v>
      </c>
      <c r="O35">
        <f>'Total electricity generation'!O35/SUM('Total electricity generation'!O$3:O$73)</f>
        <v>1.98164285469575E-4</v>
      </c>
      <c r="P35">
        <f>'Total electricity generation'!P35/SUM('Total electricity generation'!P$3:P$73)</f>
        <v>1.9387369580392471E-4</v>
      </c>
      <c r="Q35">
        <f>'Total electricity generation'!Q35/SUM('Total electricity generation'!Q$3:Q$73)</f>
        <v>1.8973365866266516E-4</v>
      </c>
      <c r="R35">
        <f>'Total electricity generation'!R35/SUM('Total electricity generation'!R$3:R$73)</f>
        <v>1.8688480014316788E-4</v>
      </c>
      <c r="S35">
        <f>'Total electricity generation'!S35/SUM('Total electricity generation'!S$3:S$73)</f>
        <v>1.8406664501750234E-4</v>
      </c>
      <c r="T35">
        <f>'Total electricity generation'!T35/SUM('Total electricity generation'!T$3:T$73)</f>
        <v>1.8125877266037498E-4</v>
      </c>
      <c r="U35">
        <f>'Total electricity generation'!U35/SUM('Total electricity generation'!U$3:U$73)</f>
        <v>1.7872791490564891E-4</v>
      </c>
      <c r="V35">
        <f>'Total electricity generation'!V35/SUM('Total electricity generation'!V$3:V$73)</f>
        <v>1.7627400530467125E-4</v>
      </c>
      <c r="W35">
        <f>'Total electricity generation'!W35/SUM('Total electricity generation'!W$3:W$73)</f>
        <v>1.7361529460431993E-4</v>
      </c>
      <c r="X35">
        <f>'Total electricity generation'!X35/SUM('Total electricity generation'!X$3:X$73)</f>
        <v>1.7145976842500204E-4</v>
      </c>
      <c r="Y35">
        <f>'Total electricity generation'!Y35/SUM('Total electricity generation'!Y$3:Y$73)</f>
        <v>1.6927216817253055E-4</v>
      </c>
      <c r="Z35">
        <f>'Total electricity generation'!Z35/SUM('Total electricity generation'!Z$3:Z$73)</f>
        <v>1.6689184975244095E-4</v>
      </c>
      <c r="AA35">
        <f>'Total electricity generation'!AA35/SUM('Total electricity generation'!AA$3:AA$73)</f>
        <v>1.649036455538403E-4</v>
      </c>
      <c r="AB35">
        <f>'Total electricity generation'!AB35/SUM('Total electricity generation'!AB$3:AB$73)</f>
        <v>1.6332276292735522E-4</v>
      </c>
      <c r="AC35">
        <f>'Total electricity generation'!AC35/SUM('Total electricity generation'!AC$3:AC$73)</f>
        <v>1.6175087293524622E-4</v>
      </c>
      <c r="AD35">
        <f>'Total electricity generation'!AD35/SUM('Total electricity generation'!AD$3:AD$73)</f>
        <v>1.6010182034641133E-4</v>
      </c>
      <c r="AE35">
        <f>'Total electricity generation'!AE35/SUM('Total electricity generation'!AE$3:AE$73)</f>
        <v>1.5839246236466498E-4</v>
      </c>
      <c r="AF35">
        <f>'Total electricity generation'!AF35/SUM('Total electricity generation'!AF$3:AF$73)</f>
        <v>1.5677030324288388E-4</v>
      </c>
      <c r="AG35">
        <f>'Total electricity generation'!AG35/SUM('Total electricity generation'!AG$3:AG$73)</f>
        <v>1.5512907134445836E-4</v>
      </c>
      <c r="AH35">
        <f>'Total electricity generation'!AH35/SUM('Total electricity generation'!AH$3:AH$73)</f>
        <v>1.533584966191449E-4</v>
      </c>
      <c r="AI35">
        <f>'Total electricity generation'!AI35/SUM('Total electricity generation'!AI$3:AI$73)</f>
        <v>1.5156943826939094E-4</v>
      </c>
      <c r="AJ35">
        <f>'Total electricity generation'!AJ35/SUM('Total electricity generation'!AJ$3:AJ$73)</f>
        <v>1.4973400791944385E-4</v>
      </c>
      <c r="AK35">
        <f>'Total electricity generation'!AK35/SUM('Total electricity generation'!AK$3:AK$73)</f>
        <v>1.4788234037397819E-4</v>
      </c>
      <c r="AL35">
        <f>'Total electricity generation'!AL35/SUM('Total electricity generation'!AL$3:AL$73)</f>
        <v>1.4599009681659462E-4</v>
      </c>
      <c r="AM35">
        <f>'Total electricity generation'!AM35/SUM('Total electricity generation'!AM$3:AM$73)</f>
        <v>1.4400655452818746E-4</v>
      </c>
      <c r="AN35">
        <f>'Total electricity generation'!AN35/SUM('Total electricity generation'!AN$3:AN$73)</f>
        <v>1.4199797707621715E-4</v>
      </c>
      <c r="AO35">
        <f>'Total electricity generation'!AO35/SUM('Total electricity generation'!AO$3:AO$73)</f>
        <v>1.3994734330569829E-4</v>
      </c>
      <c r="AP35">
        <f>'Total electricity generation'!AP35/SUM('Total electricity generation'!AP$3:AP$73)</f>
        <v>1.3788326514888689E-4</v>
      </c>
    </row>
    <row r="36" spans="1:42" x14ac:dyDescent="0.3">
      <c r="A36" t="s">
        <v>111</v>
      </c>
      <c r="B36">
        <f>'Total electricity generation'!B36/SUM('Total electricity generation'!B$3:B$73)</f>
        <v>0.20340925385637434</v>
      </c>
      <c r="C36">
        <f>'Total electricity generation'!C36/SUM('Total electricity generation'!C$3:C$73)</f>
        <v>0.19550125969325885</v>
      </c>
      <c r="D36">
        <f>'Total electricity generation'!D36/SUM('Total electricity generation'!D$3:D$73)</f>
        <v>0.18842284109878674</v>
      </c>
      <c r="E36">
        <f>'Total electricity generation'!E36/SUM('Total electricity generation'!E$3:E$73)</f>
        <v>0.18362948882864469</v>
      </c>
      <c r="F36">
        <f>'Total electricity generation'!F36/SUM('Total electricity generation'!F$3:F$73)</f>
        <v>0.18064569639558273</v>
      </c>
      <c r="G36">
        <f>'Total electricity generation'!G36/SUM('Total electricity generation'!G$3:G$73)</f>
        <v>0.17741665643681687</v>
      </c>
      <c r="H36">
        <f>'Total electricity generation'!H36/SUM('Total electricity generation'!H$3:H$73)</f>
        <v>0.17261882853850774</v>
      </c>
      <c r="I36">
        <f>'Total electricity generation'!I36/SUM('Total electricity generation'!I$3:I$73)</f>
        <v>0.16611422482244625</v>
      </c>
      <c r="J36">
        <f>'Total electricity generation'!J36/SUM('Total electricity generation'!J$3:J$73)</f>
        <v>0.16679243072303579</v>
      </c>
      <c r="K36">
        <f>'Total electricity generation'!K36/SUM('Total electricity generation'!K$3:K$73)</f>
        <v>0.16233895316735597</v>
      </c>
      <c r="L36">
        <f>'Total electricity generation'!L36/SUM('Total electricity generation'!L$3:L$73)</f>
        <v>0.15838564281534726</v>
      </c>
      <c r="M36">
        <f>'Total electricity generation'!M36/SUM('Total electricity generation'!M$3:M$73)</f>
        <v>0.15316583030275233</v>
      </c>
      <c r="N36">
        <f>'Total electricity generation'!N36/SUM('Total electricity generation'!N$3:N$73)</f>
        <v>0.15381579181818017</v>
      </c>
      <c r="O36">
        <f>'Total electricity generation'!O36/SUM('Total electricity generation'!O$3:O$73)</f>
        <v>0.15051262294832546</v>
      </c>
      <c r="P36">
        <f>'Total electricity generation'!P36/SUM('Total electricity generation'!P$3:P$73)</f>
        <v>0.1474220815157902</v>
      </c>
      <c r="Q36">
        <f>'Total electricity generation'!Q36/SUM('Total electricity generation'!Q$3:Q$73)</f>
        <v>0.14441113267717531</v>
      </c>
      <c r="R36">
        <f>'Total electricity generation'!R36/SUM('Total electricity generation'!R$3:R$73)</f>
        <v>0.14180886768461909</v>
      </c>
      <c r="S36">
        <f>'Total electricity generation'!S36/SUM('Total electricity generation'!S$3:S$73)</f>
        <v>0.13927339970413516</v>
      </c>
      <c r="T36">
        <f>'Total electricity generation'!T36/SUM('Total electricity generation'!T$3:T$73)</f>
        <v>0.13680505785215291</v>
      </c>
      <c r="U36">
        <f>'Total electricity generation'!U36/SUM('Total electricity generation'!U$3:U$73)</f>
        <v>0.13439696426082356</v>
      </c>
      <c r="V36">
        <f>'Total electricity generation'!V36/SUM('Total electricity generation'!V$3:V$73)</f>
        <v>0.13212260409473506</v>
      </c>
      <c r="W36">
        <f>'Total electricity generation'!W36/SUM('Total electricity generation'!W$3:W$73)</f>
        <v>0.1305333434037626</v>
      </c>
      <c r="X36">
        <f>'Total electricity generation'!X36/SUM('Total electricity generation'!X$3:X$73)</f>
        <v>0.12901473945165953</v>
      </c>
      <c r="Y36">
        <f>'Total electricity generation'!Y36/SUM('Total electricity generation'!Y$3:Y$73)</f>
        <v>0.1275703019670853</v>
      </c>
      <c r="Z36">
        <f>'Total electricity generation'!Z36/SUM('Total electricity generation'!Z$3:Z$73)</f>
        <v>0.12621128983829019</v>
      </c>
      <c r="AA36">
        <f>'Total electricity generation'!AA36/SUM('Total electricity generation'!AA$3:AA$73)</f>
        <v>0.12491885805696752</v>
      </c>
      <c r="AB36">
        <f>'Total electricity generation'!AB36/SUM('Total electricity generation'!AB$3:AB$73)</f>
        <v>0.12397699023867254</v>
      </c>
      <c r="AC36">
        <f>'Total electricity generation'!AC36/SUM('Total electricity generation'!AC$3:AC$73)</f>
        <v>0.1230943049427126</v>
      </c>
      <c r="AD36">
        <f>'Total electricity generation'!AD36/SUM('Total electricity generation'!AD$3:AD$73)</f>
        <v>0.1222598633692546</v>
      </c>
      <c r="AE36">
        <f>'Total electricity generation'!AE36/SUM('Total electricity generation'!AE$3:AE$73)</f>
        <v>0.12145453503137874</v>
      </c>
      <c r="AF36">
        <f>'Total electricity generation'!AF36/SUM('Total electricity generation'!AF$3:AF$73)</f>
        <v>0.12066019158083502</v>
      </c>
      <c r="AG36">
        <f>'Total electricity generation'!AG36/SUM('Total electricity generation'!AG$3:AG$73)</f>
        <v>0.11982900338027207</v>
      </c>
      <c r="AH36">
        <f>'Total electricity generation'!AH36/SUM('Total electricity generation'!AH$3:AH$73)</f>
        <v>0.11898533010375821</v>
      </c>
      <c r="AI36">
        <f>'Total electricity generation'!AI36/SUM('Total electricity generation'!AI$3:AI$73)</f>
        <v>0.11809054179414191</v>
      </c>
      <c r="AJ36">
        <f>'Total electricity generation'!AJ36/SUM('Total electricity generation'!AJ$3:AJ$73)</f>
        <v>0.11711205516858154</v>
      </c>
      <c r="AK36">
        <f>'Total electricity generation'!AK36/SUM('Total electricity generation'!AK$3:AK$73)</f>
        <v>0.11608297154623229</v>
      </c>
      <c r="AL36">
        <f>'Total electricity generation'!AL36/SUM('Total electricity generation'!AL$3:AL$73)</f>
        <v>0.11497621797281832</v>
      </c>
      <c r="AM36">
        <f>'Total electricity generation'!AM36/SUM('Total electricity generation'!AM$3:AM$73)</f>
        <v>0.11377146499018577</v>
      </c>
      <c r="AN36">
        <f>'Total electricity generation'!AN36/SUM('Total electricity generation'!AN$3:AN$73)</f>
        <v>0.11247894429805874</v>
      </c>
      <c r="AO36">
        <f>'Total electricity generation'!AO36/SUM('Total electricity generation'!AO$3:AO$73)</f>
        <v>0.11111026302950378</v>
      </c>
      <c r="AP36">
        <f>'Total electricity generation'!AP36/SUM('Total electricity generation'!AP$3:AP$73)</f>
        <v>0.10966732444582281</v>
      </c>
    </row>
    <row r="37" spans="1:42" x14ac:dyDescent="0.3">
      <c r="A37" t="s">
        <v>112</v>
      </c>
      <c r="B37">
        <f>'Total electricity generation'!B37/SUM('Total electricity generation'!B$3:B$73)</f>
        <v>5.3472310208954453E-2</v>
      </c>
      <c r="C37">
        <f>'Total electricity generation'!C37/SUM('Total electricity generation'!C$3:C$73)</f>
        <v>4.9027573803594605E-2</v>
      </c>
      <c r="D37">
        <f>'Total electricity generation'!D37/SUM('Total electricity generation'!D$3:D$73)</f>
        <v>4.7386379812109185E-2</v>
      </c>
      <c r="E37">
        <f>'Total electricity generation'!E37/SUM('Total electricity generation'!E$3:E$73)</f>
        <v>4.6194383367555644E-2</v>
      </c>
      <c r="F37">
        <f>'Total electricity generation'!F37/SUM('Total electricity generation'!F$3:F$73)</f>
        <v>4.3939344161611563E-2</v>
      </c>
      <c r="G37">
        <f>'Total electricity generation'!G37/SUM('Total electricity generation'!G$3:G$73)</f>
        <v>4.2699874510022828E-2</v>
      </c>
      <c r="H37">
        <f>'Total electricity generation'!H37/SUM('Total electricity generation'!H$3:H$73)</f>
        <v>4.1987503888849143E-2</v>
      </c>
      <c r="I37">
        <f>'Total electricity generation'!I37/SUM('Total electricity generation'!I$3:I$73)</f>
        <v>4.1128741603429698E-2</v>
      </c>
      <c r="J37">
        <f>'Total electricity generation'!J37/SUM('Total electricity generation'!J$3:J$73)</f>
        <v>3.9274413721726451E-2</v>
      </c>
      <c r="K37">
        <f>'Total electricity generation'!K37/SUM('Total electricity generation'!K$3:K$73)</f>
        <v>3.7738583835159441E-2</v>
      </c>
      <c r="L37">
        <f>'Total electricity generation'!L37/SUM('Total electricity generation'!L$3:L$73)</f>
        <v>3.7228273084371225E-2</v>
      </c>
      <c r="M37">
        <f>'Total electricity generation'!M37/SUM('Total electricity generation'!M$3:M$73)</f>
        <v>3.6171191244656314E-2</v>
      </c>
      <c r="N37">
        <f>'Total electricity generation'!N37/SUM('Total electricity generation'!N$3:N$73)</f>
        <v>3.4343119023815587E-2</v>
      </c>
      <c r="O37">
        <f>'Total electricity generation'!O37/SUM('Total electricity generation'!O$3:O$73)</f>
        <v>3.3530684653634027E-2</v>
      </c>
      <c r="P37">
        <f>'Total electricity generation'!P37/SUM('Total electricity generation'!P$3:P$73)</f>
        <v>3.2795867635952457E-2</v>
      </c>
      <c r="Q37">
        <f>'Total electricity generation'!Q37/SUM('Total electricity generation'!Q$3:Q$73)</f>
        <v>3.2057749232293972E-2</v>
      </c>
      <c r="R37">
        <f>'Total electricity generation'!R37/SUM('Total electricity generation'!R$3:R$73)</f>
        <v>3.1625644799485986E-2</v>
      </c>
      <c r="S37">
        <f>'Total electricity generation'!S37/SUM('Total electricity generation'!S$3:S$73)</f>
        <v>3.1205409836237964E-2</v>
      </c>
      <c r="T37">
        <f>'Total electricity generation'!T37/SUM('Total electricity generation'!T$3:T$73)</f>
        <v>3.0802437936429734E-2</v>
      </c>
      <c r="U37">
        <f>'Total electricity generation'!U37/SUM('Total electricity generation'!U$3:U$73)</f>
        <v>3.0400336334754401E-2</v>
      </c>
      <c r="V37">
        <f>'Total electricity generation'!V37/SUM('Total electricity generation'!V$3:V$73)</f>
        <v>3.0013326829984782E-2</v>
      </c>
      <c r="W37">
        <f>'Total electricity generation'!W37/SUM('Total electricity generation'!W$3:W$73)</f>
        <v>2.9646811935083436E-2</v>
      </c>
      <c r="X37">
        <f>'Total electricity generation'!X37/SUM('Total electricity generation'!X$3:X$73)</f>
        <v>2.9280223066033929E-2</v>
      </c>
      <c r="Y37">
        <f>'Total electricity generation'!Y37/SUM('Total electricity generation'!Y$3:Y$73)</f>
        <v>2.8914127399379763E-2</v>
      </c>
      <c r="Z37">
        <f>'Total electricity generation'!Z37/SUM('Total electricity generation'!Z$3:Z$73)</f>
        <v>2.8548604320478427E-2</v>
      </c>
      <c r="AA37">
        <f>'Total electricity generation'!AA37/SUM('Total electricity generation'!AA$3:AA$73)</f>
        <v>2.8200271069388966E-2</v>
      </c>
      <c r="AB37">
        <f>'Total electricity generation'!AB37/SUM('Total electricity generation'!AB$3:AB$73)</f>
        <v>2.7909377228927796E-2</v>
      </c>
      <c r="AC37">
        <f>'Total electricity generation'!AC37/SUM('Total electricity generation'!AC$3:AC$73)</f>
        <v>2.7585047518738637E-2</v>
      </c>
      <c r="AD37">
        <f>'Total electricity generation'!AD37/SUM('Total electricity generation'!AD$3:AD$73)</f>
        <v>2.7265484850891322E-2</v>
      </c>
      <c r="AE37">
        <f>'Total electricity generation'!AE37/SUM('Total electricity generation'!AE$3:AE$73)</f>
        <v>2.6950487718069512E-2</v>
      </c>
      <c r="AF37">
        <f>'Total electricity generation'!AF37/SUM('Total electricity generation'!AF$3:AF$73)</f>
        <v>2.6644304408048845E-2</v>
      </c>
      <c r="AG37">
        <f>'Total electricity generation'!AG37/SUM('Total electricity generation'!AG$3:AG$73)</f>
        <v>2.6341525532423624E-2</v>
      </c>
      <c r="AH37">
        <f>'Total electricity generation'!AH37/SUM('Total electricity generation'!AH$3:AH$73)</f>
        <v>2.6048999586295894E-2</v>
      </c>
      <c r="AI37">
        <f>'Total electricity generation'!AI37/SUM('Total electricity generation'!AI$3:AI$73)</f>
        <v>2.5765505896698789E-2</v>
      </c>
      <c r="AJ37">
        <f>'Total electricity generation'!AJ37/SUM('Total electricity generation'!AJ$3:AJ$73)</f>
        <v>2.5490964881785837E-2</v>
      </c>
      <c r="AK37">
        <f>'Total electricity generation'!AK37/SUM('Total electricity generation'!AK$3:AK$73)</f>
        <v>2.5230171238782514E-2</v>
      </c>
      <c r="AL37">
        <f>'Total electricity generation'!AL37/SUM('Total electricity generation'!AL$3:AL$73)</f>
        <v>2.4984710035228754E-2</v>
      </c>
      <c r="AM37">
        <f>'Total electricity generation'!AM37/SUM('Total electricity generation'!AM$3:AM$73)</f>
        <v>2.4747764873164393E-2</v>
      </c>
      <c r="AN37">
        <f>'Total electricity generation'!AN37/SUM('Total electricity generation'!AN$3:AN$73)</f>
        <v>2.4510072478071881E-2</v>
      </c>
      <c r="AO37">
        <f>'Total electricity generation'!AO37/SUM('Total electricity generation'!AO$3:AO$73)</f>
        <v>2.424005500857588E-2</v>
      </c>
      <c r="AP37">
        <f>'Total electricity generation'!AP37/SUM('Total electricity generation'!AP$3:AP$73)</f>
        <v>2.3960821413828239E-2</v>
      </c>
    </row>
    <row r="38" spans="1:42" x14ac:dyDescent="0.3">
      <c r="A38" t="s">
        <v>113</v>
      </c>
      <c r="B38">
        <f>'Total electricity generation'!B38/SUM('Total electricity generation'!B$3:B$73)</f>
        <v>2.7899523438125684E-2</v>
      </c>
      <c r="C38">
        <f>'Total electricity generation'!C38/SUM('Total electricity generation'!C$3:C$73)</f>
        <v>2.8381588736548068E-2</v>
      </c>
      <c r="D38">
        <f>'Total electricity generation'!D38/SUM('Total electricity generation'!D$3:D$73)</f>
        <v>2.7663857024142473E-2</v>
      </c>
      <c r="E38">
        <f>'Total electricity generation'!E38/SUM('Total electricity generation'!E$3:E$73)</f>
        <v>2.7960288030088123E-2</v>
      </c>
      <c r="F38">
        <f>'Total electricity generation'!F38/SUM('Total electricity generation'!F$3:F$73)</f>
        <v>2.7346742259941263E-2</v>
      </c>
      <c r="G38">
        <f>'Total electricity generation'!G38/SUM('Total electricity generation'!G$3:G$73)</f>
        <v>2.7065452722277422E-2</v>
      </c>
      <c r="H38">
        <f>'Total electricity generation'!H38/SUM('Total electricity generation'!H$3:H$73)</f>
        <v>2.6587505045035285E-2</v>
      </c>
      <c r="I38">
        <f>'Total electricity generation'!I38/SUM('Total electricity generation'!I$3:I$73)</f>
        <v>2.5705811905271565E-2</v>
      </c>
      <c r="J38">
        <f>'Total electricity generation'!J38/SUM('Total electricity generation'!J$3:J$73)</f>
        <v>2.4670564293606655E-2</v>
      </c>
      <c r="K38">
        <f>'Total electricity generation'!K38/SUM('Total electricity generation'!K$3:K$73)</f>
        <v>2.4126584650130692E-2</v>
      </c>
      <c r="L38">
        <f>'Total electricity generation'!L38/SUM('Total electricity generation'!L$3:L$73)</f>
        <v>2.4249528304104949E-2</v>
      </c>
      <c r="M38">
        <f>'Total electricity generation'!M38/SUM('Total electricity generation'!M$3:M$73)</f>
        <v>2.2593432118296317E-2</v>
      </c>
      <c r="N38">
        <f>'Total electricity generation'!N38/SUM('Total electricity generation'!N$3:N$73)</f>
        <v>2.2305196099096702E-2</v>
      </c>
      <c r="O38">
        <f>'Total electricity generation'!O38/SUM('Total electricity generation'!O$3:O$73)</f>
        <v>2.1708687892225458E-2</v>
      </c>
      <c r="P38">
        <f>'Total electricity generation'!P38/SUM('Total electricity generation'!P$3:P$73)</f>
        <v>2.1206010051380796E-2</v>
      </c>
      <c r="Q38">
        <f>'Total electricity generation'!Q38/SUM('Total electricity generation'!Q$3:Q$73)</f>
        <v>2.0732130360754657E-2</v>
      </c>
      <c r="R38">
        <f>'Total electricity generation'!R38/SUM('Total electricity generation'!R$3:R$73)</f>
        <v>2.0264883547258642E-2</v>
      </c>
      <c r="S38">
        <f>'Total electricity generation'!S38/SUM('Total electricity generation'!S$3:S$73)</f>
        <v>1.9819190432023813E-2</v>
      </c>
      <c r="T38">
        <f>'Total electricity generation'!T38/SUM('Total electricity generation'!T$3:T$73)</f>
        <v>1.9390343998613904E-2</v>
      </c>
      <c r="U38">
        <f>'Total electricity generation'!U38/SUM('Total electricity generation'!U$3:U$73)</f>
        <v>1.8980914285942226E-2</v>
      </c>
      <c r="V38">
        <f>'Total electricity generation'!V38/SUM('Total electricity generation'!V$3:V$73)</f>
        <v>1.8594630770599193E-2</v>
      </c>
      <c r="W38">
        <f>'Total electricity generation'!W38/SUM('Total electricity generation'!W$3:W$73)</f>
        <v>1.8331485247027601E-2</v>
      </c>
      <c r="X38">
        <f>'Total electricity generation'!X38/SUM('Total electricity generation'!X$3:X$73)</f>
        <v>1.8078214601159499E-2</v>
      </c>
      <c r="Y38">
        <f>'Total electricity generation'!Y38/SUM('Total electricity generation'!Y$3:Y$73)</f>
        <v>1.783841202946217E-2</v>
      </c>
      <c r="Z38">
        <f>'Total electricity generation'!Z38/SUM('Total electricity generation'!Z$3:Z$73)</f>
        <v>1.7608809739831963E-2</v>
      </c>
      <c r="AA38">
        <f>'Total electricity generation'!AA38/SUM('Total electricity generation'!AA$3:AA$73)</f>
        <v>1.7392888428872308E-2</v>
      </c>
      <c r="AB38">
        <f>'Total electricity generation'!AB38/SUM('Total electricity generation'!AB$3:AB$73)</f>
        <v>1.722295141197102E-2</v>
      </c>
      <c r="AC38">
        <f>'Total electricity generation'!AC38/SUM('Total electricity generation'!AC$3:AC$73)</f>
        <v>1.7060128420283472E-2</v>
      </c>
      <c r="AD38">
        <f>'Total electricity generation'!AD38/SUM('Total electricity generation'!AD$3:AD$73)</f>
        <v>1.6906086146755227E-2</v>
      </c>
      <c r="AE38">
        <f>'Total electricity generation'!AE38/SUM('Total electricity generation'!AE$3:AE$73)</f>
        <v>1.675853247777467E-2</v>
      </c>
      <c r="AF38">
        <f>'Total electricity generation'!AF38/SUM('Total electricity generation'!AF$3:AF$73)</f>
        <v>1.6617335233695536E-2</v>
      </c>
      <c r="AG38">
        <f>'Total electricity generation'!AG38/SUM('Total electricity generation'!AG$3:AG$73)</f>
        <v>1.647665666308663E-2</v>
      </c>
      <c r="AH38">
        <f>'Total electricity generation'!AH38/SUM('Total electricity generation'!AH$3:AH$73)</f>
        <v>1.6341858773716574E-2</v>
      </c>
      <c r="AI38">
        <f>'Total electricity generation'!AI38/SUM('Total electricity generation'!AI$3:AI$73)</f>
        <v>1.6209276316039665E-2</v>
      </c>
      <c r="AJ38">
        <f>'Total electricity generation'!AJ38/SUM('Total electricity generation'!AJ$3:AJ$73)</f>
        <v>1.6077145352459653E-2</v>
      </c>
      <c r="AK38">
        <f>'Total electricity generation'!AK38/SUM('Total electricity generation'!AK$3:AK$73)</f>
        <v>1.5948907190682461E-2</v>
      </c>
      <c r="AL38">
        <f>'Total electricity generation'!AL38/SUM('Total electricity generation'!AL$3:AL$73)</f>
        <v>1.5814390848650564E-2</v>
      </c>
      <c r="AM38">
        <f>'Total electricity generation'!AM38/SUM('Total electricity generation'!AM$3:AM$73)</f>
        <v>1.567588606214616E-2</v>
      </c>
      <c r="AN38">
        <f>'Total electricity generation'!AN38/SUM('Total electricity generation'!AN$3:AN$73)</f>
        <v>1.5533813262281612E-2</v>
      </c>
      <c r="AO38">
        <f>'Total electricity generation'!AO38/SUM('Total electricity generation'!AO$3:AO$73)</f>
        <v>1.5389143830200191E-2</v>
      </c>
      <c r="AP38">
        <f>'Total electricity generation'!AP38/SUM('Total electricity generation'!AP$3:AP$73)</f>
        <v>1.5240363947102837E-2</v>
      </c>
    </row>
    <row r="39" spans="1:42" x14ac:dyDescent="0.3">
      <c r="A39" t="s">
        <v>114</v>
      </c>
      <c r="B39">
        <f>'Total electricity generation'!B39/SUM('Total electricity generation'!B$3:B$73)</f>
        <v>1.1747948421579377E-2</v>
      </c>
      <c r="C39">
        <f>'Total electricity generation'!C39/SUM('Total electricity generation'!C$3:C$73)</f>
        <v>1.1419482607158938E-2</v>
      </c>
      <c r="D39">
        <f>'Total electricity generation'!D39/SUM('Total electricity generation'!D$3:D$73)</f>
        <v>1.1030175004131469E-2</v>
      </c>
      <c r="E39">
        <f>'Total electricity generation'!E39/SUM('Total electricity generation'!E$3:E$73)</f>
        <v>1.0644198590593082E-2</v>
      </c>
      <c r="F39">
        <f>'Total electricity generation'!F39/SUM('Total electricity generation'!F$3:F$73)</f>
        <v>1.0309183106970453E-2</v>
      </c>
      <c r="G39">
        <f>'Total electricity generation'!G39/SUM('Total electricity generation'!G$3:G$73)</f>
        <v>1.0345297476216608E-2</v>
      </c>
      <c r="H39">
        <f>'Total electricity generation'!H39/SUM('Total electricity generation'!H$3:H$73)</f>
        <v>1.0260167945474684E-2</v>
      </c>
      <c r="I39">
        <f>'Total electricity generation'!I39/SUM('Total electricity generation'!I$3:I$73)</f>
        <v>1.0011842501581278E-2</v>
      </c>
      <c r="J39">
        <f>'Total electricity generation'!J39/SUM('Total electricity generation'!J$3:J$73)</f>
        <v>9.7822601393423407E-3</v>
      </c>
      <c r="K39">
        <f>'Total electricity generation'!K39/SUM('Total electricity generation'!K$3:K$73)</f>
        <v>9.7708235258704475E-3</v>
      </c>
      <c r="L39">
        <f>'Total electricity generation'!L39/SUM('Total electricity generation'!L$3:L$73)</f>
        <v>9.8780030323687238E-3</v>
      </c>
      <c r="M39">
        <f>'Total electricity generation'!M39/SUM('Total electricity generation'!M$3:M$73)</f>
        <v>9.3161126106715338E-3</v>
      </c>
      <c r="N39">
        <f>'Total electricity generation'!N39/SUM('Total electricity generation'!N$3:N$73)</f>
        <v>9.3100609140479972E-3</v>
      </c>
      <c r="O39">
        <f>'Total electricity generation'!O39/SUM('Total electricity generation'!O$3:O$73)</f>
        <v>9.4336963083493479E-3</v>
      </c>
      <c r="P39">
        <f>'Total electricity generation'!P39/SUM('Total electricity generation'!P$3:P$73)</f>
        <v>9.5466606399932669E-3</v>
      </c>
      <c r="Q39">
        <f>'Total electricity generation'!Q39/SUM('Total electricity generation'!Q$3:Q$73)</f>
        <v>9.6471716985448309E-3</v>
      </c>
      <c r="R39">
        <f>'Total electricity generation'!R39/SUM('Total electricity generation'!R$3:R$73)</f>
        <v>9.7391266558950682E-3</v>
      </c>
      <c r="S39">
        <f>'Total electricity generation'!S39/SUM('Total electricity generation'!S$3:S$73)</f>
        <v>9.8311704895143303E-3</v>
      </c>
      <c r="T39">
        <f>'Total electricity generation'!T39/SUM('Total electricity generation'!T$3:T$73)</f>
        <v>9.9246054094449896E-3</v>
      </c>
      <c r="U39">
        <f>'Total electricity generation'!U39/SUM('Total electricity generation'!U$3:U$73)</f>
        <v>1.0017939757042278E-2</v>
      </c>
      <c r="V39">
        <f>'Total electricity generation'!V39/SUM('Total electricity generation'!V$3:V$73)</f>
        <v>1.0113786284567168E-2</v>
      </c>
      <c r="W39">
        <f>'Total electricity generation'!W39/SUM('Total electricity generation'!W$3:W$73)</f>
        <v>1.0195386945955559E-2</v>
      </c>
      <c r="X39">
        <f>'Total electricity generation'!X39/SUM('Total electricity generation'!X$3:X$73)</f>
        <v>1.0278297216513126E-2</v>
      </c>
      <c r="Y39">
        <f>'Total electricity generation'!Y39/SUM('Total electricity generation'!Y$3:Y$73)</f>
        <v>1.0361043998121898E-2</v>
      </c>
      <c r="Z39">
        <f>'Total electricity generation'!Z39/SUM('Total electricity generation'!Z$3:Z$73)</f>
        <v>1.0443195745261584E-2</v>
      </c>
      <c r="AA39">
        <f>'Total electricity generation'!AA39/SUM('Total electricity generation'!AA$3:AA$73)</f>
        <v>1.052608571725311E-2</v>
      </c>
      <c r="AB39">
        <f>'Total electricity generation'!AB39/SUM('Total electricity generation'!AB$3:AB$73)</f>
        <v>1.0596319897548606E-2</v>
      </c>
      <c r="AC39">
        <f>'Total electricity generation'!AC39/SUM('Total electricity generation'!AC$3:AC$73)</f>
        <v>1.0667994978606335E-2</v>
      </c>
      <c r="AD39">
        <f>'Total electricity generation'!AD39/SUM('Total electricity generation'!AD$3:AD$73)</f>
        <v>1.0740598825324426E-2</v>
      </c>
      <c r="AE39">
        <f>'Total electricity generation'!AE39/SUM('Total electricity generation'!AE$3:AE$73)</f>
        <v>1.0814072181822487E-2</v>
      </c>
      <c r="AF39">
        <f>'Total electricity generation'!AF39/SUM('Total electricity generation'!AF$3:AF$73)</f>
        <v>1.0888095586135712E-2</v>
      </c>
      <c r="AG39">
        <f>'Total electricity generation'!AG39/SUM('Total electricity generation'!AG$3:AG$73)</f>
        <v>1.096097150976518E-2</v>
      </c>
      <c r="AH39">
        <f>'Total electricity generation'!AH39/SUM('Total electricity generation'!AH$3:AH$73)</f>
        <v>1.1034622667515556E-2</v>
      </c>
      <c r="AI39">
        <f>'Total electricity generation'!AI39/SUM('Total electricity generation'!AI$3:AI$73)</f>
        <v>1.1106997005595242E-2</v>
      </c>
      <c r="AJ39">
        <f>'Total electricity generation'!AJ39/SUM('Total electricity generation'!AJ$3:AJ$73)</f>
        <v>1.1176200765003757E-2</v>
      </c>
      <c r="AK39">
        <f>'Total electricity generation'!AK39/SUM('Total electricity generation'!AK$3:AK$73)</f>
        <v>1.1242523268109247E-2</v>
      </c>
      <c r="AL39">
        <f>'Total electricity generation'!AL39/SUM('Total electricity generation'!AL$3:AL$73)</f>
        <v>1.1308032343650097E-2</v>
      </c>
      <c r="AM39">
        <f>'Total electricity generation'!AM39/SUM('Total electricity generation'!AM$3:AM$73)</f>
        <v>1.1369172054407357E-2</v>
      </c>
      <c r="AN39">
        <f>'Total electricity generation'!AN39/SUM('Total electricity generation'!AN$3:AN$73)</f>
        <v>1.1428246186489939E-2</v>
      </c>
      <c r="AO39">
        <f>'Total electricity generation'!AO39/SUM('Total electricity generation'!AO$3:AO$73)</f>
        <v>1.1485182905189484E-2</v>
      </c>
      <c r="AP39">
        <f>'Total electricity generation'!AP39/SUM('Total electricity generation'!AP$3:AP$73)</f>
        <v>1.1539700726043241E-2</v>
      </c>
    </row>
    <row r="40" spans="1:42" x14ac:dyDescent="0.3">
      <c r="A40" t="s">
        <v>115</v>
      </c>
      <c r="B40">
        <f>'Total electricity generation'!B40/SUM('Total electricity generation'!B$3:B$73)</f>
        <v>2.0894022290171084E-3</v>
      </c>
      <c r="C40">
        <f>'Total electricity generation'!C40/SUM('Total electricity generation'!C$3:C$73)</f>
        <v>2.0057692747535304E-3</v>
      </c>
      <c r="D40">
        <f>'Total electricity generation'!D40/SUM('Total electricity generation'!D$3:D$73)</f>
        <v>1.9599425439743162E-3</v>
      </c>
      <c r="E40">
        <f>'Total electricity generation'!E40/SUM('Total electricity generation'!E$3:E$73)</f>
        <v>1.8663290084806885E-3</v>
      </c>
      <c r="F40">
        <f>'Total electricity generation'!F40/SUM('Total electricity generation'!F$3:F$73)</f>
        <v>1.8305129523591016E-3</v>
      </c>
      <c r="G40">
        <f>'Total electricity generation'!G40/SUM('Total electricity generation'!G$3:G$73)</f>
        <v>1.8367573145523833E-3</v>
      </c>
      <c r="H40">
        <f>'Total electricity generation'!H40/SUM('Total electricity generation'!H$3:H$73)</f>
        <v>1.7639547046809682E-3</v>
      </c>
      <c r="I40">
        <f>'Total electricity generation'!I40/SUM('Total electricity generation'!I$3:I$73)</f>
        <v>1.7302794310756846E-3</v>
      </c>
      <c r="J40">
        <f>'Total electricity generation'!J40/SUM('Total electricity generation'!J$3:J$73)</f>
        <v>1.673204972456679E-3</v>
      </c>
      <c r="K40">
        <f>'Total electricity generation'!K40/SUM('Total electricity generation'!K$3:K$73)</f>
        <v>1.6689905129660919E-3</v>
      </c>
      <c r="L40">
        <f>'Total electricity generation'!L40/SUM('Total electricity generation'!L$3:L$73)</f>
        <v>1.6568072537623637E-3</v>
      </c>
      <c r="M40">
        <f>'Total electricity generation'!M40/SUM('Total electricity generation'!M$3:M$73)</f>
        <v>1.5628935107218215E-3</v>
      </c>
      <c r="N40">
        <f>'Total electricity generation'!N40/SUM('Total electricity generation'!N$3:N$73)</f>
        <v>1.5301973946622626E-3</v>
      </c>
      <c r="O40">
        <f>'Total electricity generation'!O40/SUM('Total electricity generation'!O$3:O$73)</f>
        <v>1.5374984778357237E-3</v>
      </c>
      <c r="P40">
        <f>'Total electricity generation'!P40/SUM('Total electricity generation'!P$3:P$73)</f>
        <v>1.5466456499854397E-3</v>
      </c>
      <c r="Q40">
        <f>'Total electricity generation'!Q40/SUM('Total electricity generation'!Q$3:Q$73)</f>
        <v>1.5527633844877511E-3</v>
      </c>
      <c r="R40">
        <f>'Total electricity generation'!R40/SUM('Total electricity generation'!R$3:R$73)</f>
        <v>1.5589754728874076E-3</v>
      </c>
      <c r="S40">
        <f>'Total electricity generation'!S40/SUM('Total electricity generation'!S$3:S$73)</f>
        <v>1.5647796071639429E-3</v>
      </c>
      <c r="T40">
        <f>'Total electricity generation'!T40/SUM('Total electricity generation'!T$3:T$73)</f>
        <v>1.5709085922757599E-3</v>
      </c>
      <c r="U40">
        <f>'Total electricity generation'!U40/SUM('Total electricity generation'!U$3:U$73)</f>
        <v>1.5772628899215001E-3</v>
      </c>
      <c r="V40">
        <f>'Total electricity generation'!V40/SUM('Total electricity generation'!V$3:V$73)</f>
        <v>1.584422659755082E-3</v>
      </c>
      <c r="W40">
        <f>'Total electricity generation'!W40/SUM('Total electricity generation'!W$3:W$73)</f>
        <v>1.5901378091428132E-3</v>
      </c>
      <c r="X40">
        <f>'Total electricity generation'!X40/SUM('Total electricity generation'!X$3:X$73)</f>
        <v>1.596169972347863E-3</v>
      </c>
      <c r="Y40">
        <f>'Total electricity generation'!Y40/SUM('Total electricity generation'!Y$3:Y$73)</f>
        <v>1.6026553977996963E-3</v>
      </c>
      <c r="Z40">
        <f>'Total electricity generation'!Z40/SUM('Total electricity generation'!Z$3:Z$73)</f>
        <v>1.6095387878531312E-3</v>
      </c>
      <c r="AA40">
        <f>'Total electricity generation'!AA40/SUM('Total electricity generation'!AA$3:AA$73)</f>
        <v>1.6169335277719252E-3</v>
      </c>
      <c r="AB40">
        <f>'Total electricity generation'!AB40/SUM('Total electricity generation'!AB$3:AB$73)</f>
        <v>1.6237353165255417E-3</v>
      </c>
      <c r="AC40">
        <f>'Total electricity generation'!AC40/SUM('Total electricity generation'!AC$3:AC$73)</f>
        <v>1.6312315674352224E-3</v>
      </c>
      <c r="AD40">
        <f>'Total electricity generation'!AD40/SUM('Total electricity generation'!AD$3:AD$73)</f>
        <v>1.6394432552333221E-3</v>
      </c>
      <c r="AE40">
        <f>'Total electricity generation'!AE40/SUM('Total electricity generation'!AE$3:AE$73)</f>
        <v>1.6483673694082648E-3</v>
      </c>
      <c r="AF40">
        <f>'Total electricity generation'!AF40/SUM('Total electricity generation'!AF$3:AF$73)</f>
        <v>1.6582555400696472E-3</v>
      </c>
      <c r="AG40">
        <f>'Total electricity generation'!AG40/SUM('Total electricity generation'!AG$3:AG$73)</f>
        <v>1.6683544144067189E-3</v>
      </c>
      <c r="AH40">
        <f>'Total electricity generation'!AH40/SUM('Total electricity generation'!AH$3:AH$73)</f>
        <v>1.6791639827992897E-3</v>
      </c>
      <c r="AI40">
        <f>'Total electricity generation'!AI40/SUM('Total electricity generation'!AI$3:AI$73)</f>
        <v>1.6905174555125145E-3</v>
      </c>
      <c r="AJ40">
        <f>'Total electricity generation'!AJ40/SUM('Total electricity generation'!AJ$3:AJ$73)</f>
        <v>1.7021582871018842E-3</v>
      </c>
      <c r="AK40">
        <f>'Total electricity generation'!AK40/SUM('Total electricity generation'!AK$3:AK$73)</f>
        <v>1.7143902791621E-3</v>
      </c>
      <c r="AL40">
        <f>'Total electricity generation'!AL40/SUM('Total electricity generation'!AL$3:AL$73)</f>
        <v>1.7269848078537698E-3</v>
      </c>
      <c r="AM40">
        <f>'Total electricity generation'!AM40/SUM('Total electricity generation'!AM$3:AM$73)</f>
        <v>1.7392813870903351E-3</v>
      </c>
      <c r="AN40">
        <f>'Total electricity generation'!AN40/SUM('Total electricity generation'!AN$3:AN$73)</f>
        <v>1.7514593945231784E-3</v>
      </c>
      <c r="AO40">
        <f>'Total electricity generation'!AO40/SUM('Total electricity generation'!AO$3:AO$73)</f>
        <v>1.7634753741683764E-3</v>
      </c>
      <c r="AP40">
        <f>'Total electricity generation'!AP40/SUM('Total electricity generation'!AP$3:AP$73)</f>
        <v>1.7750406713524375E-3</v>
      </c>
    </row>
    <row r="41" spans="1:42" x14ac:dyDescent="0.3">
      <c r="A41" t="s">
        <v>116</v>
      </c>
      <c r="B41">
        <f>'Total electricity generation'!B41/SUM('Total electricity generation'!B$3:B$73)</f>
        <v>4.8265157266266026E-2</v>
      </c>
      <c r="C41">
        <f>'Total electricity generation'!C41/SUM('Total electricity generation'!C$3:C$73)</f>
        <v>4.7454566333253206E-2</v>
      </c>
      <c r="D41">
        <f>'Total electricity generation'!D41/SUM('Total electricity generation'!D$3:D$73)</f>
        <v>4.7066258863487198E-2</v>
      </c>
      <c r="E41">
        <f>'Total electricity generation'!E41/SUM('Total electricity generation'!E$3:E$73)</f>
        <v>4.520684437002357E-2</v>
      </c>
      <c r="F41">
        <f>'Total electricity generation'!F41/SUM('Total electricity generation'!F$3:F$73)</f>
        <v>4.4336473995739374E-2</v>
      </c>
      <c r="G41">
        <f>'Total electricity generation'!G41/SUM('Total electricity generation'!G$3:G$73)</f>
        <v>4.3927610719130449E-2</v>
      </c>
      <c r="H41">
        <f>'Total electricity generation'!H41/SUM('Total electricity generation'!H$3:H$73)</f>
        <v>4.3628918448795621E-2</v>
      </c>
      <c r="I41">
        <f>'Total electricity generation'!I41/SUM('Total electricity generation'!I$3:I$73)</f>
        <v>4.2461465987675862E-2</v>
      </c>
      <c r="J41">
        <f>'Total electricity generation'!J41/SUM('Total electricity generation'!J$3:J$73)</f>
        <v>4.1793740933546597E-2</v>
      </c>
      <c r="K41">
        <f>'Total electricity generation'!K41/SUM('Total electricity generation'!K$3:K$73)</f>
        <v>4.1503293113043974E-2</v>
      </c>
      <c r="L41">
        <f>'Total electricity generation'!L41/SUM('Total electricity generation'!L$3:L$73)</f>
        <v>4.0554019396168275E-2</v>
      </c>
      <c r="M41">
        <f>'Total electricity generation'!M41/SUM('Total electricity generation'!M$3:M$73)</f>
        <v>4.0628932634709458E-2</v>
      </c>
      <c r="N41">
        <f>'Total electricity generation'!N41/SUM('Total electricity generation'!N$3:N$73)</f>
        <v>3.9419760481331827E-2</v>
      </c>
      <c r="O41">
        <f>'Total electricity generation'!O41/SUM('Total electricity generation'!O$3:O$73)</f>
        <v>3.9130440668847882E-2</v>
      </c>
      <c r="P41">
        <f>'Total electricity generation'!P41/SUM('Total electricity generation'!P$3:P$73)</f>
        <v>3.8791935106488387E-2</v>
      </c>
      <c r="Q41">
        <f>'Total electricity generation'!Q41/SUM('Total electricity generation'!Q$3:Q$73)</f>
        <v>3.8422388241973381E-2</v>
      </c>
      <c r="R41">
        <f>'Total electricity generation'!R41/SUM('Total electricity generation'!R$3:R$73)</f>
        <v>3.8057660576872335E-2</v>
      </c>
      <c r="S41">
        <f>'Total electricity generation'!S41/SUM('Total electricity generation'!S$3:S$73)</f>
        <v>3.767938536307442E-2</v>
      </c>
      <c r="T41">
        <f>'Total electricity generation'!T41/SUM('Total electricity generation'!T$3:T$73)</f>
        <v>3.7277885301107185E-2</v>
      </c>
      <c r="U41">
        <f>'Total electricity generation'!U41/SUM('Total electricity generation'!U$3:U$73)</f>
        <v>3.6862127061647564E-2</v>
      </c>
      <c r="V41">
        <f>'Total electricity generation'!V41/SUM('Total electricity generation'!V$3:V$73)</f>
        <v>3.6442669723884852E-2</v>
      </c>
      <c r="W41">
        <f>'Total electricity generation'!W41/SUM('Total electricity generation'!W$3:W$73)</f>
        <v>3.6075231068721195E-2</v>
      </c>
      <c r="X41">
        <f>'Total electricity generation'!X41/SUM('Total electricity generation'!X$3:X$73)</f>
        <v>3.5695274587749987E-2</v>
      </c>
      <c r="Y41">
        <f>'Total electricity generation'!Y41/SUM('Total electricity generation'!Y$3:Y$73)</f>
        <v>3.5306055102711918E-2</v>
      </c>
      <c r="Z41">
        <f>'Total electricity generation'!Z41/SUM('Total electricity generation'!Z$3:Z$73)</f>
        <v>3.49056744719927E-2</v>
      </c>
      <c r="AA41">
        <f>'Total electricity generation'!AA41/SUM('Total electricity generation'!AA$3:AA$73)</f>
        <v>3.4494909792661392E-2</v>
      </c>
      <c r="AB41">
        <f>'Total electricity generation'!AB41/SUM('Total electricity generation'!AB$3:AB$73)</f>
        <v>3.4158466579887983E-2</v>
      </c>
      <c r="AC41">
        <f>'Total electricity generation'!AC41/SUM('Total electricity generation'!AC$3:AC$73)</f>
        <v>3.3812494569937596E-2</v>
      </c>
      <c r="AD41">
        <f>'Total electricity generation'!AD41/SUM('Total electricity generation'!AD$3:AD$73)</f>
        <v>3.3459483150528872E-2</v>
      </c>
      <c r="AE41">
        <f>'Total electricity generation'!AE41/SUM('Total electricity generation'!AE$3:AE$73)</f>
        <v>3.3093951238981067E-2</v>
      </c>
      <c r="AF41">
        <f>'Total electricity generation'!AF41/SUM('Total electricity generation'!AF$3:AF$73)</f>
        <v>3.2720908232475011E-2</v>
      </c>
      <c r="AG41">
        <f>'Total electricity generation'!AG41/SUM('Total electricity generation'!AG$3:AG$73)</f>
        <v>3.2334576405087037E-2</v>
      </c>
      <c r="AH41">
        <f>'Total electricity generation'!AH41/SUM('Total electricity generation'!AH$3:AH$73)</f>
        <v>3.1945571109468718E-2</v>
      </c>
      <c r="AI41">
        <f>'Total electricity generation'!AI41/SUM('Total electricity generation'!AI$3:AI$73)</f>
        <v>3.1553155458289316E-2</v>
      </c>
      <c r="AJ41">
        <f>'Total electricity generation'!AJ41/SUM('Total electricity generation'!AJ$3:AJ$73)</f>
        <v>3.1155473003326443E-2</v>
      </c>
      <c r="AK41">
        <f>'Total electricity generation'!AK41/SUM('Total electricity generation'!AK$3:AK$73)</f>
        <v>3.0762186137673911E-2</v>
      </c>
      <c r="AL41">
        <f>'Total electricity generation'!AL41/SUM('Total electricity generation'!AL$3:AL$73)</f>
        <v>3.0372432586773263E-2</v>
      </c>
      <c r="AM41">
        <f>'Total electricity generation'!AM41/SUM('Total electricity generation'!AM$3:AM$73)</f>
        <v>2.9981395524414898E-2</v>
      </c>
      <c r="AN41">
        <f>'Total electricity generation'!AN41/SUM('Total electricity generation'!AN$3:AN$73)</f>
        <v>2.9596712906931513E-2</v>
      </c>
      <c r="AO41">
        <f>'Total electricity generation'!AO41/SUM('Total electricity generation'!AO$3:AO$73)</f>
        <v>2.9221779783219236E-2</v>
      </c>
      <c r="AP41">
        <f>'Total electricity generation'!AP41/SUM('Total electricity generation'!AP$3:AP$73)</f>
        <v>2.8855052661331586E-2</v>
      </c>
    </row>
    <row r="42" spans="1:42" x14ac:dyDescent="0.3">
      <c r="A42" t="s">
        <v>117</v>
      </c>
      <c r="B42">
        <f>'Total electricity generation'!B42/SUM('Total electricity generation'!B$3:B$73)</f>
        <v>1.6225086585227335E-3</v>
      </c>
      <c r="C42">
        <f>'Total electricity generation'!C42/SUM('Total electricity generation'!C$3:C$73)</f>
        <v>1.4486990333683364E-3</v>
      </c>
      <c r="D42">
        <f>'Total electricity generation'!D42/SUM('Total electricity generation'!D$3:D$73)</f>
        <v>1.3538317702963968E-3</v>
      </c>
      <c r="E42">
        <f>'Total electricity generation'!E42/SUM('Total electricity generation'!E$3:E$73)</f>
        <v>1.3448614903769764E-3</v>
      </c>
      <c r="F42">
        <f>'Total electricity generation'!F42/SUM('Total electricity generation'!F$3:F$73)</f>
        <v>1.4471126615799438E-3</v>
      </c>
      <c r="G42">
        <f>'Total electricity generation'!G42/SUM('Total electricity generation'!G$3:G$73)</f>
        <v>1.4024160395537831E-3</v>
      </c>
      <c r="H42">
        <f>'Total electricity generation'!H42/SUM('Total electricity generation'!H$3:H$73)</f>
        <v>1.3423322819650658E-3</v>
      </c>
      <c r="I42">
        <f>'Total electricity generation'!I42/SUM('Total electricity generation'!I$3:I$73)</f>
        <v>1.339278880664492E-3</v>
      </c>
      <c r="J42">
        <f>'Total electricity generation'!J42/SUM('Total electricity generation'!J$3:J$73)</f>
        <v>1.4611969936899893E-3</v>
      </c>
      <c r="K42">
        <f>'Total electricity generation'!K42/SUM('Total electricity generation'!K$3:K$73)</f>
        <v>1.4974963269297138E-3</v>
      </c>
      <c r="L42">
        <f>'Total electricity generation'!L42/SUM('Total electricity generation'!L$3:L$73)</f>
        <v>1.4348787294357753E-3</v>
      </c>
      <c r="M42">
        <f>'Total electricity generation'!M42/SUM('Total electricity generation'!M$3:M$73)</f>
        <v>1.4454519094097326E-3</v>
      </c>
      <c r="N42">
        <f>'Total electricity generation'!N42/SUM('Total electricity generation'!N$3:N$73)</f>
        <v>1.3494996060755471E-3</v>
      </c>
      <c r="O42">
        <f>'Total electricity generation'!O42/SUM('Total electricity generation'!O$3:O$73)</f>
        <v>1.32651800738123E-3</v>
      </c>
      <c r="P42">
        <f>'Total electricity generation'!P42/SUM('Total electricity generation'!P$3:P$73)</f>
        <v>1.3064899743574876E-3</v>
      </c>
      <c r="Q42">
        <f>'Total electricity generation'!Q42/SUM('Total electricity generation'!Q$3:Q$73)</f>
        <v>1.2863299015214858E-3</v>
      </c>
      <c r="R42">
        <f>'Total electricity generation'!R42/SUM('Total electricity generation'!R$3:R$73)</f>
        <v>1.2676503747267778E-3</v>
      </c>
      <c r="S42">
        <f>'Total electricity generation'!S42/SUM('Total electricity generation'!S$3:S$73)</f>
        <v>1.2485326380887131E-3</v>
      </c>
      <c r="T42">
        <f>'Total electricity generation'!T42/SUM('Total electricity generation'!T$3:T$73)</f>
        <v>1.2290537569090499E-3</v>
      </c>
      <c r="U42">
        <f>'Total electricity generation'!U42/SUM('Total electricity generation'!U$3:U$73)</f>
        <v>1.2098034267032708E-3</v>
      </c>
      <c r="V42">
        <f>'Total electricity generation'!V42/SUM('Total electricity generation'!V$3:V$73)</f>
        <v>1.1908374271187851E-3</v>
      </c>
      <c r="W42">
        <f>'Total electricity generation'!W42/SUM('Total electricity generation'!W$3:W$73)</f>
        <v>1.1756157975739536E-3</v>
      </c>
      <c r="X42">
        <f>'Total electricity generation'!X42/SUM('Total electricity generation'!X$3:X$73)</f>
        <v>1.1602312581972189E-3</v>
      </c>
      <c r="Y42">
        <f>'Total electricity generation'!Y42/SUM('Total electricity generation'!Y$3:Y$73)</f>
        <v>1.1447254121145125E-3</v>
      </c>
      <c r="Z42">
        <f>'Total electricity generation'!Z42/SUM('Total electricity generation'!Z$3:Z$73)</f>
        <v>1.1290051842386421E-3</v>
      </c>
      <c r="AA42">
        <f>'Total electricity generation'!AA42/SUM('Total electricity generation'!AA$3:AA$73)</f>
        <v>1.1131091654656611E-3</v>
      </c>
      <c r="AB42">
        <f>'Total electricity generation'!AB42/SUM('Total electricity generation'!AB$3:AB$73)</f>
        <v>1.0994483408427332E-3</v>
      </c>
      <c r="AC42">
        <f>'Total electricity generation'!AC42/SUM('Total electricity generation'!AC$3:AC$73)</f>
        <v>1.0855769083640738E-3</v>
      </c>
      <c r="AD42">
        <f>'Total electricity generation'!AD42/SUM('Total electricity generation'!AD$3:AD$73)</f>
        <v>1.0714859723876626E-3</v>
      </c>
      <c r="AE42">
        <f>'Total electricity generation'!AE42/SUM('Total electricity generation'!AE$3:AE$73)</f>
        <v>1.0572380414835146E-3</v>
      </c>
      <c r="AF42">
        <f>'Total electricity generation'!AF42/SUM('Total electricity generation'!AF$3:AF$73)</f>
        <v>1.0428311042100932E-3</v>
      </c>
      <c r="AG42">
        <f>'Total electricity generation'!AG42/SUM('Total electricity generation'!AG$3:AG$73)</f>
        <v>1.0281332811847422E-3</v>
      </c>
      <c r="AH42">
        <f>'Total electricity generation'!AH42/SUM('Total electricity generation'!AH$3:AH$73)</f>
        <v>1.013457480795589E-3</v>
      </c>
      <c r="AI42">
        <f>'Total electricity generation'!AI42/SUM('Total electricity generation'!AI$3:AI$73)</f>
        <v>9.9872538621794695E-4</v>
      </c>
      <c r="AJ42">
        <f>'Total electricity generation'!AJ42/SUM('Total electricity generation'!AJ$3:AJ$73)</f>
        <v>9.8398747250248871E-4</v>
      </c>
      <c r="AK42">
        <f>'Total electricity generation'!AK42/SUM('Total electricity generation'!AK$3:AK$73)</f>
        <v>9.6944175552384892E-4</v>
      </c>
      <c r="AL42">
        <f>'Total electricity generation'!AL42/SUM('Total electricity generation'!AL$3:AL$73)</f>
        <v>9.5511745852950355E-4</v>
      </c>
      <c r="AM42">
        <f>'Total electricity generation'!AM42/SUM('Total electricity generation'!AM$3:AM$73)</f>
        <v>9.4086498149680085E-4</v>
      </c>
      <c r="AN42">
        <f>'Total electricity generation'!AN42/SUM('Total electricity generation'!AN$3:AN$73)</f>
        <v>9.2692211933131376E-4</v>
      </c>
      <c r="AO42">
        <f>'Total electricity generation'!AO42/SUM('Total electricity generation'!AO$3:AO$73)</f>
        <v>9.1335782022687433E-4</v>
      </c>
      <c r="AP42">
        <f>'Total electricity generation'!AP42/SUM('Total electricity generation'!AP$3:AP$73)</f>
        <v>9.0015716660295816E-4</v>
      </c>
    </row>
    <row r="43" spans="1:42" x14ac:dyDescent="0.3">
      <c r="A43" t="s">
        <v>118</v>
      </c>
      <c r="B43">
        <f>'Total electricity generation'!B43/SUM('Total electricity generation'!B$3:B$73)</f>
        <v>0.19565906066816249</v>
      </c>
      <c r="C43">
        <f>'Total electricity generation'!C43/SUM('Total electricity generation'!C$3:C$73)</f>
        <v>0.21216516784515538</v>
      </c>
      <c r="D43">
        <f>'Total electricity generation'!D43/SUM('Total electricity generation'!D$3:D$73)</f>
        <v>0.21952325657418617</v>
      </c>
      <c r="E43">
        <f>'Total electricity generation'!E43/SUM('Total electricity generation'!E$3:E$73)</f>
        <v>0.23251317829422288</v>
      </c>
      <c r="F43">
        <f>'Total electricity generation'!F43/SUM('Total electricity generation'!F$3:F$73)</f>
        <v>0.24235702107197182</v>
      </c>
      <c r="G43">
        <f>'Total electricity generation'!G43/SUM('Total electricity generation'!G$3:G$73)</f>
        <v>0.2408899109888242</v>
      </c>
      <c r="H43">
        <f>'Total electricity generation'!H43/SUM('Total electricity generation'!H$3:H$73)</f>
        <v>0.24793592264383438</v>
      </c>
      <c r="I43">
        <f>'Total electricity generation'!I43/SUM('Total electricity generation'!I$3:I$73)</f>
        <v>0.26055264094468233</v>
      </c>
      <c r="J43">
        <f>'Total electricity generation'!J43/SUM('Total electricity generation'!J$3:J$73)</f>
        <v>0.26771407547285331</v>
      </c>
      <c r="K43">
        <f>'Total electricity generation'!K43/SUM('Total electricity generation'!K$3:K$73)</f>
        <v>0.27772022178040812</v>
      </c>
      <c r="L43">
        <f>'Total electricity generation'!L43/SUM('Total electricity generation'!L$3:L$73)</f>
        <v>0.28904709722672667</v>
      </c>
      <c r="M43">
        <f>'Total electricity generation'!M43/SUM('Total electricity generation'!M$3:M$73)</f>
        <v>0.30138818978833387</v>
      </c>
      <c r="N43">
        <f>'Total electricity generation'!N43/SUM('Total electricity generation'!N$3:N$73)</f>
        <v>0.30689555060339208</v>
      </c>
      <c r="O43">
        <f>'Total electricity generation'!O43/SUM('Total electricity generation'!O$3:O$73)</f>
        <v>0.30903907677811304</v>
      </c>
      <c r="P43">
        <f>'Total electricity generation'!P43/SUM('Total electricity generation'!P$3:P$73)</f>
        <v>0.31205423337029498</v>
      </c>
      <c r="Q43">
        <f>'Total electricity generation'!Q43/SUM('Total electricity generation'!Q$3:Q$73)</f>
        <v>0.31519053783235229</v>
      </c>
      <c r="R43">
        <f>'Total electricity generation'!R43/SUM('Total electricity generation'!R$3:R$73)</f>
        <v>0.31630097552618747</v>
      </c>
      <c r="S43">
        <f>'Total electricity generation'!S43/SUM('Total electricity generation'!S$3:S$73)</f>
        <v>0.31727122100960342</v>
      </c>
      <c r="T43">
        <f>'Total electricity generation'!T43/SUM('Total electricity generation'!T$3:T$73)</f>
        <v>0.31810210716654669</v>
      </c>
      <c r="U43">
        <f>'Total electricity generation'!U43/SUM('Total electricity generation'!U$3:U$73)</f>
        <v>0.31874551369039816</v>
      </c>
      <c r="V43">
        <f>'Total electricity generation'!V43/SUM('Total electricity generation'!V$3:V$73)</f>
        <v>0.3189385985549254</v>
      </c>
      <c r="W43">
        <f>'Total electricity generation'!W43/SUM('Total electricity generation'!W$3:W$73)</f>
        <v>0.31911167288673475</v>
      </c>
      <c r="X43">
        <f>'Total electricity generation'!X43/SUM('Total electricity generation'!X$3:X$73)</f>
        <v>0.31914552225965004</v>
      </c>
      <c r="Y43">
        <f>'Total electricity generation'!Y43/SUM('Total electricity generation'!Y$3:Y$73)</f>
        <v>0.31900287668293542</v>
      </c>
      <c r="Z43">
        <f>'Total electricity generation'!Z43/SUM('Total electricity generation'!Z$3:Z$73)</f>
        <v>0.31868575547132433</v>
      </c>
      <c r="AA43">
        <f>'Total electricity generation'!AA43/SUM('Total electricity generation'!AA$3:AA$73)</f>
        <v>0.31820699056421659</v>
      </c>
      <c r="AB43">
        <f>'Total electricity generation'!AB43/SUM('Total electricity generation'!AB$3:AB$73)</f>
        <v>0.31729854556201881</v>
      </c>
      <c r="AC43">
        <f>'Total electricity generation'!AC43/SUM('Total electricity generation'!AC$3:AC$73)</f>
        <v>0.31629513292166905</v>
      </c>
      <c r="AD43">
        <f>'Total electricity generation'!AD43/SUM('Total electricity generation'!AD$3:AD$73)</f>
        <v>0.31521397283086539</v>
      </c>
      <c r="AE43">
        <f>'Total electricity generation'!AE43/SUM('Total electricity generation'!AE$3:AE$73)</f>
        <v>0.3140605576864251</v>
      </c>
      <c r="AF43">
        <f>'Total electricity generation'!AF43/SUM('Total electricity generation'!AF$3:AF$73)</f>
        <v>0.31286778005991628</v>
      </c>
      <c r="AG43">
        <f>'Total electricity generation'!AG43/SUM('Total electricity generation'!AG$3:AG$73)</f>
        <v>0.31158869783981974</v>
      </c>
      <c r="AH43">
        <f>'Total electricity generation'!AH43/SUM('Total electricity generation'!AH$3:AH$73)</f>
        <v>0.31020352587642641</v>
      </c>
      <c r="AI43">
        <f>'Total electricity generation'!AI43/SUM('Total electricity generation'!AI$3:AI$73)</f>
        <v>0.30879126604758439</v>
      </c>
      <c r="AJ43">
        <f>'Total electricity generation'!AJ43/SUM('Total electricity generation'!AJ$3:AJ$73)</f>
        <v>0.30741490090808882</v>
      </c>
      <c r="AK43">
        <f>'Total electricity generation'!AK43/SUM('Total electricity generation'!AK$3:AK$73)</f>
        <v>0.30596037045369956</v>
      </c>
      <c r="AL43">
        <f>'Total electricity generation'!AL43/SUM('Total electricity generation'!AL$3:AL$73)</f>
        <v>0.30441658238720348</v>
      </c>
      <c r="AM43">
        <f>'Total electricity generation'!AM43/SUM('Total electricity generation'!AM$3:AM$73)</f>
        <v>0.30280691722130942</v>
      </c>
      <c r="AN43">
        <f>'Total electricity generation'!AN43/SUM('Total electricity generation'!AN$3:AN$73)</f>
        <v>0.30115262343352339</v>
      </c>
      <c r="AO43">
        <f>'Total electricity generation'!AO43/SUM('Total electricity generation'!AO$3:AO$73)</f>
        <v>0.29947801424912146</v>
      </c>
      <c r="AP43">
        <f>'Total electricity generation'!AP43/SUM('Total electricity generation'!AP$3:AP$73)</f>
        <v>0.29776952387204503</v>
      </c>
    </row>
    <row r="44" spans="1:42" x14ac:dyDescent="0.3">
      <c r="A44" t="s">
        <v>119</v>
      </c>
      <c r="B44">
        <f>'Total electricity generation'!B44/SUM('Total electricity generation'!B$3:B$73)</f>
        <v>4.5436888656293521E-2</v>
      </c>
      <c r="C44">
        <f>'Total electricity generation'!C44/SUM('Total electricity generation'!C$3:C$73)</f>
        <v>4.7874753308580938E-2</v>
      </c>
      <c r="D44">
        <f>'Total electricity generation'!D44/SUM('Total electricity generation'!D$3:D$73)</f>
        <v>4.9209592789204809E-2</v>
      </c>
      <c r="E44">
        <f>'Total electricity generation'!E44/SUM('Total electricity generation'!E$3:E$73)</f>
        <v>5.0682271107427422E-2</v>
      </c>
      <c r="F44">
        <f>'Total electricity generation'!F44/SUM('Total electricity generation'!F$3:F$73)</f>
        <v>5.3885147197173508E-2</v>
      </c>
      <c r="G44">
        <f>'Total electricity generation'!G44/SUM('Total electricity generation'!G$3:G$73)</f>
        <v>5.6072812323153136E-2</v>
      </c>
      <c r="H44">
        <f>'Total electricity generation'!H44/SUM('Total electricity generation'!H$3:H$73)</f>
        <v>5.7500305133690782E-2</v>
      </c>
      <c r="I44">
        <f>'Total electricity generation'!I44/SUM('Total electricity generation'!I$3:I$73)</f>
        <v>5.8788050116847089E-2</v>
      </c>
      <c r="J44">
        <f>'Total electricity generation'!J44/SUM('Total electricity generation'!J$3:J$73)</f>
        <v>6.0483656305807751E-2</v>
      </c>
      <c r="K44">
        <f>'Total electricity generation'!K44/SUM('Total electricity generation'!K$3:K$73)</f>
        <v>6.1118526031475648E-2</v>
      </c>
      <c r="L44">
        <f>'Total electricity generation'!L44/SUM('Total electricity generation'!L$3:L$73)</f>
        <v>5.7438762909405409E-2</v>
      </c>
      <c r="M44">
        <f>'Total electricity generation'!M44/SUM('Total electricity generation'!M$3:M$73)</f>
        <v>5.7584069946649517E-2</v>
      </c>
      <c r="N44">
        <f>'Total electricity generation'!N44/SUM('Total electricity generation'!N$3:N$73)</f>
        <v>6.2372668651557849E-2</v>
      </c>
      <c r="O44">
        <f>'Total electricity generation'!O44/SUM('Total electricity generation'!O$3:O$73)</f>
        <v>6.3762588357447733E-2</v>
      </c>
      <c r="P44">
        <f>'Total electricity generation'!P44/SUM('Total electricity generation'!P$3:P$73)</f>
        <v>6.5529672603848954E-2</v>
      </c>
      <c r="Q44">
        <f>'Total electricity generation'!Q44/SUM('Total electricity generation'!Q$3:Q$73)</f>
        <v>6.7349124661448212E-2</v>
      </c>
      <c r="R44">
        <f>'Total electricity generation'!R44/SUM('Total electricity generation'!R$3:R$73)</f>
        <v>6.9026689893853924E-2</v>
      </c>
      <c r="S44">
        <f>'Total electricity generation'!S44/SUM('Total electricity generation'!S$3:S$73)</f>
        <v>7.0740800978848828E-2</v>
      </c>
      <c r="T44">
        <f>'Total electricity generation'!T44/SUM('Total electricity generation'!T$3:T$73)</f>
        <v>7.2509610143341646E-2</v>
      </c>
      <c r="U44">
        <f>'Total electricity generation'!U44/SUM('Total electricity generation'!U$3:U$73)</f>
        <v>7.4314311664763058E-2</v>
      </c>
      <c r="V44">
        <f>'Total electricity generation'!V44/SUM('Total electricity generation'!V$3:V$73)</f>
        <v>7.6184007235255327E-2</v>
      </c>
      <c r="W44">
        <f>'Total electricity generation'!W44/SUM('Total electricity generation'!W$3:W$73)</f>
        <v>7.7474100397414244E-2</v>
      </c>
      <c r="X44">
        <f>'Total electricity generation'!X44/SUM('Total electricity generation'!X$3:X$73)</f>
        <v>7.8817269264577813E-2</v>
      </c>
      <c r="Y44">
        <f>'Total electricity generation'!Y44/SUM('Total electricity generation'!Y$3:Y$73)</f>
        <v>8.0208359410541233E-2</v>
      </c>
      <c r="Z44">
        <f>'Total electricity generation'!Z44/SUM('Total electricity generation'!Z$3:Z$73)</f>
        <v>8.1643922290636564E-2</v>
      </c>
      <c r="AA44">
        <f>'Total electricity generation'!AA44/SUM('Total electricity generation'!AA$3:AA$73)</f>
        <v>8.312114826136302E-2</v>
      </c>
      <c r="AB44">
        <f>'Total electricity generation'!AB44/SUM('Total electricity generation'!AB$3:AB$73)</f>
        <v>8.4443252988353396E-2</v>
      </c>
      <c r="AC44">
        <f>'Total electricity generation'!AC44/SUM('Total electricity generation'!AC$3:AC$73)</f>
        <v>8.580988905062352E-2</v>
      </c>
      <c r="AD44">
        <f>'Total electricity generation'!AD44/SUM('Total electricity generation'!AD$3:AD$73)</f>
        <v>8.7202926453316024E-2</v>
      </c>
      <c r="AE44">
        <f>'Total electricity generation'!AE44/SUM('Total electricity generation'!AE$3:AE$73)</f>
        <v>8.8660245101885735E-2</v>
      </c>
      <c r="AF44">
        <f>'Total electricity generation'!AF44/SUM('Total electricity generation'!AF$3:AF$73)</f>
        <v>9.0165169868650946E-2</v>
      </c>
      <c r="AG44">
        <f>'Total electricity generation'!AG44/SUM('Total electricity generation'!AG$3:AG$73)</f>
        <v>9.1753240546597462E-2</v>
      </c>
      <c r="AH44">
        <f>'Total electricity generation'!AH44/SUM('Total electricity generation'!AH$3:AH$73)</f>
        <v>9.3466588853307442E-2</v>
      </c>
      <c r="AI44">
        <f>'Total electricity generation'!AI44/SUM('Total electricity generation'!AI$3:AI$73)</f>
        <v>9.5319163729851691E-2</v>
      </c>
      <c r="AJ44">
        <f>'Total electricity generation'!AJ44/SUM('Total electricity generation'!AJ$3:AJ$73)</f>
        <v>9.7307555050859904E-2</v>
      </c>
      <c r="AK44">
        <f>'Total electricity generation'!AK44/SUM('Total electricity generation'!AK$3:AK$73)</f>
        <v>9.944983110169818E-2</v>
      </c>
      <c r="AL44">
        <f>'Total electricity generation'!AL44/SUM('Total electricity generation'!AL$3:AL$73)</f>
        <v>0.10177748664858327</v>
      </c>
      <c r="AM44">
        <f>'Total electricity generation'!AM44/SUM('Total electricity generation'!AM$3:AM$73)</f>
        <v>0.10411441643584267</v>
      </c>
      <c r="AN44">
        <f>'Total electricity generation'!AN44/SUM('Total electricity generation'!AN$3:AN$73)</f>
        <v>0.10661492079332435</v>
      </c>
      <c r="AO44">
        <f>'Total electricity generation'!AO44/SUM('Total electricity generation'!AO$3:AO$73)</f>
        <v>0.10919783962514237</v>
      </c>
      <c r="AP44">
        <f>'Total electricity generation'!AP44/SUM('Total electricity generation'!AP$3:AP$73)</f>
        <v>0.11187453190647802</v>
      </c>
    </row>
    <row r="45" spans="1:42" x14ac:dyDescent="0.3">
      <c r="A45" t="s">
        <v>120</v>
      </c>
      <c r="B45">
        <f>'Total electricity generation'!B45/SUM('Total electricity generation'!B$3:B$73)</f>
        <v>1.281165699835023E-2</v>
      </c>
      <c r="C45">
        <f>'Total electricity generation'!C45/SUM('Total electricity generation'!C$3:C$73)</f>
        <v>1.3620884622290667E-2</v>
      </c>
      <c r="D45">
        <f>'Total electricity generation'!D45/SUM('Total electricity generation'!D$3:D$73)</f>
        <v>1.350482129216251E-2</v>
      </c>
      <c r="E45">
        <f>'Total electricity generation'!E45/SUM('Total electricity generation'!E$3:E$73)</f>
        <v>1.2691211569337993E-2</v>
      </c>
      <c r="F45">
        <f>'Total electricity generation'!F45/SUM('Total electricity generation'!F$3:F$73)</f>
        <v>1.2560769781643477E-2</v>
      </c>
      <c r="G45">
        <f>'Total electricity generation'!G45/SUM('Total electricity generation'!G$3:G$73)</f>
        <v>1.27852693827482E-2</v>
      </c>
      <c r="H45">
        <f>'Total electricity generation'!H45/SUM('Total electricity generation'!H$3:H$73)</f>
        <v>1.2819627591546456E-2</v>
      </c>
      <c r="I45">
        <f>'Total electricity generation'!I45/SUM('Total electricity generation'!I$3:I$73)</f>
        <v>1.253812179020047E-2</v>
      </c>
      <c r="J45">
        <f>'Total electricity generation'!J45/SUM('Total electricity generation'!J$3:J$73)</f>
        <v>1.2950854388745676E-2</v>
      </c>
      <c r="K45">
        <f>'Total electricity generation'!K45/SUM('Total electricity generation'!K$3:K$73)</f>
        <v>1.2271957419329356E-2</v>
      </c>
      <c r="L45">
        <f>'Total electricity generation'!L45/SUM('Total electricity generation'!L$3:L$73)</f>
        <v>1.1834438982986977E-2</v>
      </c>
      <c r="M45">
        <f>'Total electricity generation'!M45/SUM('Total electricity generation'!M$3:M$73)</f>
        <v>1.3303303359218772E-2</v>
      </c>
      <c r="N45">
        <f>'Total electricity generation'!N45/SUM('Total electricity generation'!N$3:N$73)</f>
        <v>1.1280200553542428E-2</v>
      </c>
      <c r="O45">
        <f>'Total electricity generation'!O45/SUM('Total electricity generation'!O$3:O$73)</f>
        <v>1.1113187152197695E-2</v>
      </c>
      <c r="P45">
        <f>'Total electricity generation'!P45/SUM('Total electricity generation'!P$3:P$73)</f>
        <v>1.0991805554253184E-2</v>
      </c>
      <c r="Q45">
        <f>'Total electricity generation'!Q45/SUM('Total electricity generation'!Q$3:Q$73)</f>
        <v>1.0871100383897063E-2</v>
      </c>
      <c r="R45">
        <f>'Total electricity generation'!R45/SUM('Total electricity generation'!R$3:R$73)</f>
        <v>1.0732143266841992E-2</v>
      </c>
      <c r="S45">
        <f>'Total electricity generation'!S45/SUM('Total electricity generation'!S$3:S$73)</f>
        <v>1.0587835885117101E-2</v>
      </c>
      <c r="T45">
        <f>'Total electricity generation'!T45/SUM('Total electricity generation'!T$3:T$73)</f>
        <v>1.0435117943597895E-2</v>
      </c>
      <c r="U45">
        <f>'Total electricity generation'!U45/SUM('Total electricity generation'!U$3:U$73)</f>
        <v>1.0277227154416096E-2</v>
      </c>
      <c r="V45">
        <f>'Total electricity generation'!V45/SUM('Total electricity generation'!V$3:V$73)</f>
        <v>1.0118373977664274E-2</v>
      </c>
      <c r="W45">
        <f>'Total electricity generation'!W45/SUM('Total electricity generation'!W$3:W$73)</f>
        <v>1.0007805265956482E-2</v>
      </c>
      <c r="X45">
        <f>'Total electricity generation'!X45/SUM('Total electricity generation'!X$3:X$73)</f>
        <v>9.8919118407150598E-3</v>
      </c>
      <c r="Y45">
        <f>'Total electricity generation'!Y45/SUM('Total electricity generation'!Y$3:Y$73)</f>
        <v>9.7732350194355815E-3</v>
      </c>
      <c r="Z45">
        <f>'Total electricity generation'!Z45/SUM('Total electricity generation'!Z$3:Z$73)</f>
        <v>9.6507236409761592E-3</v>
      </c>
      <c r="AA45">
        <f>'Total electricity generation'!AA45/SUM('Total electricity generation'!AA$3:AA$73)</f>
        <v>9.525624766403647E-3</v>
      </c>
      <c r="AB45">
        <f>'Total electricity generation'!AB45/SUM('Total electricity generation'!AB$3:AB$73)</f>
        <v>9.4245741924329635E-3</v>
      </c>
      <c r="AC45">
        <f>'Total electricity generation'!AC45/SUM('Total electricity generation'!AC$3:AC$73)</f>
        <v>9.3221374673596487E-3</v>
      </c>
      <c r="AD45">
        <f>'Total electricity generation'!AD45/SUM('Total electricity generation'!AD$3:AD$73)</f>
        <v>9.2214408746303395E-3</v>
      </c>
      <c r="AE45">
        <f>'Total electricity generation'!AE45/SUM('Total electricity generation'!AE$3:AE$73)</f>
        <v>9.1189308893661267E-3</v>
      </c>
      <c r="AF45">
        <f>'Total electricity generation'!AF45/SUM('Total electricity generation'!AF$3:AF$73)</f>
        <v>9.0156387428706724E-3</v>
      </c>
      <c r="AG45">
        <f>'Total electricity generation'!AG45/SUM('Total electricity generation'!AG$3:AG$73)</f>
        <v>8.9094247351880103E-3</v>
      </c>
      <c r="AH45">
        <f>'Total electricity generation'!AH45/SUM('Total electricity generation'!AH$3:AH$73)</f>
        <v>8.8031727310043037E-3</v>
      </c>
      <c r="AI45">
        <f>'Total electricity generation'!AI45/SUM('Total electricity generation'!AI$3:AI$73)</f>
        <v>8.6924639047140737E-3</v>
      </c>
      <c r="AJ45">
        <f>'Total electricity generation'!AJ45/SUM('Total electricity generation'!AJ$3:AJ$73)</f>
        <v>8.5790586692753214E-3</v>
      </c>
      <c r="AK45">
        <f>'Total electricity generation'!AK45/SUM('Total electricity generation'!AK$3:AK$73)</f>
        <v>8.4641793244842126E-3</v>
      </c>
      <c r="AL45">
        <f>'Total electricity generation'!AL45/SUM('Total electricity generation'!AL$3:AL$73)</f>
        <v>8.3472535574187698E-3</v>
      </c>
      <c r="AM45">
        <f>'Total electricity generation'!AM45/SUM('Total electricity generation'!AM$3:AM$73)</f>
        <v>8.2282258760731936E-3</v>
      </c>
      <c r="AN45">
        <f>'Total electricity generation'!AN45/SUM('Total electricity generation'!AN$3:AN$73)</f>
        <v>8.1088576315071006E-3</v>
      </c>
      <c r="AO45">
        <f>'Total electricity generation'!AO45/SUM('Total electricity generation'!AO$3:AO$73)</f>
        <v>7.9886466977333939E-3</v>
      </c>
      <c r="AP45">
        <f>'Total electricity generation'!AP45/SUM('Total electricity generation'!AP$3:AP$73)</f>
        <v>7.8665494657204141E-3</v>
      </c>
    </row>
    <row r="46" spans="1:42" x14ac:dyDescent="0.3">
      <c r="A46" t="s">
        <v>121</v>
      </c>
      <c r="B46">
        <f>'Total electricity generation'!B46/SUM('Total electricity generation'!B$3:B$73)</f>
        <v>2.3961237627067495E-2</v>
      </c>
      <c r="C46">
        <f>'Total electricity generation'!C46/SUM('Total electricity generation'!C$3:C$73)</f>
        <v>2.3899079975909742E-2</v>
      </c>
      <c r="D46">
        <f>'Total electricity generation'!D46/SUM('Total electricity generation'!D$3:D$73)</f>
        <v>2.4269453207977725E-2</v>
      </c>
      <c r="E46">
        <f>'Total electricity generation'!E46/SUM('Total electricity generation'!E$3:E$73)</f>
        <v>2.4351481746868145E-2</v>
      </c>
      <c r="F46">
        <f>'Total electricity generation'!F46/SUM('Total electricity generation'!F$3:F$73)</f>
        <v>2.4825887418228894E-2</v>
      </c>
      <c r="G46">
        <f>'Total electricity generation'!G46/SUM('Total electricity generation'!G$3:G$73)</f>
        <v>2.4117465740241401E-2</v>
      </c>
      <c r="H46">
        <f>'Total electricity generation'!H46/SUM('Total electricity generation'!H$3:H$73)</f>
        <v>2.3354526177404297E-2</v>
      </c>
      <c r="I46">
        <f>'Total electricity generation'!I46/SUM('Total electricity generation'!I$3:I$73)</f>
        <v>2.3092622450590697E-2</v>
      </c>
      <c r="J46">
        <f>'Total electricity generation'!J46/SUM('Total electricity generation'!J$3:J$73)</f>
        <v>2.2741258360699054E-2</v>
      </c>
      <c r="K46">
        <f>'Total electricity generation'!K46/SUM('Total electricity generation'!K$3:K$73)</f>
        <v>2.3411444933842791E-2</v>
      </c>
      <c r="L46">
        <f>'Total electricity generation'!L46/SUM('Total electricity generation'!L$3:L$73)</f>
        <v>2.3436407005366477E-2</v>
      </c>
      <c r="M46">
        <f>'Total electricity generation'!M46/SUM('Total electricity generation'!M$3:M$73)</f>
        <v>2.3034148376024514E-2</v>
      </c>
      <c r="N46">
        <f>'Total electricity generation'!N46/SUM('Total electricity generation'!N$3:N$73)</f>
        <v>2.3237102306873845E-2</v>
      </c>
      <c r="O46">
        <f>'Total electricity generation'!O46/SUM('Total electricity generation'!O$3:O$73)</f>
        <v>2.3183985529631655E-2</v>
      </c>
      <c r="P46">
        <f>'Total electricity generation'!P46/SUM('Total electricity generation'!P$3:P$73)</f>
        <v>2.319282211617027E-2</v>
      </c>
      <c r="Q46">
        <f>'Total electricity generation'!Q46/SUM('Total electricity generation'!Q$3:Q$73)</f>
        <v>2.3202751529223541E-2</v>
      </c>
      <c r="R46">
        <f>'Total electricity generation'!R46/SUM('Total electricity generation'!R$3:R$73)</f>
        <v>2.3290134959280312E-2</v>
      </c>
      <c r="S46">
        <f>'Total electricity generation'!S46/SUM('Total electricity generation'!S$3:S$73)</f>
        <v>2.3361443634069622E-2</v>
      </c>
      <c r="T46">
        <f>'Total electricity generation'!T46/SUM('Total electricity generation'!T$3:T$73)</f>
        <v>2.342140669469487E-2</v>
      </c>
      <c r="U46">
        <f>'Total electricity generation'!U46/SUM('Total electricity generation'!U$3:U$73)</f>
        <v>2.3474830534280185E-2</v>
      </c>
      <c r="V46">
        <f>'Total electricity generation'!V46/SUM('Total electricity generation'!V$3:V$73)</f>
        <v>2.3533129212020581E-2</v>
      </c>
      <c r="W46">
        <f>'Total electricity generation'!W46/SUM('Total electricity generation'!W$3:W$73)</f>
        <v>2.3614663185782692E-2</v>
      </c>
      <c r="X46">
        <f>'Total electricity generation'!X46/SUM('Total electricity generation'!X$3:X$73)</f>
        <v>2.3686843913769105E-2</v>
      </c>
      <c r="Y46">
        <f>'Total electricity generation'!Y46/SUM('Total electricity generation'!Y$3:Y$73)</f>
        <v>2.3749734334400828E-2</v>
      </c>
      <c r="Z46">
        <f>'Total electricity generation'!Z46/SUM('Total electricity generation'!Z$3:Z$73)</f>
        <v>2.3802610935451055E-2</v>
      </c>
      <c r="AA46">
        <f>'Total electricity generation'!AA46/SUM('Total electricity generation'!AA$3:AA$73)</f>
        <v>2.3844653647355385E-2</v>
      </c>
      <c r="AB46">
        <f>'Total electricity generation'!AB46/SUM('Total electricity generation'!AB$3:AB$73)</f>
        <v>2.3934168439659356E-2</v>
      </c>
      <c r="AC46">
        <f>'Total electricity generation'!AC46/SUM('Total electricity generation'!AC$3:AC$73)</f>
        <v>2.4013847709189993E-2</v>
      </c>
      <c r="AD46">
        <f>'Total electricity generation'!AD46/SUM('Total electricity generation'!AD$3:AD$73)</f>
        <v>2.4083524617013623E-2</v>
      </c>
      <c r="AE46">
        <f>'Total electricity generation'!AE46/SUM('Total electricity generation'!AE$3:AE$73)</f>
        <v>2.4143164273685295E-2</v>
      </c>
      <c r="AF46">
        <f>'Total electricity generation'!AF46/SUM('Total electricity generation'!AF$3:AF$73)</f>
        <v>2.4194714237972703E-2</v>
      </c>
      <c r="AG46">
        <f>'Total electricity generation'!AG46/SUM('Total electricity generation'!AG$3:AG$73)</f>
        <v>2.4235764388320861E-2</v>
      </c>
      <c r="AH46">
        <f>'Total electricity generation'!AH46/SUM('Total electricity generation'!AH$3:AH$73)</f>
        <v>2.4273298196274034E-2</v>
      </c>
      <c r="AI46">
        <f>'Total electricity generation'!AI46/SUM('Total electricity generation'!AI$3:AI$73)</f>
        <v>2.4308026494043698E-2</v>
      </c>
      <c r="AJ46">
        <f>'Total electricity generation'!AJ46/SUM('Total electricity generation'!AJ$3:AJ$73)</f>
        <v>2.4340260467837098E-2</v>
      </c>
      <c r="AK46">
        <f>'Total electricity generation'!AK46/SUM('Total electricity generation'!AK$3:AK$73)</f>
        <v>2.4375631547939283E-2</v>
      </c>
      <c r="AL46">
        <f>'Total electricity generation'!AL46/SUM('Total electricity generation'!AL$3:AL$73)</f>
        <v>2.4410750071209259E-2</v>
      </c>
      <c r="AM46">
        <f>'Total electricity generation'!AM46/SUM('Total electricity generation'!AM$3:AM$73)</f>
        <v>2.4440299322368936E-2</v>
      </c>
      <c r="AN46">
        <f>'Total electricity generation'!AN46/SUM('Total electricity generation'!AN$3:AN$73)</f>
        <v>2.447282710988289E-2</v>
      </c>
      <c r="AO46">
        <f>'Total electricity generation'!AO46/SUM('Total electricity generation'!AO$3:AO$73)</f>
        <v>2.4511431767755713E-2</v>
      </c>
      <c r="AP46">
        <f>'Total electricity generation'!AP46/SUM('Total electricity generation'!AP$3:AP$73)</f>
        <v>2.4553831572536156E-2</v>
      </c>
    </row>
    <row r="47" spans="1:42" x14ac:dyDescent="0.3">
      <c r="A47" t="s">
        <v>122</v>
      </c>
      <c r="B47">
        <f>'Total electricity generation'!B47/SUM('Total electricity generation'!B$3:B$73)</f>
        <v>5.8593044448701035E-3</v>
      </c>
      <c r="C47">
        <f>'Total electricity generation'!C47/SUM('Total electricity generation'!C$3:C$73)</f>
        <v>5.8265595346397442E-3</v>
      </c>
      <c r="D47">
        <f>'Total electricity generation'!D47/SUM('Total electricity generation'!D$3:D$73)</f>
        <v>5.9807020683459574E-3</v>
      </c>
      <c r="E47">
        <f>'Total electricity generation'!E47/SUM('Total electricity generation'!E$3:E$73)</f>
        <v>5.9530833617420179E-3</v>
      </c>
      <c r="F47">
        <f>'Total electricity generation'!F47/SUM('Total electricity generation'!F$3:F$73)</f>
        <v>5.7732858555089184E-3</v>
      </c>
      <c r="G47">
        <f>'Total electricity generation'!G47/SUM('Total electricity generation'!G$3:G$73)</f>
        <v>5.9848954200158178E-3</v>
      </c>
      <c r="H47">
        <f>'Total electricity generation'!H47/SUM('Total electricity generation'!H$3:H$73)</f>
        <v>5.8874503530625339E-3</v>
      </c>
      <c r="I47">
        <f>'Total electricity generation'!I47/SUM('Total electricity generation'!I$3:I$73)</f>
        <v>5.6514217288002712E-3</v>
      </c>
      <c r="J47">
        <f>'Total electricity generation'!J47/SUM('Total electricity generation'!J$3:J$73)</f>
        <v>5.5020815506622578E-3</v>
      </c>
      <c r="K47">
        <f>'Total electricity generation'!K47/SUM('Total electricity generation'!K$3:K$73)</f>
        <v>5.1645412369276163E-3</v>
      </c>
      <c r="L47">
        <f>'Total electricity generation'!L47/SUM('Total electricity generation'!L$3:L$73)</f>
        <v>5.3567034086903064E-3</v>
      </c>
      <c r="M47">
        <f>'Total electricity generation'!M47/SUM('Total electricity generation'!M$3:M$73)</f>
        <v>5.3742156340197359E-3</v>
      </c>
      <c r="N47">
        <f>'Total electricity generation'!N47/SUM('Total electricity generation'!N$3:N$73)</f>
        <v>4.9944105802686833E-3</v>
      </c>
      <c r="O47">
        <f>'Total electricity generation'!O47/SUM('Total electricity generation'!O$3:O$73)</f>
        <v>5.0033399035250541E-3</v>
      </c>
      <c r="P47">
        <f>'Total electricity generation'!P47/SUM('Total electricity generation'!P$3:P$73)</f>
        <v>5.0228267487751809E-3</v>
      </c>
      <c r="Q47">
        <f>'Total electricity generation'!Q47/SUM('Total electricity generation'!Q$3:Q$73)</f>
        <v>5.0418151806433794E-3</v>
      </c>
      <c r="R47">
        <f>'Total electricity generation'!R47/SUM('Total electricity generation'!R$3:R$73)</f>
        <v>5.1016412161915903E-3</v>
      </c>
      <c r="S47">
        <f>'Total electricity generation'!S47/SUM('Total electricity generation'!S$3:S$73)</f>
        <v>5.1601099363076854E-3</v>
      </c>
      <c r="T47">
        <f>'Total electricity generation'!T47/SUM('Total electricity generation'!T$3:T$73)</f>
        <v>5.2173845067734316E-3</v>
      </c>
      <c r="U47">
        <f>'Total electricity generation'!U47/SUM('Total electricity generation'!U$3:U$73)</f>
        <v>5.2728460597339698E-3</v>
      </c>
      <c r="V47">
        <f>'Total electricity generation'!V47/SUM('Total electricity generation'!V$3:V$73)</f>
        <v>5.3291293786979707E-3</v>
      </c>
      <c r="W47">
        <f>'Total electricity generation'!W47/SUM('Total electricity generation'!W$3:W$73)</f>
        <v>5.3824446287612732E-3</v>
      </c>
      <c r="X47">
        <f>'Total electricity generation'!X47/SUM('Total electricity generation'!X$3:X$73)</f>
        <v>5.434712303935837E-3</v>
      </c>
      <c r="Y47">
        <f>'Total electricity generation'!Y47/SUM('Total electricity generation'!Y$3:Y$73)</f>
        <v>5.4860331515002936E-3</v>
      </c>
      <c r="Z47">
        <f>'Total electricity generation'!Z47/SUM('Total electricity generation'!Z$3:Z$73)</f>
        <v>5.5367645708594765E-3</v>
      </c>
      <c r="AA47">
        <f>'Total electricity generation'!AA47/SUM('Total electricity generation'!AA$3:AA$73)</f>
        <v>5.5865874283938226E-3</v>
      </c>
      <c r="AB47">
        <f>'Total electricity generation'!AB47/SUM('Total electricity generation'!AB$3:AB$73)</f>
        <v>5.6452882857396742E-3</v>
      </c>
      <c r="AC47">
        <f>'Total electricity generation'!AC47/SUM('Total electricity generation'!AC$3:AC$73)</f>
        <v>5.7037636683829477E-3</v>
      </c>
      <c r="AD47">
        <f>'Total electricity generation'!AD47/SUM('Total electricity generation'!AD$3:AD$73)</f>
        <v>5.7614108809037343E-3</v>
      </c>
      <c r="AE47">
        <f>'Total electricity generation'!AE47/SUM('Total electricity generation'!AE$3:AE$73)</f>
        <v>5.8183946930253369E-3</v>
      </c>
      <c r="AF47">
        <f>'Total electricity generation'!AF47/SUM('Total electricity generation'!AF$3:AF$73)</f>
        <v>5.8743837526673047E-3</v>
      </c>
      <c r="AG47">
        <f>'Total electricity generation'!AG47/SUM('Total electricity generation'!AG$3:AG$73)</f>
        <v>5.9282004660588311E-3</v>
      </c>
      <c r="AH47">
        <f>'Total electricity generation'!AH47/SUM('Total electricity generation'!AH$3:AH$73)</f>
        <v>5.9816653473900652E-3</v>
      </c>
      <c r="AI47">
        <f>'Total electricity generation'!AI47/SUM('Total electricity generation'!AI$3:AI$73)</f>
        <v>6.0336737889694035E-3</v>
      </c>
      <c r="AJ47">
        <f>'Total electricity generation'!AJ47/SUM('Total electricity generation'!AJ$3:AJ$73)</f>
        <v>6.083448871264093E-3</v>
      </c>
      <c r="AK47">
        <f>'Total electricity generation'!AK47/SUM('Total electricity generation'!AK$3:AK$73)</f>
        <v>6.1324997642902088E-3</v>
      </c>
      <c r="AL47">
        <f>'Total electricity generation'!AL47/SUM('Total electricity generation'!AL$3:AL$73)</f>
        <v>6.1793643672738707E-3</v>
      </c>
      <c r="AM47">
        <f>'Total electricity generation'!AM47/SUM('Total electricity generation'!AM$3:AM$73)</f>
        <v>6.2219163174009173E-3</v>
      </c>
      <c r="AN47">
        <f>'Total electricity generation'!AN47/SUM('Total electricity generation'!AN$3:AN$73)</f>
        <v>6.2626702949361525E-3</v>
      </c>
      <c r="AO47">
        <f>'Total electricity generation'!AO47/SUM('Total electricity generation'!AO$3:AO$73)</f>
        <v>6.3013814319247512E-3</v>
      </c>
      <c r="AP47">
        <f>'Total electricity generation'!AP47/SUM('Total electricity generation'!AP$3:AP$73)</f>
        <v>6.3383249712873589E-3</v>
      </c>
    </row>
    <row r="48" spans="1:42" x14ac:dyDescent="0.3">
      <c r="A48" t="s">
        <v>123</v>
      </c>
      <c r="B48">
        <f>'Total electricity generation'!B48/SUM('Total electricity generation'!B$3:B$73)</f>
        <v>2.8190593912473076E-3</v>
      </c>
      <c r="C48">
        <f>'Total electricity generation'!C48/SUM('Total electricity generation'!C$3:C$73)</f>
        <v>2.7978337511825073E-3</v>
      </c>
      <c r="D48">
        <f>'Total electricity generation'!D48/SUM('Total electricity generation'!D$3:D$73)</f>
        <v>2.7929840856152069E-3</v>
      </c>
      <c r="E48">
        <f>'Total electricity generation'!E48/SUM('Total electricity generation'!E$3:E$73)</f>
        <v>3.1586979131426867E-3</v>
      </c>
      <c r="F48">
        <f>'Total electricity generation'!F48/SUM('Total electricity generation'!F$3:F$73)</f>
        <v>2.9609670673329427E-3</v>
      </c>
      <c r="G48">
        <f>'Total electricity generation'!G48/SUM('Total electricity generation'!G$3:G$73)</f>
        <v>3.2340910464400312E-3</v>
      </c>
      <c r="H48">
        <f>'Total electricity generation'!H48/SUM('Total electricity generation'!H$3:H$73)</f>
        <v>3.0712959320418594E-3</v>
      </c>
      <c r="I48">
        <f>'Total electricity generation'!I48/SUM('Total electricity generation'!I$3:I$73)</f>
        <v>3.0762871220083995E-3</v>
      </c>
      <c r="J48">
        <f>'Total electricity generation'!J48/SUM('Total electricity generation'!J$3:J$73)</f>
        <v>2.9970271106336114E-3</v>
      </c>
      <c r="K48">
        <f>'Total electricity generation'!K48/SUM('Total electricity generation'!K$3:K$73)</f>
        <v>2.9759510915631053E-3</v>
      </c>
      <c r="L48">
        <f>'Total electricity generation'!L48/SUM('Total electricity generation'!L$3:L$73)</f>
        <v>2.9613455941572514E-3</v>
      </c>
      <c r="M48">
        <f>'Total electricity generation'!M48/SUM('Total electricity generation'!M$3:M$73)</f>
        <v>3.0164107824189358E-3</v>
      </c>
      <c r="N48">
        <f>'Total electricity generation'!N48/SUM('Total electricity generation'!N$3:N$73)</f>
        <v>2.9818102373488082E-3</v>
      </c>
      <c r="O48">
        <f>'Total electricity generation'!O48/SUM('Total electricity generation'!O$3:O$73)</f>
        <v>2.9744741129894454E-3</v>
      </c>
      <c r="P48">
        <f>'Total electricity generation'!P48/SUM('Total electricity generation'!P$3:P$73)</f>
        <v>2.9689861485797386E-3</v>
      </c>
      <c r="Q48">
        <f>'Total electricity generation'!Q48/SUM('Total electricity generation'!Q$3:Q$73)</f>
        <v>2.958472178114803E-3</v>
      </c>
      <c r="R48">
        <f>'Total electricity generation'!R48/SUM('Total electricity generation'!R$3:R$73)</f>
        <v>2.9722333378973394E-3</v>
      </c>
      <c r="S48">
        <f>'Total electricity generation'!S48/SUM('Total electricity generation'!S$3:S$73)</f>
        <v>2.9853961298904035E-3</v>
      </c>
      <c r="T48">
        <f>'Total electricity generation'!T48/SUM('Total electricity generation'!T$3:T$73)</f>
        <v>2.9969425501538104E-3</v>
      </c>
      <c r="U48">
        <f>'Total electricity generation'!U48/SUM('Total electricity generation'!U$3:U$73)</f>
        <v>3.007788109637709E-3</v>
      </c>
      <c r="V48">
        <f>'Total electricity generation'!V48/SUM('Total electricity generation'!V$3:V$73)</f>
        <v>3.0185627331491644E-3</v>
      </c>
      <c r="W48">
        <f>'Total electricity generation'!W48/SUM('Total electricity generation'!W$3:W$73)</f>
        <v>3.02777034381409E-3</v>
      </c>
      <c r="X48">
        <f>'Total electricity generation'!X48/SUM('Total electricity generation'!X$3:X$73)</f>
        <v>3.0358921430703248E-3</v>
      </c>
      <c r="Y48">
        <f>'Total electricity generation'!Y48/SUM('Total electricity generation'!Y$3:Y$73)</f>
        <v>3.0430768638396583E-3</v>
      </c>
      <c r="Z48">
        <f>'Total electricity generation'!Z48/SUM('Total electricity generation'!Z$3:Z$73)</f>
        <v>3.0492336475910929E-3</v>
      </c>
      <c r="AA48">
        <f>'Total electricity generation'!AA48/SUM('Total electricity generation'!AA$3:AA$73)</f>
        <v>3.0543041556796986E-3</v>
      </c>
      <c r="AB48">
        <f>'Total electricity generation'!AB48/SUM('Total electricity generation'!AB$3:AB$73)</f>
        <v>3.0629556660183659E-3</v>
      </c>
      <c r="AC48">
        <f>'Total electricity generation'!AC48/SUM('Total electricity generation'!AC$3:AC$73)</f>
        <v>3.0706871714336814E-3</v>
      </c>
      <c r="AD48">
        <f>'Total electricity generation'!AD48/SUM('Total electricity generation'!AD$3:AD$73)</f>
        <v>3.0776180324827858E-3</v>
      </c>
      <c r="AE48">
        <f>'Total electricity generation'!AE48/SUM('Total electricity generation'!AE$3:AE$73)</f>
        <v>3.0837458799542199E-3</v>
      </c>
      <c r="AF48">
        <f>'Total electricity generation'!AF48/SUM('Total electricity generation'!AF$3:AF$73)</f>
        <v>3.0890941241777758E-3</v>
      </c>
      <c r="AG48">
        <f>'Total electricity generation'!AG48/SUM('Total electricity generation'!AG$3:AG$73)</f>
        <v>3.0932493378459992E-3</v>
      </c>
      <c r="AH48">
        <f>'Total electricity generation'!AH48/SUM('Total electricity generation'!AH$3:AH$73)</f>
        <v>3.0973699012936265E-3</v>
      </c>
      <c r="AI48">
        <f>'Total electricity generation'!AI48/SUM('Total electricity generation'!AI$3:AI$73)</f>
        <v>3.1010895847266777E-3</v>
      </c>
      <c r="AJ48">
        <f>'Total electricity generation'!AJ48/SUM('Total electricity generation'!AJ$3:AJ$73)</f>
        <v>3.1042917888509545E-3</v>
      </c>
      <c r="AK48">
        <f>'Total electricity generation'!AK48/SUM('Total electricity generation'!AK$3:AK$73)</f>
        <v>3.1080583621917474E-3</v>
      </c>
      <c r="AL48">
        <f>'Total electricity generation'!AL48/SUM('Total electricity generation'!AL$3:AL$73)</f>
        <v>3.1122174956965741E-3</v>
      </c>
      <c r="AM48">
        <f>'Total electricity generation'!AM48/SUM('Total electricity generation'!AM$3:AM$73)</f>
        <v>3.1163388796126854E-3</v>
      </c>
      <c r="AN48">
        <f>'Total electricity generation'!AN48/SUM('Total electricity generation'!AN$3:AN$73)</f>
        <v>3.1211911163211373E-3</v>
      </c>
      <c r="AO48">
        <f>'Total electricity generation'!AO48/SUM('Total electricity generation'!AO$3:AO$73)</f>
        <v>3.1269742667740089E-3</v>
      </c>
      <c r="AP48">
        <f>'Total electricity generation'!AP48/SUM('Total electricity generation'!AP$3:AP$73)</f>
        <v>3.1337273024339496E-3</v>
      </c>
    </row>
    <row r="49" spans="1:42" x14ac:dyDescent="0.3">
      <c r="A49" t="s">
        <v>124</v>
      </c>
      <c r="B49">
        <f>'Total electricity generation'!B49/SUM('Total electricity generation'!B$3:B$73)</f>
        <v>1.8012566177134183E-2</v>
      </c>
      <c r="C49">
        <f>'Total electricity generation'!C49/SUM('Total electricity generation'!C$3:C$73)</f>
        <v>1.8383225892339615E-2</v>
      </c>
      <c r="D49">
        <f>'Total electricity generation'!D49/SUM('Total electricity generation'!D$3:D$73)</f>
        <v>1.8792981934042951E-2</v>
      </c>
      <c r="E49">
        <f>'Total electricity generation'!E49/SUM('Total electricity generation'!E$3:E$73)</f>
        <v>1.8838305152505602E-2</v>
      </c>
      <c r="F49">
        <f>'Total electricity generation'!F49/SUM('Total electricity generation'!F$3:F$73)</f>
        <v>1.7498002197041101E-2</v>
      </c>
      <c r="G49">
        <f>'Total electricity generation'!G49/SUM('Total electricity generation'!G$3:G$73)</f>
        <v>1.8734898997738295E-2</v>
      </c>
      <c r="H49">
        <f>'Total electricity generation'!H49/SUM('Total electricity generation'!H$3:H$73)</f>
        <v>1.8404472702236611E-2</v>
      </c>
      <c r="I49">
        <f>'Total electricity generation'!I49/SUM('Total electricity generation'!I$3:I$73)</f>
        <v>1.7674016600969643E-2</v>
      </c>
      <c r="J49">
        <f>'Total electricity generation'!J49/SUM('Total electricity generation'!J$3:J$73)</f>
        <v>1.7262319998823064E-2</v>
      </c>
      <c r="K49">
        <f>'Total electricity generation'!K49/SUM('Total electricity generation'!K$3:K$73)</f>
        <v>1.659359904441822E-2</v>
      </c>
      <c r="L49">
        <f>'Total electricity generation'!L49/SUM('Total electricity generation'!L$3:L$73)</f>
        <v>1.5896575122486295E-2</v>
      </c>
      <c r="M49">
        <f>'Total electricity generation'!M49/SUM('Total electricity generation'!M$3:M$73)</f>
        <v>1.5541879079560094E-2</v>
      </c>
      <c r="N49">
        <f>'Total electricity generation'!N49/SUM('Total electricity generation'!N$3:N$73)</f>
        <v>1.5381178838450821E-2</v>
      </c>
      <c r="O49">
        <f>'Total electricity generation'!O49/SUM('Total electricity generation'!O$3:O$73)</f>
        <v>1.5310182534465731E-2</v>
      </c>
      <c r="P49">
        <f>'Total electricity generation'!P49/SUM('Total electricity generation'!P$3:P$73)</f>
        <v>1.5298766854729353E-2</v>
      </c>
      <c r="Q49">
        <f>'Total electricity generation'!Q49/SUM('Total electricity generation'!Q$3:Q$73)</f>
        <v>1.5283029710266851E-2</v>
      </c>
      <c r="R49">
        <f>'Total electricity generation'!R49/SUM('Total electricity generation'!R$3:R$73)</f>
        <v>1.5351678359844136E-2</v>
      </c>
      <c r="S49">
        <f>'Total electricity generation'!S49/SUM('Total electricity generation'!S$3:S$73)</f>
        <v>1.5409608694718106E-2</v>
      </c>
      <c r="T49">
        <f>'Total electricity generation'!T49/SUM('Total electricity generation'!T$3:T$73)</f>
        <v>1.545791932920953E-2</v>
      </c>
      <c r="U49">
        <f>'Total electricity generation'!U49/SUM('Total electricity generation'!U$3:U$73)</f>
        <v>1.5497377157982524E-2</v>
      </c>
      <c r="V49">
        <f>'Total electricity generation'!V49/SUM('Total electricity generation'!V$3:V$73)</f>
        <v>1.5533943525139655E-2</v>
      </c>
      <c r="W49">
        <f>'Total electricity generation'!W49/SUM('Total electricity generation'!W$3:W$73)</f>
        <v>1.557263056523866E-2</v>
      </c>
      <c r="X49">
        <f>'Total electricity generation'!X49/SUM('Total electricity generation'!X$3:X$73)</f>
        <v>1.5603998325465097E-2</v>
      </c>
      <c r="Y49">
        <f>'Total electricity generation'!Y49/SUM('Total electricity generation'!Y$3:Y$73)</f>
        <v>1.5629163822297638E-2</v>
      </c>
      <c r="Z49">
        <f>'Total electricity generation'!Z49/SUM('Total electricity generation'!Z$3:Z$73)</f>
        <v>1.5647332787295971E-2</v>
      </c>
      <c r="AA49">
        <f>'Total electricity generation'!AA49/SUM('Total electricity generation'!AA$3:AA$73)</f>
        <v>1.5658664656013135E-2</v>
      </c>
      <c r="AB49">
        <f>'Total electricity generation'!AB49/SUM('Total electricity generation'!AB$3:AB$73)</f>
        <v>1.5691964107177075E-2</v>
      </c>
      <c r="AC49">
        <f>'Total electricity generation'!AC49/SUM('Total electricity generation'!AC$3:AC$73)</f>
        <v>1.5719672707363998E-2</v>
      </c>
      <c r="AD49">
        <f>'Total electricity generation'!AD49/SUM('Total electricity generation'!AD$3:AD$73)</f>
        <v>1.5743096475055642E-2</v>
      </c>
      <c r="AE49">
        <f>'Total electricity generation'!AE49/SUM('Total electricity generation'!AE$3:AE$73)</f>
        <v>1.5760812068609548E-2</v>
      </c>
      <c r="AF49">
        <f>'Total electricity generation'!AF49/SUM('Total electricity generation'!AF$3:AF$73)</f>
        <v>1.5775605415468654E-2</v>
      </c>
      <c r="AG49">
        <f>'Total electricity generation'!AG49/SUM('Total electricity generation'!AG$3:AG$73)</f>
        <v>1.5783096922660767E-2</v>
      </c>
      <c r="AH49">
        <f>'Total electricity generation'!AH49/SUM('Total electricity generation'!AH$3:AH$73)</f>
        <v>1.578889281150932E-2</v>
      </c>
      <c r="AI49">
        <f>'Total electricity generation'!AI49/SUM('Total electricity generation'!AI$3:AI$73)</f>
        <v>1.5792359566040366E-2</v>
      </c>
      <c r="AJ49">
        <f>'Total electricity generation'!AJ49/SUM('Total electricity generation'!AJ$3:AJ$73)</f>
        <v>1.5793210953148056E-2</v>
      </c>
      <c r="AK49">
        <f>'Total electricity generation'!AK49/SUM('Total electricity generation'!AK$3:AK$73)</f>
        <v>1.5796902306664449E-2</v>
      </c>
      <c r="AL49">
        <f>'Total electricity generation'!AL49/SUM('Total electricity generation'!AL$3:AL$73)</f>
        <v>1.5799391868271801E-2</v>
      </c>
      <c r="AM49">
        <f>'Total electricity generation'!AM49/SUM('Total electricity generation'!AM$3:AM$73)</f>
        <v>1.5799672417926885E-2</v>
      </c>
      <c r="AN49">
        <f>'Total electricity generation'!AN49/SUM('Total electricity generation'!AN$3:AN$73)</f>
        <v>1.5801777804465546E-2</v>
      </c>
      <c r="AO49">
        <f>'Total electricity generation'!AO49/SUM('Total electricity generation'!AO$3:AO$73)</f>
        <v>1.5806601387713053E-2</v>
      </c>
      <c r="AP49">
        <f>'Total electricity generation'!AP49/SUM('Total electricity generation'!AP$3:AP$73)</f>
        <v>1.5813772522548796E-2</v>
      </c>
    </row>
    <row r="50" spans="1:42" x14ac:dyDescent="0.3">
      <c r="A50" t="s">
        <v>125</v>
      </c>
      <c r="B50">
        <f>'Total electricity generation'!B50/SUM('Total electricity generation'!B$3:B$73)</f>
        <v>2.2073324772446529E-2</v>
      </c>
      <c r="C50">
        <f>'Total electricity generation'!C50/SUM('Total electricity generation'!C$3:C$73)</f>
        <v>2.3642993177837301E-2</v>
      </c>
      <c r="D50">
        <f>'Total electricity generation'!D50/SUM('Total electricity generation'!D$3:D$73)</f>
        <v>2.3510623445627432E-2</v>
      </c>
      <c r="E50">
        <f>'Total electricity generation'!E50/SUM('Total electricity generation'!E$3:E$73)</f>
        <v>2.2952112111532544E-2</v>
      </c>
      <c r="F50">
        <f>'Total electricity generation'!F50/SUM('Total electricity generation'!F$3:F$73)</f>
        <v>2.2437682834598297E-2</v>
      </c>
      <c r="G50">
        <f>'Total electricity generation'!G50/SUM('Total electricity generation'!G$3:G$73)</f>
        <v>2.2582305315275948E-2</v>
      </c>
      <c r="H50">
        <f>'Total electricity generation'!H50/SUM('Total electricity generation'!H$3:H$73)</f>
        <v>2.2393146565343275E-2</v>
      </c>
      <c r="I50">
        <f>'Total electricity generation'!I50/SUM('Total electricity generation'!I$3:I$73)</f>
        <v>2.2060346376554327E-2</v>
      </c>
      <c r="J50">
        <f>'Total electricity generation'!J50/SUM('Total electricity generation'!J$3:J$73)</f>
        <v>2.20192703792325E-2</v>
      </c>
      <c r="K50">
        <f>'Total electricity generation'!K50/SUM('Total electricity generation'!K$3:K$73)</f>
        <v>2.0946731934801829E-2</v>
      </c>
      <c r="L50">
        <f>'Total electricity generation'!L50/SUM('Total electricity generation'!L$3:L$73)</f>
        <v>2.1240966513236505E-2</v>
      </c>
      <c r="M50">
        <f>'Total electricity generation'!M50/SUM('Total electricity generation'!M$3:M$73)</f>
        <v>2.1205085178893055E-2</v>
      </c>
      <c r="N50">
        <f>'Total electricity generation'!N50/SUM('Total electricity generation'!N$3:N$73)</f>
        <v>2.0906912776210911E-2</v>
      </c>
      <c r="O50">
        <f>'Total electricity generation'!O50/SUM('Total electricity generation'!O$3:O$73)</f>
        <v>2.1116918617716026E-2</v>
      </c>
      <c r="P50">
        <f>'Total electricity generation'!P50/SUM('Total electricity generation'!P$3:P$73)</f>
        <v>2.1379324580160123E-2</v>
      </c>
      <c r="Q50">
        <f>'Total electricity generation'!Q50/SUM('Total electricity generation'!Q$3:Q$73)</f>
        <v>2.1629755004526283E-2</v>
      </c>
      <c r="R50">
        <f>'Total electricity generation'!R50/SUM('Total electricity generation'!R$3:R$73)</f>
        <v>2.1878858070066089E-2</v>
      </c>
      <c r="S50">
        <f>'Total electricity generation'!S50/SUM('Total electricity generation'!S$3:S$73)</f>
        <v>2.2135745494587224E-2</v>
      </c>
      <c r="T50">
        <f>'Total electricity generation'!T50/SUM('Total electricity generation'!T$3:T$73)</f>
        <v>2.2389530364573904E-2</v>
      </c>
      <c r="U50">
        <f>'Total electricity generation'!U50/SUM('Total electricity generation'!U$3:U$73)</f>
        <v>2.2653549940192082E-2</v>
      </c>
      <c r="V50">
        <f>'Total electricity generation'!V50/SUM('Total electricity generation'!V$3:V$73)</f>
        <v>2.291282402581488E-2</v>
      </c>
      <c r="W50">
        <f>'Total electricity generation'!W50/SUM('Total electricity generation'!W$3:W$73)</f>
        <v>2.3156432624205869E-2</v>
      </c>
      <c r="X50">
        <f>'Total electricity generation'!X50/SUM('Total electricity generation'!X$3:X$73)</f>
        <v>2.337505098734171E-2</v>
      </c>
      <c r="Y50">
        <f>'Total electricity generation'!Y50/SUM('Total electricity generation'!Y$3:Y$73)</f>
        <v>2.3588305214127751E-2</v>
      </c>
      <c r="Z50">
        <f>'Total electricity generation'!Z50/SUM('Total electricity generation'!Z$3:Z$73)</f>
        <v>2.3796146230939733E-2</v>
      </c>
      <c r="AA50">
        <f>'Total electricity generation'!AA50/SUM('Total electricity generation'!AA$3:AA$73)</f>
        <v>2.3997040284088392E-2</v>
      </c>
      <c r="AB50">
        <f>'Total electricity generation'!AB50/SUM('Total electricity generation'!AB$3:AB$73)</f>
        <v>2.4182829689268808E-2</v>
      </c>
      <c r="AC50">
        <f>'Total electricity generation'!AC50/SUM('Total electricity generation'!AC$3:AC$73)</f>
        <v>2.4362361083481356E-2</v>
      </c>
      <c r="AD50">
        <f>'Total electricity generation'!AD50/SUM('Total electricity generation'!AD$3:AD$73)</f>
        <v>2.4533921884714961E-2</v>
      </c>
      <c r="AE50">
        <f>'Total electricity generation'!AE50/SUM('Total electricity generation'!AE$3:AE$73)</f>
        <v>2.4695079082707964E-2</v>
      </c>
      <c r="AF50">
        <f>'Total electricity generation'!AF50/SUM('Total electricity generation'!AF$3:AF$73)</f>
        <v>2.4849456708996707E-2</v>
      </c>
      <c r="AG50">
        <f>'Total electricity generation'!AG50/SUM('Total electricity generation'!AG$3:AG$73)</f>
        <v>2.4976435999054525E-2</v>
      </c>
      <c r="AH50">
        <f>'Total electricity generation'!AH50/SUM('Total electricity generation'!AH$3:AH$73)</f>
        <v>2.5095092270924223E-2</v>
      </c>
      <c r="AI50">
        <f>'Total electricity generation'!AI50/SUM('Total electricity generation'!AI$3:AI$73)</f>
        <v>2.5202485086442284E-2</v>
      </c>
      <c r="AJ50">
        <f>'Total electricity generation'!AJ50/SUM('Total electricity generation'!AJ$3:AJ$73)</f>
        <v>2.5300931977512063E-2</v>
      </c>
      <c r="AK50">
        <f>'Total electricity generation'!AK50/SUM('Total electricity generation'!AK$3:AK$73)</f>
        <v>2.5378233755984258E-2</v>
      </c>
      <c r="AL50">
        <f>'Total electricity generation'!AL50/SUM('Total electricity generation'!AL$3:AL$73)</f>
        <v>2.5420023803852731E-2</v>
      </c>
      <c r="AM50">
        <f>'Total electricity generation'!AM50/SUM('Total electricity generation'!AM$3:AM$73)</f>
        <v>2.5449918964109364E-2</v>
      </c>
      <c r="AN50">
        <f>'Total electricity generation'!AN50/SUM('Total electricity generation'!AN$3:AN$73)</f>
        <v>2.5471896668739492E-2</v>
      </c>
      <c r="AO50">
        <f>'Total electricity generation'!AO50/SUM('Total electricity generation'!AO$3:AO$73)</f>
        <v>2.547892670311758E-2</v>
      </c>
      <c r="AP50">
        <f>'Total electricity generation'!AP50/SUM('Total electricity generation'!AP$3:AP$73)</f>
        <v>2.5479097659834332E-2</v>
      </c>
    </row>
    <row r="51" spans="1:42" x14ac:dyDescent="0.3">
      <c r="A51" t="s">
        <v>126</v>
      </c>
      <c r="B51">
        <f>'Total electricity generation'!B51/SUM('Total electricity generation'!B$3:B$73)</f>
        <v>1.1471617458472897E-2</v>
      </c>
      <c r="C51">
        <f>'Total electricity generation'!C51/SUM('Total electricity generation'!C$3:C$73)</f>
        <v>1.1330540589326765E-2</v>
      </c>
      <c r="D51">
        <f>'Total electricity generation'!D51/SUM('Total electricity generation'!D$3:D$73)</f>
        <v>1.1003664530543076E-2</v>
      </c>
      <c r="E51">
        <f>'Total electricity generation'!E51/SUM('Total electricity generation'!E$3:E$73)</f>
        <v>1.0755950963159245E-2</v>
      </c>
      <c r="F51">
        <f>'Total electricity generation'!F51/SUM('Total electricity generation'!F$3:F$73)</f>
        <v>1.0815920424527071E-2</v>
      </c>
      <c r="G51">
        <f>'Total electricity generation'!G51/SUM('Total electricity generation'!G$3:G$73)</f>
        <v>1.0608235053023973E-2</v>
      </c>
      <c r="H51">
        <f>'Total electricity generation'!H51/SUM('Total electricity generation'!H$3:H$73)</f>
        <v>1.0547250134372455E-2</v>
      </c>
      <c r="I51">
        <f>'Total electricity generation'!I51/SUM('Total electricity generation'!I$3:I$73)</f>
        <v>1.0472309350240789E-2</v>
      </c>
      <c r="J51">
        <f>'Total electricity generation'!J51/SUM('Total electricity generation'!J$3:J$73)</f>
        <v>1.0313156116696436E-2</v>
      </c>
      <c r="K51">
        <f>'Total electricity generation'!K51/SUM('Total electricity generation'!K$3:K$73)</f>
        <v>1.0133534474125778E-2</v>
      </c>
      <c r="L51">
        <f>'Total electricity generation'!L51/SUM('Total electricity generation'!L$3:L$73)</f>
        <v>1.0410565355842167E-2</v>
      </c>
      <c r="M51">
        <f>'Total electricity generation'!M51/SUM('Total electricity generation'!M$3:M$73)</f>
        <v>1.0189958251122863E-2</v>
      </c>
      <c r="N51">
        <f>'Total electricity generation'!N51/SUM('Total electricity generation'!N$3:N$73)</f>
        <v>9.8610428521497071E-3</v>
      </c>
      <c r="O51">
        <f>'Total electricity generation'!O51/SUM('Total electricity generation'!O$3:O$73)</f>
        <v>9.9304378235797897E-3</v>
      </c>
      <c r="P51">
        <f>'Total electricity generation'!P51/SUM('Total electricity generation'!P$3:P$73)</f>
        <v>1.0084244602293459E-2</v>
      </c>
      <c r="Q51">
        <f>'Total electricity generation'!Q51/SUM('Total electricity generation'!Q$3:Q$73)</f>
        <v>1.0165032071314205E-2</v>
      </c>
      <c r="R51">
        <f>'Total electricity generation'!R51/SUM('Total electricity generation'!R$3:R$73)</f>
        <v>1.0237418801292442E-2</v>
      </c>
      <c r="S51">
        <f>'Total electricity generation'!S51/SUM('Total electricity generation'!S$3:S$73)</f>
        <v>1.0305788723206314E-2</v>
      </c>
      <c r="T51">
        <f>'Total electricity generation'!T51/SUM('Total electricity generation'!T$3:T$73)</f>
        <v>1.0384352594942312E-2</v>
      </c>
      <c r="U51">
        <f>'Total electricity generation'!U51/SUM('Total electricity generation'!U$3:U$73)</f>
        <v>1.04509975939592E-2</v>
      </c>
      <c r="V51">
        <f>'Total electricity generation'!V51/SUM('Total electricity generation'!V$3:V$73)</f>
        <v>1.0514944096440293E-2</v>
      </c>
      <c r="W51">
        <f>'Total electricity generation'!W51/SUM('Total electricity generation'!W$3:W$73)</f>
        <v>1.0573399682914464E-2</v>
      </c>
      <c r="X51">
        <f>'Total electricity generation'!X51/SUM('Total electricity generation'!X$3:X$73)</f>
        <v>1.0625767356512378E-2</v>
      </c>
      <c r="Y51">
        <f>'Total electricity generation'!Y51/SUM('Total electricity generation'!Y$3:Y$73)</f>
        <v>1.0672193544723629E-2</v>
      </c>
      <c r="Z51">
        <f>'Total electricity generation'!Z51/SUM('Total electricity generation'!Z$3:Z$73)</f>
        <v>1.0713055495433988E-2</v>
      </c>
      <c r="AA51">
        <f>'Total electricity generation'!AA51/SUM('Total electricity generation'!AA$3:AA$73)</f>
        <v>1.0748335469533427E-2</v>
      </c>
      <c r="AB51">
        <f>'Total electricity generation'!AB51/SUM('Total electricity generation'!AB$3:AB$73)</f>
        <v>1.0771276876788577E-2</v>
      </c>
      <c r="AC51">
        <f>'Total electricity generation'!AC51/SUM('Total electricity generation'!AC$3:AC$73)</f>
        <v>1.0789781128842754E-2</v>
      </c>
      <c r="AD51">
        <f>'Total electricity generation'!AD51/SUM('Total electricity generation'!AD$3:AD$73)</f>
        <v>1.0803931073854764E-2</v>
      </c>
      <c r="AE51">
        <f>'Total electricity generation'!AE51/SUM('Total electricity generation'!AE$3:AE$73)</f>
        <v>1.0813736071274276E-2</v>
      </c>
      <c r="AF51">
        <f>'Total electricity generation'!AF51/SUM('Total electricity generation'!AF$3:AF$73)</f>
        <v>1.0820186554379682E-2</v>
      </c>
      <c r="AG51">
        <f>'Total electricity generation'!AG51/SUM('Total electricity generation'!AG$3:AG$73)</f>
        <v>1.0821492324731308E-2</v>
      </c>
      <c r="AH51">
        <f>'Total electricity generation'!AH51/SUM('Total electricity generation'!AH$3:AH$73)</f>
        <v>1.082114920173859E-2</v>
      </c>
      <c r="AI51">
        <f>'Total electricity generation'!AI51/SUM('Total electricity generation'!AI$3:AI$73)</f>
        <v>1.0818832640348486E-2</v>
      </c>
      <c r="AJ51">
        <f>'Total electricity generation'!AJ51/SUM('Total electricity generation'!AJ$3:AJ$73)</f>
        <v>1.0815411091666692E-2</v>
      </c>
      <c r="AK51">
        <f>'Total electricity generation'!AK51/SUM('Total electricity generation'!AK$3:AK$73)</f>
        <v>1.0813010012259419E-2</v>
      </c>
      <c r="AL51">
        <f>'Total electricity generation'!AL51/SUM('Total electricity generation'!AL$3:AL$73)</f>
        <v>1.0812680965817084E-2</v>
      </c>
      <c r="AM51">
        <f>'Total electricity generation'!AM51/SUM('Total electricity generation'!AM$3:AM$73)</f>
        <v>1.0810695293931829E-2</v>
      </c>
      <c r="AN51">
        <f>'Total electricity generation'!AN51/SUM('Total electricity generation'!AN$3:AN$73)</f>
        <v>1.0808696374753565E-2</v>
      </c>
      <c r="AO51">
        <f>'Total electricity generation'!AO51/SUM('Total electricity generation'!AO$3:AO$73)</f>
        <v>1.0802791409210685E-2</v>
      </c>
      <c r="AP51">
        <f>'Total electricity generation'!AP51/SUM('Total electricity generation'!AP$3:AP$73)</f>
        <v>1.0790088312428607E-2</v>
      </c>
    </row>
    <row r="52" spans="1:42" x14ac:dyDescent="0.3">
      <c r="A52" t="s">
        <v>127</v>
      </c>
      <c r="B52">
        <f>'Total electricity generation'!B52/SUM('Total electricity generation'!B$3:B$73)</f>
        <v>7.8930780148309676E-3</v>
      </c>
      <c r="C52">
        <f>'Total electricity generation'!C52/SUM('Total electricity generation'!C$3:C$73)</f>
        <v>8.2520506398546627E-3</v>
      </c>
      <c r="D52">
        <f>'Total electricity generation'!D52/SUM('Total electricity generation'!D$3:D$73)</f>
        <v>8.7927195367508114E-3</v>
      </c>
      <c r="E52">
        <f>'Total electricity generation'!E52/SUM('Total electricity generation'!E$3:E$73)</f>
        <v>9.2207121957417221E-3</v>
      </c>
      <c r="F52">
        <f>'Total electricity generation'!F52/SUM('Total electricity generation'!F$3:F$73)</f>
        <v>9.4936589857547507E-3</v>
      </c>
      <c r="G52">
        <f>'Total electricity generation'!G52/SUM('Total electricity generation'!G$3:G$73)</f>
        <v>9.6280416231134432E-3</v>
      </c>
      <c r="H52">
        <f>'Total electricity generation'!H52/SUM('Total electricity generation'!H$3:H$73)</f>
        <v>9.9145271806226273E-3</v>
      </c>
      <c r="I52">
        <f>'Total electricity generation'!I52/SUM('Total electricity generation'!I$3:I$73)</f>
        <v>9.8911969501315911E-3</v>
      </c>
      <c r="J52">
        <f>'Total electricity generation'!J52/SUM('Total electricity generation'!J$3:J$73)</f>
        <v>1.0635696421883299E-2</v>
      </c>
      <c r="K52">
        <f>'Total electricity generation'!K52/SUM('Total electricity generation'!K$3:K$73)</f>
        <v>1.0933574042457348E-2</v>
      </c>
      <c r="L52">
        <f>'Total electricity generation'!L52/SUM('Total electricity generation'!L$3:L$73)</f>
        <v>1.0866551339550312E-2</v>
      </c>
      <c r="M52">
        <f>'Total electricity generation'!M52/SUM('Total electricity generation'!M$3:M$73)</f>
        <v>1.082343612681427E-2</v>
      </c>
      <c r="N52">
        <f>'Total electricity generation'!N52/SUM('Total electricity generation'!N$3:N$73)</f>
        <v>1.2912798733048196E-2</v>
      </c>
      <c r="O52">
        <f>'Total electricity generation'!O52/SUM('Total electricity generation'!O$3:O$73)</f>
        <v>1.3010065744670729E-2</v>
      </c>
      <c r="P52">
        <f>'Total electricity generation'!P52/SUM('Total electricity generation'!P$3:P$73)</f>
        <v>1.3179521377965677E-2</v>
      </c>
      <c r="Q52">
        <f>'Total electricity generation'!Q52/SUM('Total electricity generation'!Q$3:Q$73)</f>
        <v>1.3350197029536026E-2</v>
      </c>
      <c r="R52">
        <f>'Total electricity generation'!R52/SUM('Total electricity generation'!R$3:R$73)</f>
        <v>1.3544333090677459E-2</v>
      </c>
      <c r="S52">
        <f>'Total electricity generation'!S52/SUM('Total electricity generation'!S$3:S$73)</f>
        <v>1.3736724263117466E-2</v>
      </c>
      <c r="T52">
        <f>'Total electricity generation'!T52/SUM('Total electricity generation'!T$3:T$73)</f>
        <v>1.3923587012041343E-2</v>
      </c>
      <c r="U52">
        <f>'Total electricity generation'!U52/SUM('Total electricity generation'!U$3:U$73)</f>
        <v>1.4110100405184281E-2</v>
      </c>
      <c r="V52">
        <f>'Total electricity generation'!V52/SUM('Total electricity generation'!V$3:V$73)</f>
        <v>1.4298778079148181E-2</v>
      </c>
      <c r="W52">
        <f>'Total electricity generation'!W52/SUM('Total electricity generation'!W$3:W$73)</f>
        <v>1.4458961973602479E-2</v>
      </c>
      <c r="X52">
        <f>'Total electricity generation'!X52/SUM('Total electricity generation'!X$3:X$73)</f>
        <v>1.4615239594558472E-2</v>
      </c>
      <c r="Y52">
        <f>'Total electricity generation'!Y52/SUM('Total electricity generation'!Y$3:Y$73)</f>
        <v>1.4768847857180608E-2</v>
      </c>
      <c r="Z52">
        <f>'Total electricity generation'!Z52/SUM('Total electricity generation'!Z$3:Z$73)</f>
        <v>1.4918512578671838E-2</v>
      </c>
      <c r="AA52">
        <f>'Total electricity generation'!AA52/SUM('Total electricity generation'!AA$3:AA$73)</f>
        <v>1.5064845604633486E-2</v>
      </c>
      <c r="AB52">
        <f>'Total electricity generation'!AB52/SUM('Total electricity generation'!AB$3:AB$73)</f>
        <v>1.5187486764290032E-2</v>
      </c>
      <c r="AC52">
        <f>'Total electricity generation'!AC52/SUM('Total electricity generation'!AC$3:AC$73)</f>
        <v>1.5306176166617176E-2</v>
      </c>
      <c r="AD52">
        <f>'Total electricity generation'!AD52/SUM('Total electricity generation'!AD$3:AD$73)</f>
        <v>1.5420669703597218E-2</v>
      </c>
      <c r="AE52">
        <f>'Total electricity generation'!AE52/SUM('Total electricity generation'!AE$3:AE$73)</f>
        <v>1.5531247417347897E-2</v>
      </c>
      <c r="AF52">
        <f>'Total electricity generation'!AF52/SUM('Total electricity generation'!AF$3:AF$73)</f>
        <v>1.5638394046047402E-2</v>
      </c>
      <c r="AG52">
        <f>'Total electricity generation'!AG52/SUM('Total electricity generation'!AG$3:AG$73)</f>
        <v>1.5738960715526877E-2</v>
      </c>
      <c r="AH52">
        <f>'Total electricity generation'!AH52/SUM('Total electricity generation'!AH$3:AH$73)</f>
        <v>1.5838914669629171E-2</v>
      </c>
      <c r="AI52">
        <f>'Total electricity generation'!AI52/SUM('Total electricity generation'!AI$3:AI$73)</f>
        <v>1.5936549346090404E-2</v>
      </c>
      <c r="AJ52">
        <f>'Total electricity generation'!AJ52/SUM('Total electricity generation'!AJ$3:AJ$73)</f>
        <v>1.60316768081517E-2</v>
      </c>
      <c r="AK52">
        <f>'Total electricity generation'!AK52/SUM('Total electricity generation'!AK$3:AK$73)</f>
        <v>1.6129861152603359E-2</v>
      </c>
      <c r="AL52">
        <f>'Total electricity generation'!AL52/SUM('Total electricity generation'!AL$3:AL$73)</f>
        <v>1.6230958238833908E-2</v>
      </c>
      <c r="AM52">
        <f>'Total electricity generation'!AM52/SUM('Total electricity generation'!AM$3:AM$73)</f>
        <v>1.6332724470806453E-2</v>
      </c>
      <c r="AN52">
        <f>'Total electricity generation'!AN52/SUM('Total electricity generation'!AN$3:AN$73)</f>
        <v>1.6441391401572889E-2</v>
      </c>
      <c r="AO52">
        <f>'Total electricity generation'!AO52/SUM('Total electricity generation'!AO$3:AO$73)</f>
        <v>1.6559791275751357E-2</v>
      </c>
      <c r="AP52">
        <f>'Total electricity generation'!AP52/SUM('Total electricity generation'!AP$3:AP$73)</f>
        <v>1.6688638308461179E-2</v>
      </c>
    </row>
    <row r="53" spans="1:42" x14ac:dyDescent="0.3">
      <c r="A53" t="s">
        <v>128</v>
      </c>
      <c r="B53">
        <f>'Total electricity generation'!B53/SUM('Total electricity generation'!B$3:B$73)</f>
        <v>1.8206792947971871E-2</v>
      </c>
      <c r="C53">
        <f>'Total electricity generation'!C53/SUM('Total electricity generation'!C$3:C$73)</f>
        <v>1.8169736244726589E-2</v>
      </c>
      <c r="D53">
        <f>'Total electricity generation'!D53/SUM('Total electricity generation'!D$3:D$73)</f>
        <v>1.9042314852886915E-2</v>
      </c>
      <c r="E53">
        <f>'Total electricity generation'!E53/SUM('Total electricity generation'!E$3:E$73)</f>
        <v>1.9162084387250439E-2</v>
      </c>
      <c r="F53">
        <f>'Total electricity generation'!F53/SUM('Total electricity generation'!F$3:F$73)</f>
        <v>1.9810782777144292E-2</v>
      </c>
      <c r="G53">
        <f>'Total electricity generation'!G53/SUM('Total electricity generation'!G$3:G$73)</f>
        <v>2.1162944409661245E-2</v>
      </c>
      <c r="H53">
        <f>'Total electricity generation'!H53/SUM('Total electricity generation'!H$3:H$73)</f>
        <v>2.2637458558937416E-2</v>
      </c>
      <c r="I53">
        <f>'Total electricity generation'!I53/SUM('Total electricity generation'!I$3:I$73)</f>
        <v>2.2847475648577982E-2</v>
      </c>
      <c r="J53">
        <f>'Total electricity generation'!J53/SUM('Total electricity generation'!J$3:J$73)</f>
        <v>2.3326163744791351E-2</v>
      </c>
      <c r="K53">
        <f>'Total electricity generation'!K53/SUM('Total electricity generation'!K$3:K$73)</f>
        <v>2.4183010570779762E-2</v>
      </c>
      <c r="L53">
        <f>'Total electricity generation'!L53/SUM('Total electricity generation'!L$3:L$73)</f>
        <v>2.4178471103731582E-2</v>
      </c>
      <c r="M53">
        <f>'Total electricity generation'!M53/SUM('Total electricity generation'!M$3:M$73)</f>
        <v>2.3763552745704783E-2</v>
      </c>
      <c r="N53">
        <f>'Total electricity generation'!N53/SUM('Total electricity generation'!N$3:N$73)</f>
        <v>2.4701458570152442E-2</v>
      </c>
      <c r="O53">
        <f>'Total electricity generation'!O53/SUM('Total electricity generation'!O$3:O$73)</f>
        <v>2.4984639794016907E-2</v>
      </c>
      <c r="P53">
        <f>'Total electricity generation'!P53/SUM('Total electricity generation'!P$3:P$73)</f>
        <v>2.538419352845343E-2</v>
      </c>
      <c r="Q53">
        <f>'Total electricity generation'!Q53/SUM('Total electricity generation'!Q$3:Q$73)</f>
        <v>2.5793591129080522E-2</v>
      </c>
      <c r="R53">
        <f>'Total electricity generation'!R53/SUM('Total electricity generation'!R$3:R$73)</f>
        <v>2.6170012301369585E-2</v>
      </c>
      <c r="S53">
        <f>'Total electricity generation'!S53/SUM('Total electricity generation'!S$3:S$73)</f>
        <v>2.6547090239795651E-2</v>
      </c>
      <c r="T53">
        <f>'Total electricity generation'!T53/SUM('Total electricity generation'!T$3:T$73)</f>
        <v>2.6925603664185123E-2</v>
      </c>
      <c r="U53">
        <f>'Total electricity generation'!U53/SUM('Total electricity generation'!U$3:U$73)</f>
        <v>2.7312085722812848E-2</v>
      </c>
      <c r="V53">
        <f>'Total electricity generation'!V53/SUM('Total electricity generation'!V$3:V$73)</f>
        <v>2.7719983862790634E-2</v>
      </c>
      <c r="W53">
        <f>'Total electricity generation'!W53/SUM('Total electricity generation'!W$3:W$73)</f>
        <v>2.81132473517153E-2</v>
      </c>
      <c r="X53">
        <f>'Total electricity generation'!X53/SUM('Total electricity generation'!X$3:X$73)</f>
        <v>2.8517077526336289E-2</v>
      </c>
      <c r="Y53">
        <f>'Total electricity generation'!Y53/SUM('Total electricity generation'!Y$3:Y$73)</f>
        <v>2.8932310568401325E-2</v>
      </c>
      <c r="Z53">
        <f>'Total electricity generation'!Z53/SUM('Total electricity generation'!Z$3:Z$73)</f>
        <v>2.9360114885349793E-2</v>
      </c>
      <c r="AA53">
        <f>'Total electricity generation'!AA53/SUM('Total electricity generation'!AA$3:AA$73)</f>
        <v>2.979744080935301E-2</v>
      </c>
      <c r="AB53">
        <f>'Total electricity generation'!AB53/SUM('Total electricity generation'!AB$3:AB$73)</f>
        <v>3.020425777254342E-2</v>
      </c>
      <c r="AC53">
        <f>'Total electricity generation'!AC53/SUM('Total electricity generation'!AC$3:AC$73)</f>
        <v>3.061442292619793E-2</v>
      </c>
      <c r="AD53">
        <f>'Total electricity generation'!AD53/SUM('Total electricity generation'!AD$3:AD$73)</f>
        <v>3.1021730842305462E-2</v>
      </c>
      <c r="AE53">
        <f>'Total electricity generation'!AE53/SUM('Total electricity generation'!AE$3:AE$73)</f>
        <v>3.1423727045137385E-2</v>
      </c>
      <c r="AF53">
        <f>'Total electricity generation'!AF53/SUM('Total electricity generation'!AF$3:AF$73)</f>
        <v>3.1819295067967567E-2</v>
      </c>
      <c r="AG53">
        <f>'Total electricity generation'!AG53/SUM('Total electricity generation'!AG$3:AG$73)</f>
        <v>3.220417939328387E-2</v>
      </c>
      <c r="AH53">
        <f>'Total electricity generation'!AH53/SUM('Total electricity generation'!AH$3:AH$73)</f>
        <v>3.2588197595385435E-2</v>
      </c>
      <c r="AI53">
        <f>'Total electricity generation'!AI53/SUM('Total electricity generation'!AI$3:AI$73)</f>
        <v>3.2968070940159987E-2</v>
      </c>
      <c r="AJ53">
        <f>'Total electricity generation'!AJ53/SUM('Total electricity generation'!AJ$3:AJ$73)</f>
        <v>3.334445686747943E-2</v>
      </c>
      <c r="AK53">
        <f>'Total electricity generation'!AK53/SUM('Total electricity generation'!AK$3:AK$73)</f>
        <v>3.3724913765760034E-2</v>
      </c>
      <c r="AL53">
        <f>'Total electricity generation'!AL53/SUM('Total electricity generation'!AL$3:AL$73)</f>
        <v>3.4107539802846976E-2</v>
      </c>
      <c r="AM53">
        <f>'Total electricity generation'!AM53/SUM('Total electricity generation'!AM$3:AM$73)</f>
        <v>3.4485876056910961E-2</v>
      </c>
      <c r="AN53">
        <f>'Total electricity generation'!AN53/SUM('Total electricity generation'!AN$3:AN$73)</f>
        <v>3.4872606470026157E-2</v>
      </c>
      <c r="AO53">
        <f>'Total electricity generation'!AO53/SUM('Total electricity generation'!AO$3:AO$73)</f>
        <v>3.5271097373887797E-2</v>
      </c>
      <c r="AP53">
        <f>'Total electricity generation'!AP53/SUM('Total electricity generation'!AP$3:AP$73)</f>
        <v>3.5682869013512086E-2</v>
      </c>
    </row>
    <row r="54" spans="1:42" x14ac:dyDescent="0.3">
      <c r="A54" t="s">
        <v>129</v>
      </c>
      <c r="B54">
        <f>'Total electricity generation'!B54/SUM('Total electricity generation'!B$3:B$73)</f>
        <v>1.5760071279484797E-2</v>
      </c>
      <c r="C54">
        <f>'Total electricity generation'!C54/SUM('Total electricity generation'!C$3:C$73)</f>
        <v>1.5811695126804397E-2</v>
      </c>
      <c r="D54">
        <f>'Total electricity generation'!D54/SUM('Total electricity generation'!D$3:D$73)</f>
        <v>1.588663273476839E-2</v>
      </c>
      <c r="E54">
        <f>'Total electricity generation'!E54/SUM('Total electricity generation'!E$3:E$73)</f>
        <v>1.6300539098965984E-2</v>
      </c>
      <c r="F54">
        <f>'Total electricity generation'!F54/SUM('Total electricity generation'!F$3:F$73)</f>
        <v>1.6980149587758283E-2</v>
      </c>
      <c r="G54">
        <f>'Total electricity generation'!G54/SUM('Total electricity generation'!G$3:G$73)</f>
        <v>1.7186241933462545E-2</v>
      </c>
      <c r="H54">
        <f>'Total electricity generation'!H54/SUM('Total electricity generation'!H$3:H$73)</f>
        <v>1.7717778352961167E-2</v>
      </c>
      <c r="I54">
        <f>'Total electricity generation'!I54/SUM('Total electricity generation'!I$3:I$73)</f>
        <v>1.8346307060711112E-2</v>
      </c>
      <c r="J54">
        <f>'Total electricity generation'!J54/SUM('Total electricity generation'!J$3:J$73)</f>
        <v>1.8071113639843258E-2</v>
      </c>
      <c r="K54">
        <f>'Total electricity generation'!K54/SUM('Total electricity generation'!K$3:K$73)</f>
        <v>1.9131137478813624E-2</v>
      </c>
      <c r="L54">
        <f>'Total electricity generation'!L54/SUM('Total electricity generation'!L$3:L$73)</f>
        <v>1.9873551480625702E-2</v>
      </c>
      <c r="M54">
        <f>'Total electricity generation'!M54/SUM('Total electricity generation'!M$3:M$73)</f>
        <v>1.9514216653537995E-2</v>
      </c>
      <c r="N54">
        <f>'Total electricity generation'!N54/SUM('Total electricity generation'!N$3:N$73)</f>
        <v>2.0026340098734899E-2</v>
      </c>
      <c r="O54">
        <f>'Total electricity generation'!O54/SUM('Total electricity generation'!O$3:O$73)</f>
        <v>2.0032830694763182E-2</v>
      </c>
      <c r="P54">
        <f>'Total electricity generation'!P54/SUM('Total electricity generation'!P$3:P$73)</f>
        <v>2.00065304361744E-2</v>
      </c>
      <c r="Q54">
        <f>'Total electricity generation'!Q54/SUM('Total electricity generation'!Q$3:Q$73)</f>
        <v>1.9823403660770678E-2</v>
      </c>
      <c r="R54">
        <f>'Total electricity generation'!R54/SUM('Total electricity generation'!R$3:R$73)</f>
        <v>1.9908380356054297E-2</v>
      </c>
      <c r="S54">
        <f>'Total electricity generation'!S54/SUM('Total electricity generation'!S$3:S$73)</f>
        <v>1.9990336145572773E-2</v>
      </c>
      <c r="T54">
        <f>'Total electricity generation'!T54/SUM('Total electricity generation'!T$3:T$73)</f>
        <v>2.0071215017096355E-2</v>
      </c>
      <c r="U54">
        <f>'Total electricity generation'!U54/SUM('Total electricity generation'!U$3:U$73)</f>
        <v>2.0155239335912657E-2</v>
      </c>
      <c r="V54">
        <f>'Total electricity generation'!V54/SUM('Total electricity generation'!V$3:V$73)</f>
        <v>2.0253664592783209E-2</v>
      </c>
      <c r="W54">
        <f>'Total electricity generation'!W54/SUM('Total electricity generation'!W$3:W$73)</f>
        <v>2.0367807259216688E-2</v>
      </c>
      <c r="X54">
        <f>'Total electricity generation'!X54/SUM('Total electricity generation'!X$3:X$73)</f>
        <v>2.0487567999496057E-2</v>
      </c>
      <c r="Y54">
        <f>'Total electricity generation'!Y54/SUM('Total electricity generation'!Y$3:Y$73)</f>
        <v>2.0613973957395712E-2</v>
      </c>
      <c r="Z54">
        <f>'Total electricity generation'!Z54/SUM('Total electricity generation'!Z$3:Z$73)</f>
        <v>2.0746428273931264E-2</v>
      </c>
      <c r="AA54">
        <f>'Total electricity generation'!AA54/SUM('Total electricity generation'!AA$3:AA$73)</f>
        <v>2.0885595937170012E-2</v>
      </c>
      <c r="AB54">
        <f>'Total electricity generation'!AB54/SUM('Total electricity generation'!AB$3:AB$73)</f>
        <v>2.0993501939296735E-2</v>
      </c>
      <c r="AC54">
        <f>'Total electricity generation'!AC54/SUM('Total electricity generation'!AC$3:AC$73)</f>
        <v>2.1107865170556853E-2</v>
      </c>
      <c r="AD54">
        <f>'Total electricity generation'!AD54/SUM('Total electricity generation'!AD$3:AD$73)</f>
        <v>2.1227610859254266E-2</v>
      </c>
      <c r="AE54">
        <f>'Total electricity generation'!AE54/SUM('Total electricity generation'!AE$3:AE$73)</f>
        <v>2.1352866001063751E-2</v>
      </c>
      <c r="AF54">
        <f>'Total electricity generation'!AF54/SUM('Total electricity generation'!AF$3:AF$73)</f>
        <v>2.1482194235386866E-2</v>
      </c>
      <c r="AG54">
        <f>'Total electricity generation'!AG54/SUM('Total electricity generation'!AG$3:AG$73)</f>
        <v>2.1613184734647344E-2</v>
      </c>
      <c r="AH54">
        <f>'Total electricity generation'!AH54/SUM('Total electricity generation'!AH$3:AH$73)</f>
        <v>2.1751387673109936E-2</v>
      </c>
      <c r="AI54">
        <f>'Total electricity generation'!AI54/SUM('Total electricity generation'!AI$3:AI$73)</f>
        <v>2.1894304364242084E-2</v>
      </c>
      <c r="AJ54">
        <f>'Total electricity generation'!AJ54/SUM('Total electricity generation'!AJ$3:AJ$73)</f>
        <v>2.2039525444475044E-2</v>
      </c>
      <c r="AK54">
        <f>'Total electricity generation'!AK54/SUM('Total electricity generation'!AK$3:AK$73)</f>
        <v>2.2192324124589116E-2</v>
      </c>
      <c r="AL54">
        <f>'Total electricity generation'!AL54/SUM('Total electricity generation'!AL$3:AL$73)</f>
        <v>2.2348655531885763E-2</v>
      </c>
      <c r="AM54">
        <f>'Total electricity generation'!AM54/SUM('Total electricity generation'!AM$3:AM$73)</f>
        <v>2.2501497898493178E-2</v>
      </c>
      <c r="AN54">
        <f>'Total electricity generation'!AN54/SUM('Total electricity generation'!AN$3:AN$73)</f>
        <v>2.266398680021374E-2</v>
      </c>
      <c r="AO54">
        <f>'Total electricity generation'!AO54/SUM('Total electricity generation'!AO$3:AO$73)</f>
        <v>2.2832520226664266E-2</v>
      </c>
      <c r="AP54">
        <f>'Total electricity generation'!AP54/SUM('Total electricity generation'!AP$3:AP$73)</f>
        <v>2.3001360687843982E-2</v>
      </c>
    </row>
    <row r="55" spans="1:42" x14ac:dyDescent="0.3">
      <c r="A55" t="s">
        <v>130</v>
      </c>
      <c r="B55">
        <f>'Total electricity generation'!B55/SUM('Total electricity generation'!B$3:B$73)</f>
        <v>2.5277034372105243E-2</v>
      </c>
      <c r="C55">
        <f>'Total electricity generation'!C55/SUM('Total electricity generation'!C$3:C$73)</f>
        <v>2.469461893651605E-2</v>
      </c>
      <c r="D55">
        <f>'Total electricity generation'!D55/SUM('Total electricity generation'!D$3:D$73)</f>
        <v>2.4625703042486641E-2</v>
      </c>
      <c r="E55">
        <f>'Total electricity generation'!E55/SUM('Total electricity generation'!E$3:E$73)</f>
        <v>2.4464986656603332E-2</v>
      </c>
      <c r="F55">
        <f>'Total electricity generation'!F55/SUM('Total electricity generation'!F$3:F$73)</f>
        <v>2.4108214026397214E-2</v>
      </c>
      <c r="G55">
        <f>'Total electricity generation'!G55/SUM('Total electricity generation'!G$3:G$73)</f>
        <v>2.442308057935097E-2</v>
      </c>
      <c r="H55">
        <f>'Total electricity generation'!H55/SUM('Total electricity generation'!H$3:H$73)</f>
        <v>2.4936349350159471E-2</v>
      </c>
      <c r="I55">
        <f>'Total electricity generation'!I55/SUM('Total electricity generation'!I$3:I$73)</f>
        <v>2.4667933613902342E-2</v>
      </c>
      <c r="J55">
        <f>'Total electricity generation'!J55/SUM('Total electricity generation'!J$3:J$73)</f>
        <v>2.487107873579374E-2</v>
      </c>
      <c r="K55">
        <f>'Total electricity generation'!K55/SUM('Total electricity generation'!K$3:K$73)</f>
        <v>2.5029082920851514E-2</v>
      </c>
      <c r="L55">
        <f>'Total electricity generation'!L55/SUM('Total electricity generation'!L$3:L$73)</f>
        <v>2.511053899395015E-2</v>
      </c>
      <c r="M55">
        <f>'Total electricity generation'!M55/SUM('Total electricity generation'!M$3:M$73)</f>
        <v>2.493375629408847E-2</v>
      </c>
      <c r="N55">
        <f>'Total electricity generation'!N55/SUM('Total electricity generation'!N$3:N$73)</f>
        <v>2.4779020550342954E-2</v>
      </c>
      <c r="O55">
        <f>'Total electricity generation'!O55/SUM('Total electricity generation'!O$3:O$73)</f>
        <v>2.4723083547074844E-2</v>
      </c>
      <c r="P55">
        <f>'Total electricity generation'!P55/SUM('Total electricity generation'!P$3:P$73)</f>
        <v>2.4707773179450009E-2</v>
      </c>
      <c r="Q55">
        <f>'Total electricity generation'!Q55/SUM('Total electricity generation'!Q$3:Q$73)</f>
        <v>2.4638794162202486E-2</v>
      </c>
      <c r="R55">
        <f>'Total electricity generation'!R55/SUM('Total electricity generation'!R$3:R$73)</f>
        <v>2.4645912110057486E-2</v>
      </c>
      <c r="S55">
        <f>'Total electricity generation'!S55/SUM('Total electricity generation'!S$3:S$73)</f>
        <v>2.4649168748464078E-2</v>
      </c>
      <c r="T55">
        <f>'Total electricity generation'!T55/SUM('Total electricity generation'!T$3:T$73)</f>
        <v>2.4630235496604366E-2</v>
      </c>
      <c r="U55">
        <f>'Total electricity generation'!U55/SUM('Total electricity generation'!U$3:U$73)</f>
        <v>2.4610815731394342E-2</v>
      </c>
      <c r="V55">
        <f>'Total electricity generation'!V55/SUM('Total electricity generation'!V$3:V$73)</f>
        <v>2.4587072145877339E-2</v>
      </c>
      <c r="W55">
        <f>'Total electricity generation'!W55/SUM('Total electricity generation'!W$3:W$73)</f>
        <v>2.4598427811571309E-2</v>
      </c>
      <c r="X55">
        <f>'Total electricity generation'!X55/SUM('Total electricity generation'!X$3:X$73)</f>
        <v>2.4608176351874327E-2</v>
      </c>
      <c r="Y55">
        <f>'Total electricity generation'!Y55/SUM('Total electricity generation'!Y$3:Y$73)</f>
        <v>2.462206248607372E-2</v>
      </c>
      <c r="Z55">
        <f>'Total electricity generation'!Z55/SUM('Total electricity generation'!Z$3:Z$73)</f>
        <v>2.4639684457939574E-2</v>
      </c>
      <c r="AA55">
        <f>'Total electricity generation'!AA55/SUM('Total electricity generation'!AA$3:AA$73)</f>
        <v>2.4657733854556926E-2</v>
      </c>
      <c r="AB55">
        <f>'Total electricity generation'!AB55/SUM('Total electricity generation'!AB$3:AB$73)</f>
        <v>2.4701315114355353E-2</v>
      </c>
      <c r="AC55">
        <f>'Total electricity generation'!AC55/SUM('Total electricity generation'!AC$3:AC$73)</f>
        <v>2.4745938004175079E-2</v>
      </c>
      <c r="AD55">
        <f>'Total electricity generation'!AD55/SUM('Total electricity generation'!AD$3:AD$73)</f>
        <v>2.4787573526200864E-2</v>
      </c>
      <c r="AE55">
        <f>'Total electricity generation'!AE55/SUM('Total electricity generation'!AE$3:AE$73)</f>
        <v>2.4822205769152814E-2</v>
      </c>
      <c r="AF55">
        <f>'Total electricity generation'!AF55/SUM('Total electricity generation'!AF$3:AF$73)</f>
        <v>2.484802963794875E-2</v>
      </c>
      <c r="AG55">
        <f>'Total electricity generation'!AG55/SUM('Total electricity generation'!AG$3:AG$73)</f>
        <v>2.4860751424726109E-2</v>
      </c>
      <c r="AH55">
        <f>'Total electricity generation'!AH55/SUM('Total electricity generation'!AH$3:AH$73)</f>
        <v>2.4865180274812482E-2</v>
      </c>
      <c r="AI55">
        <f>'Total electricity generation'!AI55/SUM('Total electricity generation'!AI$3:AI$73)</f>
        <v>2.4859299444577602E-2</v>
      </c>
      <c r="AJ55">
        <f>'Total electricity generation'!AJ55/SUM('Total electricity generation'!AJ$3:AJ$73)</f>
        <v>2.4840806598199403E-2</v>
      </c>
      <c r="AK55">
        <f>'Total electricity generation'!AK55/SUM('Total electricity generation'!AK$3:AK$73)</f>
        <v>2.4817088096405954E-2</v>
      </c>
      <c r="AL55">
        <f>'Total electricity generation'!AL55/SUM('Total electricity generation'!AL$3:AL$73)</f>
        <v>2.4783078032288044E-2</v>
      </c>
      <c r="AM55">
        <f>'Total electricity generation'!AM55/SUM('Total electricity generation'!AM$3:AM$73)</f>
        <v>2.4729659196457723E-2</v>
      </c>
      <c r="AN55">
        <f>'Total electricity generation'!AN55/SUM('Total electricity generation'!AN$3:AN$73)</f>
        <v>2.4674543037568192E-2</v>
      </c>
      <c r="AO55">
        <f>'Total electricity generation'!AO55/SUM('Total electricity generation'!AO$3:AO$73)</f>
        <v>2.4613454988737529E-2</v>
      </c>
      <c r="AP55">
        <f>'Total electricity generation'!AP55/SUM('Total electricity generation'!AP$3:AP$73)</f>
        <v>2.4548069138689389E-2</v>
      </c>
    </row>
    <row r="56" spans="1:42" x14ac:dyDescent="0.3">
      <c r="A56" t="s">
        <v>131</v>
      </c>
      <c r="B56">
        <f>'Total electricity generation'!B56/SUM('Total electricity generation'!B$3:B$73)</f>
        <v>8.80385891762917E-3</v>
      </c>
      <c r="C56">
        <f>'Total electricity generation'!C56/SUM('Total electricity generation'!C$3:C$73)</f>
        <v>8.7940080484246938E-3</v>
      </c>
      <c r="D56">
        <f>'Total electricity generation'!D56/SUM('Total electricity generation'!D$3:D$73)</f>
        <v>8.742081067989441E-3</v>
      </c>
      <c r="E56">
        <f>'Total electricity generation'!E56/SUM('Total electricity generation'!E$3:E$73)</f>
        <v>8.2968909104327773E-3</v>
      </c>
      <c r="F56">
        <f>'Total electricity generation'!F56/SUM('Total electricity generation'!F$3:F$73)</f>
        <v>7.6164745232394455E-3</v>
      </c>
      <c r="G56">
        <f>'Total electricity generation'!G56/SUM('Total electricity generation'!G$3:G$73)</f>
        <v>6.7159770987539223E-3</v>
      </c>
      <c r="H56">
        <f>'Total electricity generation'!H56/SUM('Total electricity generation'!H$3:H$73)</f>
        <v>6.5782519927772608E-3</v>
      </c>
      <c r="I56">
        <f>'Total electricity generation'!I56/SUM('Total electricity generation'!I$3:I$73)</f>
        <v>6.0533077897267484E-3</v>
      </c>
      <c r="J56">
        <f>'Total electricity generation'!J56/SUM('Total electricity generation'!J$3:J$73)</f>
        <v>5.9891537355039014E-3</v>
      </c>
      <c r="K56">
        <f>'Total electricity generation'!K56/SUM('Total electricity generation'!K$3:K$73)</f>
        <v>5.6995491832005111E-3</v>
      </c>
      <c r="L56">
        <f>'Total electricity generation'!L56/SUM('Total electricity generation'!L$3:L$73)</f>
        <v>5.58753131232526E-3</v>
      </c>
      <c r="M56">
        <f>'Total electricity generation'!M56/SUM('Total electricity generation'!M$3:M$73)</f>
        <v>5.5407834575015146E-3</v>
      </c>
      <c r="N56">
        <f>'Total electricity generation'!N56/SUM('Total electricity generation'!N$3:N$73)</f>
        <v>3.8741662249840662E-3</v>
      </c>
      <c r="O56">
        <f>'Total electricity generation'!O56/SUM('Total electricity generation'!O$3:O$73)</f>
        <v>3.8289991194264102E-3</v>
      </c>
      <c r="P56">
        <f>'Total electricity generation'!P56/SUM('Total electricity generation'!P$3:P$73)</f>
        <v>3.7944939243881089E-3</v>
      </c>
      <c r="Q56">
        <f>'Total electricity generation'!Q56/SUM('Total electricity generation'!Q$3:Q$73)</f>
        <v>3.7554668040655935E-3</v>
      </c>
      <c r="R56">
        <f>'Total electricity generation'!R56/SUM('Total electricity generation'!R$3:R$73)</f>
        <v>3.7156901758822725E-3</v>
      </c>
      <c r="S56">
        <f>'Total electricity generation'!S56/SUM('Total electricity generation'!S$3:S$73)</f>
        <v>3.6767794030729208E-3</v>
      </c>
      <c r="T56">
        <f>'Total electricity generation'!T56/SUM('Total electricity generation'!T$3:T$73)</f>
        <v>3.6272469145316928E-3</v>
      </c>
      <c r="U56">
        <f>'Total electricity generation'!U56/SUM('Total electricity generation'!U$3:U$73)</f>
        <v>3.5830283020062029E-3</v>
      </c>
      <c r="V56">
        <f>'Total electricity generation'!V56/SUM('Total electricity generation'!V$3:V$73)</f>
        <v>3.539303344249969E-3</v>
      </c>
      <c r="W56">
        <f>'Total electricity generation'!W56/SUM('Total electricity generation'!W$3:W$73)</f>
        <v>3.5120640294878272E-3</v>
      </c>
      <c r="X56">
        <f>'Total electricity generation'!X56/SUM('Total electricity generation'!X$3:X$73)</f>
        <v>3.484796692487913E-3</v>
      </c>
      <c r="Y56">
        <f>'Total electricity generation'!Y56/SUM('Total electricity generation'!Y$3:Y$73)</f>
        <v>3.4574893019176166E-3</v>
      </c>
      <c r="Z56">
        <f>'Total electricity generation'!Z56/SUM('Total electricity generation'!Z$3:Z$73)</f>
        <v>3.4300013136217881E-3</v>
      </c>
      <c r="AA56">
        <f>'Total electricity generation'!AA56/SUM('Total electricity generation'!AA$3:AA$73)</f>
        <v>3.4022210533794137E-3</v>
      </c>
      <c r="AB56">
        <f>'Total electricity generation'!AB56/SUM('Total electricity generation'!AB$3:AB$73)</f>
        <v>3.3808784209068501E-3</v>
      </c>
      <c r="AC56">
        <f>'Total electricity generation'!AC56/SUM('Total electricity generation'!AC$3:AC$73)</f>
        <v>3.3593134016480339E-3</v>
      </c>
      <c r="AD56">
        <f>'Total electricity generation'!AD56/SUM('Total electricity generation'!AD$3:AD$73)</f>
        <v>3.3374555360691847E-3</v>
      </c>
      <c r="AE56">
        <f>'Total electricity generation'!AE56/SUM('Total electricity generation'!AE$3:AE$73)</f>
        <v>3.3151894443609539E-3</v>
      </c>
      <c r="AF56">
        <f>'Total electricity generation'!AF56/SUM('Total electricity generation'!AF$3:AF$73)</f>
        <v>3.2925729225836823E-3</v>
      </c>
      <c r="AG56">
        <f>'Total electricity generation'!AG56/SUM('Total electricity generation'!AG$3:AG$73)</f>
        <v>3.2688486175820523E-3</v>
      </c>
      <c r="AH56">
        <f>'Total electricity generation'!AH56/SUM('Total electricity generation'!AH$3:AH$73)</f>
        <v>3.2449144728255667E-3</v>
      </c>
      <c r="AI56">
        <f>'Total electricity generation'!AI56/SUM('Total electricity generation'!AI$3:AI$73)</f>
        <v>3.2205044975888862E-3</v>
      </c>
      <c r="AJ56">
        <f>'Total electricity generation'!AJ56/SUM('Total electricity generation'!AJ$3:AJ$73)</f>
        <v>3.195382614459084E-3</v>
      </c>
      <c r="AK56">
        <f>'Total electricity generation'!AK56/SUM('Total electricity generation'!AK$3:AK$73)</f>
        <v>3.1701617004821414E-3</v>
      </c>
      <c r="AL56">
        <f>'Total electricity generation'!AL56/SUM('Total electricity generation'!AL$3:AL$73)</f>
        <v>3.1446758417898743E-3</v>
      </c>
      <c r="AM56">
        <f>'Total electricity generation'!AM56/SUM('Total electricity generation'!AM$3:AM$73)</f>
        <v>3.1181418245216442E-3</v>
      </c>
      <c r="AN56">
        <f>'Total electricity generation'!AN56/SUM('Total electricity generation'!AN$3:AN$73)</f>
        <v>3.0916167969253718E-3</v>
      </c>
      <c r="AO56">
        <f>'Total electricity generation'!AO56/SUM('Total electricity generation'!AO$3:AO$73)</f>
        <v>3.065229669861942E-3</v>
      </c>
      <c r="AP56">
        <f>'Total electricity generation'!AP56/SUM('Total electricity generation'!AP$3:AP$73)</f>
        <v>3.0391492999734442E-3</v>
      </c>
    </row>
    <row r="57" spans="1:42" x14ac:dyDescent="0.3">
      <c r="A57" t="s">
        <v>132</v>
      </c>
      <c r="B57">
        <f>'Total electricity generation'!B57/SUM('Total electricity generation'!B$3:B$73)</f>
        <v>1.1162552691222558E-2</v>
      </c>
      <c r="C57">
        <f>'Total electricity generation'!C57/SUM('Total electricity generation'!C$3:C$73)</f>
        <v>1.1251352536112431E-2</v>
      </c>
      <c r="D57">
        <f>'Total electricity generation'!D57/SUM('Total electricity generation'!D$3:D$73)</f>
        <v>1.2718255833856218E-2</v>
      </c>
      <c r="E57">
        <f>'Total electricity generation'!E57/SUM('Total electricity generation'!E$3:E$73)</f>
        <v>1.2936144435192433E-2</v>
      </c>
      <c r="F57">
        <f>'Total electricity generation'!F57/SUM('Total electricity generation'!F$3:F$73)</f>
        <v>1.4044846012566791E-2</v>
      </c>
      <c r="G57">
        <f>'Total electricity generation'!G57/SUM('Total electricity generation'!G$3:G$73)</f>
        <v>1.4824947278518765E-2</v>
      </c>
      <c r="H57">
        <f>'Total electricity generation'!H57/SUM('Total electricity generation'!H$3:H$73)</f>
        <v>1.4756097292660543E-2</v>
      </c>
      <c r="I57">
        <f>'Total electricity generation'!I57/SUM('Total electricity generation'!I$3:I$73)</f>
        <v>1.4723269333214674E-2</v>
      </c>
      <c r="J57">
        <f>'Total electricity generation'!J57/SUM('Total electricity generation'!J$3:J$73)</f>
        <v>1.4583583080075823E-2</v>
      </c>
      <c r="K57">
        <f>'Total electricity generation'!K57/SUM('Total electricity generation'!K$3:K$73)</f>
        <v>1.43462720046216E-2</v>
      </c>
      <c r="L57">
        <f>'Total electricity generation'!L57/SUM('Total electricity generation'!L$3:L$73)</f>
        <v>1.4681439928068264E-2</v>
      </c>
      <c r="M57">
        <f>'Total electricity generation'!M57/SUM('Total electricity generation'!M$3:M$73)</f>
        <v>1.4322396821738158E-2</v>
      </c>
      <c r="N57">
        <f>'Total electricity generation'!N57/SUM('Total electricity generation'!N$3:N$73)</f>
        <v>1.4344508238397318E-2</v>
      </c>
      <c r="O57">
        <f>'Total electricity generation'!O57/SUM('Total electricity generation'!O$3:O$73)</f>
        <v>1.4250289068958928E-2</v>
      </c>
      <c r="P57">
        <f>'Total electricity generation'!P57/SUM('Total electricity generation'!P$3:P$73)</f>
        <v>1.420561577390354E-2</v>
      </c>
      <c r="Q57">
        <f>'Total electricity generation'!Q57/SUM('Total electricity generation'!Q$3:Q$73)</f>
        <v>1.4157881514383122E-2</v>
      </c>
      <c r="R57">
        <f>'Total electricity generation'!R57/SUM('Total electricity generation'!R$3:R$73)</f>
        <v>1.4434231465779837E-2</v>
      </c>
      <c r="S57">
        <f>'Total electricity generation'!S57/SUM('Total electricity generation'!S$3:S$73)</f>
        <v>1.4712121816247203E-2</v>
      </c>
      <c r="T57">
        <f>'Total electricity generation'!T57/SUM('Total electricity generation'!T$3:T$73)</f>
        <v>1.4991380232483005E-2</v>
      </c>
      <c r="U57">
        <f>'Total electricity generation'!U57/SUM('Total electricity generation'!U$3:U$73)</f>
        <v>1.5274393662575934E-2</v>
      </c>
      <c r="V57">
        <f>'Total electricity generation'!V57/SUM('Total electricity generation'!V$3:V$73)</f>
        <v>1.5568146190473239E-2</v>
      </c>
      <c r="W57">
        <f>'Total electricity generation'!W57/SUM('Total electricity generation'!W$3:W$73)</f>
        <v>1.5818449087620708E-2</v>
      </c>
      <c r="X57">
        <f>'Total electricity generation'!X57/SUM('Total electricity generation'!X$3:X$73)</f>
        <v>1.6072484930996996E-2</v>
      </c>
      <c r="Y57">
        <f>'Total electricity generation'!Y57/SUM('Total electricity generation'!Y$3:Y$73)</f>
        <v>1.6331976166730554E-2</v>
      </c>
      <c r="Z57">
        <f>'Total electricity generation'!Z57/SUM('Total electricity generation'!Z$3:Z$73)</f>
        <v>1.6597293067038298E-2</v>
      </c>
      <c r="AA57">
        <f>'Total electricity generation'!AA57/SUM('Total electricity generation'!AA$3:AA$73)</f>
        <v>1.6870207275089075E-2</v>
      </c>
      <c r="AB57">
        <f>'Total electricity generation'!AB57/SUM('Total electricity generation'!AB$3:AB$73)</f>
        <v>1.7102002145237209E-2</v>
      </c>
      <c r="AC57">
        <f>'Total electricity generation'!AC57/SUM('Total electricity generation'!AC$3:AC$73)</f>
        <v>1.7343973249449633E-2</v>
      </c>
      <c r="AD57">
        <f>'Total electricity generation'!AD57/SUM('Total electricity generation'!AD$3:AD$73)</f>
        <v>1.7597014983228968E-2</v>
      </c>
      <c r="AE57">
        <f>'Total electricity generation'!AE57/SUM('Total electricity generation'!AE$3:AE$73)</f>
        <v>1.7866068199194063E-2</v>
      </c>
      <c r="AF57">
        <f>'Total electricity generation'!AF57/SUM('Total electricity generation'!AF$3:AF$73)</f>
        <v>1.81489203556345E-2</v>
      </c>
      <c r="AG57">
        <f>'Total electricity generation'!AG57/SUM('Total electricity generation'!AG$3:AG$73)</f>
        <v>1.8436835505740767E-2</v>
      </c>
      <c r="AH57">
        <f>'Total electricity generation'!AH57/SUM('Total electricity generation'!AH$3:AH$73)</f>
        <v>1.8735626266686678E-2</v>
      </c>
      <c r="AI57">
        <f>'Total electricity generation'!AI57/SUM('Total electricity generation'!AI$3:AI$73)</f>
        <v>1.903987383001805E-2</v>
      </c>
      <c r="AJ57">
        <f>'Total electricity generation'!AJ57/SUM('Total electricity generation'!AJ$3:AJ$73)</f>
        <v>1.9342669075284459E-2</v>
      </c>
      <c r="AK57">
        <f>'Total electricity generation'!AK57/SUM('Total electricity generation'!AK$3:AK$73)</f>
        <v>1.9645969850446643E-2</v>
      </c>
      <c r="AL57">
        <f>'Total electricity generation'!AL57/SUM('Total electricity generation'!AL$3:AL$73)</f>
        <v>1.9945271118057727E-2</v>
      </c>
      <c r="AM57">
        <f>'Total electricity generation'!AM57/SUM('Total electricity generation'!AM$3:AM$73)</f>
        <v>2.0234961339709655E-2</v>
      </c>
      <c r="AN57">
        <f>'Total electricity generation'!AN57/SUM('Total electricity generation'!AN$3:AN$73)</f>
        <v>2.0524389956314233E-2</v>
      </c>
      <c r="AO57">
        <f>'Total electricity generation'!AO57/SUM('Total electricity generation'!AO$3:AO$73)</f>
        <v>2.0809632196233205E-2</v>
      </c>
      <c r="AP57">
        <f>'Total electricity generation'!AP57/SUM('Total electricity generation'!AP$3:AP$73)</f>
        <v>2.1091584959627131E-2</v>
      </c>
    </row>
    <row r="58" spans="1:42" x14ac:dyDescent="0.3">
      <c r="A58" t="s">
        <v>133</v>
      </c>
      <c r="B58">
        <f>'Total electricity generation'!B58/SUM('Total electricity generation'!B$3:B$73)</f>
        <v>1.2830814280537278E-3</v>
      </c>
      <c r="C58">
        <f>'Total electricity generation'!C58/SUM('Total electricity generation'!C$3:C$73)</f>
        <v>1.2958207937600877E-3</v>
      </c>
      <c r="D58">
        <f>'Total electricity generation'!D58/SUM('Total electricity generation'!D$3:D$73)</f>
        <v>1.3655243333958104E-3</v>
      </c>
      <c r="E58">
        <f>'Total electricity generation'!E58/SUM('Total electricity generation'!E$3:E$73)</f>
        <v>1.4537070421737608E-3</v>
      </c>
      <c r="F58">
        <f>'Total electricity generation'!F58/SUM('Total electricity generation'!F$3:F$73)</f>
        <v>1.7116632705055992E-3</v>
      </c>
      <c r="G58">
        <f>'Total electricity generation'!G58/SUM('Total electricity generation'!G$3:G$73)</f>
        <v>1.8522903004669195E-3</v>
      </c>
      <c r="H58">
        <f>'Total electricity generation'!H58/SUM('Total electricity generation'!H$3:H$73)</f>
        <v>2.093560069509419E-3</v>
      </c>
      <c r="I58">
        <f>'Total electricity generation'!I58/SUM('Total electricity generation'!I$3:I$73)</f>
        <v>1.3587894791008337E-3</v>
      </c>
      <c r="J58">
        <f>'Total electricity generation'!J58/SUM('Total electricity generation'!J$3:J$73)</f>
        <v>1.3742179177210388E-3</v>
      </c>
      <c r="K58">
        <f>'Total electricity generation'!K58/SUM('Total electricity generation'!K$3:K$73)</f>
        <v>1.3483529572807722E-3</v>
      </c>
      <c r="L58">
        <f>'Total electricity generation'!L58/SUM('Total electricity generation'!L$3:L$73)</f>
        <v>1.4125030735968782E-3</v>
      </c>
      <c r="M58">
        <f>'Total electricity generation'!M58/SUM('Total electricity generation'!M$3:M$73)</f>
        <v>1.3718356081479548E-3</v>
      </c>
      <c r="N58">
        <f>'Total electricity generation'!N58/SUM('Total electricity generation'!N$3:N$73)</f>
        <v>1.2985327040513858E-3</v>
      </c>
      <c r="O58">
        <f>'Total electricity generation'!O58/SUM('Total electricity generation'!O$3:O$73)</f>
        <v>1.3121403235105199E-3</v>
      </c>
      <c r="P58">
        <f>'Total electricity generation'!P58/SUM('Total electricity generation'!P$3:P$73)</f>
        <v>1.3270267728024364E-3</v>
      </c>
      <c r="Q58">
        <f>'Total electricity generation'!Q58/SUM('Total electricity generation'!Q$3:Q$73)</f>
        <v>1.3430499605770344E-3</v>
      </c>
      <c r="R58">
        <f>'Total electricity generation'!R58/SUM('Total electricity generation'!R$3:R$73)</f>
        <v>1.3744568436331152E-3</v>
      </c>
      <c r="S58">
        <f>'Total electricity generation'!S58/SUM('Total electricity generation'!S$3:S$73)</f>
        <v>1.4072041796669296E-3</v>
      </c>
      <c r="T58">
        <f>'Total electricity generation'!T58/SUM('Total electricity generation'!T$3:T$73)</f>
        <v>1.4415974883970105E-3</v>
      </c>
      <c r="U58">
        <f>'Total electricity generation'!U58/SUM('Total electricity generation'!U$3:U$73)</f>
        <v>1.4779223267587516E-3</v>
      </c>
      <c r="V58">
        <f>'Total electricity generation'!V58/SUM('Total electricity generation'!V$3:V$73)</f>
        <v>1.5171019754726513E-3</v>
      </c>
      <c r="W58">
        <f>'Total electricity generation'!W58/SUM('Total electricity generation'!W$3:W$73)</f>
        <v>1.5626577744918086E-3</v>
      </c>
      <c r="X58">
        <f>'Total electricity generation'!X58/SUM('Total electricity generation'!X$3:X$73)</f>
        <v>1.6113441069101225E-3</v>
      </c>
      <c r="Y58">
        <f>'Total electricity generation'!Y58/SUM('Total electricity generation'!Y$3:Y$73)</f>
        <v>1.6633436222708024E-3</v>
      </c>
      <c r="Z58">
        <f>'Total electricity generation'!Z58/SUM('Total electricity generation'!Z$3:Z$73)</f>
        <v>1.7188407393581098E-3</v>
      </c>
      <c r="AA58">
        <f>'Total electricity generation'!AA58/SUM('Total electricity generation'!AA$3:AA$73)</f>
        <v>1.7780179675141116E-3</v>
      </c>
      <c r="AB58">
        <f>'Total electricity generation'!AB58/SUM('Total electricity generation'!AB$3:AB$73)</f>
        <v>1.8428934585692639E-3</v>
      </c>
      <c r="AC58">
        <f>'Total electricity generation'!AC58/SUM('Total electricity generation'!AC$3:AC$73)</f>
        <v>1.911862847067191E-3</v>
      </c>
      <c r="AD58">
        <f>'Total electricity generation'!AD58/SUM('Total electricity generation'!AD$3:AD$73)</f>
        <v>1.9847223422290389E-3</v>
      </c>
      <c r="AE58">
        <f>'Total electricity generation'!AE58/SUM('Total electricity generation'!AE$3:AE$73)</f>
        <v>2.0617215620576806E-3</v>
      </c>
      <c r="AF58">
        <f>'Total electricity generation'!AF58/SUM('Total electricity generation'!AF$3:AF$73)</f>
        <v>2.1421946432080485E-3</v>
      </c>
      <c r="AG58">
        <f>'Total electricity generation'!AG58/SUM('Total electricity generation'!AG$3:AG$73)</f>
        <v>2.2263700627107438E-3</v>
      </c>
      <c r="AH58">
        <f>'Total electricity generation'!AH58/SUM('Total electricity generation'!AH$3:AH$73)</f>
        <v>2.3147659269013598E-3</v>
      </c>
      <c r="AI58">
        <f>'Total electricity generation'!AI58/SUM('Total electricity generation'!AI$3:AI$73)</f>
        <v>2.4071688645268649E-3</v>
      </c>
      <c r="AJ58">
        <f>'Total electricity generation'!AJ58/SUM('Total electricity generation'!AJ$3:AJ$73)</f>
        <v>2.5028317103432296E-3</v>
      </c>
      <c r="AK58">
        <f>'Total electricity generation'!AK58/SUM('Total electricity generation'!AK$3:AK$73)</f>
        <v>2.6023444987739656E-3</v>
      </c>
      <c r="AL58">
        <f>'Total electricity generation'!AL58/SUM('Total electricity generation'!AL$3:AL$73)</f>
        <v>2.7022055455565982E-3</v>
      </c>
      <c r="AM58">
        <f>'Total electricity generation'!AM58/SUM('Total electricity generation'!AM$3:AM$73)</f>
        <v>2.7987899136545434E-3</v>
      </c>
      <c r="AN58">
        <f>'Total electricity generation'!AN58/SUM('Total electricity generation'!AN$3:AN$73)</f>
        <v>2.8945041905006495E-3</v>
      </c>
      <c r="AO58">
        <f>'Total electricity generation'!AO58/SUM('Total electricity generation'!AO$3:AO$73)</f>
        <v>2.9876183739591966E-3</v>
      </c>
      <c r="AP58">
        <f>'Total electricity generation'!AP58/SUM('Total electricity generation'!AP$3:AP$73)</f>
        <v>3.0798395647003577E-3</v>
      </c>
    </row>
    <row r="59" spans="1:42" x14ac:dyDescent="0.3">
      <c r="A59" t="s">
        <v>134</v>
      </c>
      <c r="B59">
        <f>'Total electricity generation'!B59/SUM('Total electricity generation'!B$3:B$73)</f>
        <v>1.2068184064462618E-2</v>
      </c>
      <c r="C59">
        <f>'Total electricity generation'!C59/SUM('Total electricity generation'!C$3:C$73)</f>
        <v>1.181165488352892E-2</v>
      </c>
      <c r="D59">
        <f>'Total electricity generation'!D59/SUM('Total electricity generation'!D$3:D$73)</f>
        <v>1.1336863021968346E-2</v>
      </c>
      <c r="E59">
        <f>'Total electricity generation'!E59/SUM('Total electricity generation'!E$3:E$73)</f>
        <v>1.0931689572059471E-2</v>
      </c>
      <c r="F59">
        <f>'Total electricity generation'!F59/SUM('Total electricity generation'!F$3:F$73)</f>
        <v>1.0520427809735418E-2</v>
      </c>
      <c r="G59">
        <f>'Total electricity generation'!G59/SUM('Total electricity generation'!G$3:G$73)</f>
        <v>1.0274810454452754E-2</v>
      </c>
      <c r="H59">
        <f>'Total electricity generation'!H59/SUM('Total electricity generation'!H$3:H$73)</f>
        <v>1.010381378830931E-2</v>
      </c>
      <c r="I59">
        <f>'Total electricity generation'!I59/SUM('Total electricity generation'!I$3:I$73)</f>
        <v>9.8884326226458576E-3</v>
      </c>
      <c r="J59">
        <f>'Total electricity generation'!J59/SUM('Total electricity generation'!J$3:J$73)</f>
        <v>9.6087393045573254E-3</v>
      </c>
      <c r="K59">
        <f>'Total electricity generation'!K59/SUM('Total electricity generation'!K$3:K$73)</f>
        <v>9.3452841450042522E-3</v>
      </c>
      <c r="L59">
        <f>'Total electricity generation'!L59/SUM('Total electricity generation'!L$3:L$73)</f>
        <v>8.919434801619771E-3</v>
      </c>
      <c r="M59">
        <f>'Total electricity generation'!M59/SUM('Total electricity generation'!M$3:M$73)</f>
        <v>8.5679340288065276E-3</v>
      </c>
      <c r="N59">
        <f>'Total electricity generation'!N59/SUM('Total electricity generation'!N$3:N$73)</f>
        <v>8.0666046238345498E-3</v>
      </c>
      <c r="O59">
        <f>'Total electricity generation'!O59/SUM('Total electricity generation'!O$3:O$73)</f>
        <v>8.0232012158161607E-3</v>
      </c>
      <c r="P59">
        <f>'Total electricity generation'!P59/SUM('Total electricity generation'!P$3:P$73)</f>
        <v>8.0052565679928911E-3</v>
      </c>
      <c r="Q59">
        <f>'Total electricity generation'!Q59/SUM('Total electricity generation'!Q$3:Q$73)</f>
        <v>7.9811007712235881E-3</v>
      </c>
      <c r="R59">
        <f>'Total electricity generation'!R59/SUM('Total electricity generation'!R$3:R$73)</f>
        <v>8.0024558150995021E-3</v>
      </c>
      <c r="S59">
        <f>'Total electricity generation'!S59/SUM('Total electricity generation'!S$3:S$73)</f>
        <v>8.0197755839481848E-3</v>
      </c>
      <c r="T59">
        <f>'Total electricity generation'!T59/SUM('Total electricity generation'!T$3:T$73)</f>
        <v>8.0355436195696291E-3</v>
      </c>
      <c r="U59">
        <f>'Total electricity generation'!U59/SUM('Total electricity generation'!U$3:U$73)</f>
        <v>8.0488110579257539E-3</v>
      </c>
      <c r="V59">
        <f>'Total electricity generation'!V59/SUM('Total electricity generation'!V$3:V$73)</f>
        <v>8.0735035973585646E-3</v>
      </c>
      <c r="W59">
        <f>'Total electricity generation'!W59/SUM('Total electricity generation'!W$3:W$73)</f>
        <v>8.1448349556357286E-3</v>
      </c>
      <c r="X59">
        <f>'Total electricity generation'!X59/SUM('Total electricity generation'!X$3:X$73)</f>
        <v>8.2168299594736396E-3</v>
      </c>
      <c r="Y59">
        <f>'Total electricity generation'!Y59/SUM('Total electricity generation'!Y$3:Y$73)</f>
        <v>8.2900934003049612E-3</v>
      </c>
      <c r="Z59">
        <f>'Total electricity generation'!Z59/SUM('Total electricity generation'!Z$3:Z$73)</f>
        <v>8.3639396199673959E-3</v>
      </c>
      <c r="AA59">
        <f>'Total electricity generation'!AA59/SUM('Total electricity generation'!AA$3:AA$73)</f>
        <v>8.4385616393876425E-3</v>
      </c>
      <c r="AB59">
        <f>'Total electricity generation'!AB59/SUM('Total electricity generation'!AB$3:AB$73)</f>
        <v>8.5475355067660876E-3</v>
      </c>
      <c r="AC59">
        <f>'Total electricity generation'!AC59/SUM('Total electricity generation'!AC$3:AC$73)</f>
        <v>8.6590688759443975E-3</v>
      </c>
      <c r="AD59">
        <f>'Total electricity generation'!AD59/SUM('Total electricity generation'!AD$3:AD$73)</f>
        <v>8.7729011349722396E-3</v>
      </c>
      <c r="AE59">
        <f>'Total electricity generation'!AE59/SUM('Total electricity generation'!AE$3:AE$73)</f>
        <v>8.8882035456517173E-3</v>
      </c>
      <c r="AF59">
        <f>'Total electricity generation'!AF59/SUM('Total electricity generation'!AF$3:AF$73)</f>
        <v>9.0051897426854741E-3</v>
      </c>
      <c r="AG59">
        <f>'Total electricity generation'!AG59/SUM('Total electricity generation'!AG$3:AG$73)</f>
        <v>9.1219175583538911E-3</v>
      </c>
      <c r="AH59">
        <f>'Total electricity generation'!AH59/SUM('Total electricity generation'!AH$3:AH$73)</f>
        <v>9.2409884192094123E-3</v>
      </c>
      <c r="AI59">
        <f>'Total electricity generation'!AI59/SUM('Total electricity generation'!AI$3:AI$73)</f>
        <v>9.3617343880720554E-3</v>
      </c>
      <c r="AJ59">
        <f>'Total electricity generation'!AJ59/SUM('Total electricity generation'!AJ$3:AJ$73)</f>
        <v>9.4833378329037179E-3</v>
      </c>
      <c r="AK59">
        <f>'Total electricity generation'!AK59/SUM('Total electricity generation'!AK$3:AK$73)</f>
        <v>9.6075056670995584E-3</v>
      </c>
      <c r="AL59">
        <f>'Total electricity generation'!AL59/SUM('Total electricity generation'!AL$3:AL$73)</f>
        <v>9.7320615691807114E-3</v>
      </c>
      <c r="AM59">
        <f>'Total electricity generation'!AM59/SUM('Total electricity generation'!AM$3:AM$73)</f>
        <v>9.8550296477159689E-3</v>
      </c>
      <c r="AN59">
        <f>'Total electricity generation'!AN59/SUM('Total electricity generation'!AN$3:AN$73)</f>
        <v>9.9793894071151332E-3</v>
      </c>
      <c r="AO59">
        <f>'Total electricity generation'!AO59/SUM('Total electricity generation'!AO$3:AO$73)</f>
        <v>1.0104585907778152E-2</v>
      </c>
      <c r="AP59">
        <f>'Total electricity generation'!AP59/SUM('Total electricity generation'!AP$3:AP$73)</f>
        <v>1.0232057105839916E-2</v>
      </c>
    </row>
    <row r="60" spans="1:42" x14ac:dyDescent="0.3">
      <c r="A60" t="s">
        <v>135</v>
      </c>
      <c r="B60">
        <f>'Total electricity generation'!B60/SUM('Total electricity generation'!B$3:B$73)</f>
        <v>3.640333798339643E-3</v>
      </c>
      <c r="C60">
        <f>'Total electricity generation'!C60/SUM('Total electricity generation'!C$3:C$73)</f>
        <v>3.474313212851026E-3</v>
      </c>
      <c r="D60">
        <f>'Total electricity generation'!D60/SUM('Total electricity generation'!D$3:D$73)</f>
        <v>4.0296264828926683E-3</v>
      </c>
      <c r="E60">
        <f>'Total electricity generation'!E60/SUM('Total electricity generation'!E$3:E$73)</f>
        <v>4.1746750989729081E-3</v>
      </c>
      <c r="F60">
        <f>'Total electricity generation'!F60/SUM('Total electricity generation'!F$3:F$73)</f>
        <v>4.2483494872402935E-3</v>
      </c>
      <c r="G60">
        <f>'Total electricity generation'!G60/SUM('Total electricity generation'!G$3:G$73)</f>
        <v>4.3744336232886313E-3</v>
      </c>
      <c r="H60">
        <f>'Total electricity generation'!H60/SUM('Total electricity generation'!H$3:H$73)</f>
        <v>4.0957410868741034E-3</v>
      </c>
      <c r="I60">
        <f>'Total electricity generation'!I60/SUM('Total electricity generation'!I$3:I$73)</f>
        <v>4.2411375840018172E-3</v>
      </c>
      <c r="J60">
        <f>'Total electricity generation'!J60/SUM('Total electricity generation'!J$3:J$73)</f>
        <v>4.1540762911554292E-3</v>
      </c>
      <c r="K60">
        <f>'Total electricity generation'!K60/SUM('Total electricity generation'!K$3:K$73)</f>
        <v>4.2985538066230757E-3</v>
      </c>
      <c r="L60">
        <f>'Total electricity generation'!L60/SUM('Total electricity generation'!L$3:L$73)</f>
        <v>4.0441023320359508E-3</v>
      </c>
      <c r="M60">
        <f>'Total electricity generation'!M60/SUM('Total electricity generation'!M$3:M$73)</f>
        <v>4.2118788693059827E-3</v>
      </c>
      <c r="N60">
        <f>'Total electricity generation'!N60/SUM('Total electricity generation'!N$3:N$73)</f>
        <v>4.3269510717761665E-3</v>
      </c>
      <c r="O60">
        <f>'Total electricity generation'!O60/SUM('Total electricity generation'!O$3:O$73)</f>
        <v>4.3312905568952884E-3</v>
      </c>
      <c r="P60">
        <f>'Total electricity generation'!P60/SUM('Total electricity generation'!P$3:P$73)</f>
        <v>4.3474900087461452E-3</v>
      </c>
      <c r="Q60">
        <f>'Total electricity generation'!Q60/SUM('Total electricity generation'!Q$3:Q$73)</f>
        <v>4.3472622263561285E-3</v>
      </c>
      <c r="R60">
        <f>'Total electricity generation'!R60/SUM('Total electricity generation'!R$3:R$73)</f>
        <v>4.3773457466516567E-3</v>
      </c>
      <c r="S60">
        <f>'Total electricity generation'!S60/SUM('Total electricity generation'!S$3:S$73)</f>
        <v>4.4092541430041654E-3</v>
      </c>
      <c r="T60">
        <f>'Total electricity generation'!T60/SUM('Total electricity generation'!T$3:T$73)</f>
        <v>4.4440344313011471E-3</v>
      </c>
      <c r="U60">
        <f>'Total electricity generation'!U60/SUM('Total electricity generation'!U$3:U$73)</f>
        <v>4.4832731890959441E-3</v>
      </c>
      <c r="V60">
        <f>'Total electricity generation'!V60/SUM('Total electricity generation'!V$3:V$73)</f>
        <v>4.5289136206833136E-3</v>
      </c>
      <c r="W60">
        <f>'Total electricity generation'!W60/SUM('Total electricity generation'!W$3:W$73)</f>
        <v>4.5954616546237653E-3</v>
      </c>
      <c r="X60">
        <f>'Total electricity generation'!X60/SUM('Total electricity generation'!X$3:X$73)</f>
        <v>4.6675461702009799E-3</v>
      </c>
      <c r="Y60">
        <f>'Total electricity generation'!Y60/SUM('Total electricity generation'!Y$3:Y$73)</f>
        <v>4.7450311282471761E-3</v>
      </c>
      <c r="Z60">
        <f>'Total electricity generation'!Z60/SUM('Total electricity generation'!Z$3:Z$73)</f>
        <v>4.8279875247002925E-3</v>
      </c>
      <c r="AA60">
        <f>'Total electricity generation'!AA60/SUM('Total electricity generation'!AA$3:AA$73)</f>
        <v>4.9163820377184277E-3</v>
      </c>
      <c r="AB60">
        <f>'Total electricity generation'!AB60/SUM('Total electricity generation'!AB$3:AB$73)</f>
        <v>5.0169766340032894E-3</v>
      </c>
      <c r="AC60">
        <f>'Total electricity generation'!AC60/SUM('Total electricity generation'!AC$3:AC$73)</f>
        <v>5.1235522184870088E-3</v>
      </c>
      <c r="AD60">
        <f>'Total electricity generation'!AD60/SUM('Total electricity generation'!AD$3:AD$73)</f>
        <v>5.235630794955942E-3</v>
      </c>
      <c r="AE60">
        <f>'Total electricity generation'!AE60/SUM('Total electricity generation'!AE$3:AE$73)</f>
        <v>5.3535909848390463E-3</v>
      </c>
      <c r="AF60">
        <f>'Total electricity generation'!AF60/SUM('Total electricity generation'!AF$3:AF$73)</f>
        <v>5.47707683226037E-3</v>
      </c>
      <c r="AG60">
        <f>'Total electricity generation'!AG60/SUM('Total electricity generation'!AG$3:AG$73)</f>
        <v>5.6063248850773302E-3</v>
      </c>
      <c r="AH60">
        <f>'Total electricity generation'!AH60/SUM('Total electricity generation'!AH$3:AH$73)</f>
        <v>5.7431677286468256E-3</v>
      </c>
      <c r="AI60">
        <f>'Total electricity generation'!AI60/SUM('Total electricity generation'!AI$3:AI$73)</f>
        <v>5.8884188728591837E-3</v>
      </c>
      <c r="AJ60">
        <f>'Total electricity generation'!AJ60/SUM('Total electricity generation'!AJ$3:AJ$73)</f>
        <v>6.0420592199954713E-3</v>
      </c>
      <c r="AK60">
        <f>'Total electricity generation'!AK60/SUM('Total electricity generation'!AK$3:AK$73)</f>
        <v>6.2017814619858046E-3</v>
      </c>
      <c r="AL60">
        <f>'Total electricity generation'!AL60/SUM('Total electricity generation'!AL$3:AL$73)</f>
        <v>6.3663496148220217E-3</v>
      </c>
      <c r="AM60">
        <f>'Total electricity generation'!AM60/SUM('Total electricity generation'!AM$3:AM$73)</f>
        <v>6.5310857676108003E-3</v>
      </c>
      <c r="AN60">
        <f>'Total electricity generation'!AN60/SUM('Total electricity generation'!AN$3:AN$73)</f>
        <v>6.6977575981244366E-3</v>
      </c>
      <c r="AO60">
        <f>'Total electricity generation'!AO60/SUM('Total electricity generation'!AO$3:AO$73)</f>
        <v>6.8651009013144621E-3</v>
      </c>
      <c r="AP60">
        <f>'Total electricity generation'!AP60/SUM('Total electricity generation'!AP$3:AP$73)</f>
        <v>7.0343243547973588E-3</v>
      </c>
    </row>
    <row r="61" spans="1:42" x14ac:dyDescent="0.3">
      <c r="A61" t="s">
        <v>136</v>
      </c>
      <c r="B61">
        <f>'Total electricity generation'!B61/SUM('Total electricity generation'!B$3:B$73)</f>
        <v>3.9238717779834783E-4</v>
      </c>
      <c r="C61">
        <f>'Total electricity generation'!C61/SUM('Total electricity generation'!C$3:C$73)</f>
        <v>4.2169739253917446E-4</v>
      </c>
      <c r="D61">
        <f>'Total electricity generation'!D61/SUM('Total electricity generation'!D$3:D$73)</f>
        <v>5.407590648458156E-4</v>
      </c>
      <c r="E61">
        <f>'Total electricity generation'!E61/SUM('Total electricity generation'!E$3:E$73)</f>
        <v>5.481547357546301E-4</v>
      </c>
      <c r="F61">
        <f>'Total electricity generation'!F61/SUM('Total electricity generation'!F$3:F$73)</f>
        <v>6.1296584395640458E-4</v>
      </c>
      <c r="G61">
        <f>'Total electricity generation'!G61/SUM('Total electricity generation'!G$3:G$73)</f>
        <v>6.6660230739895804E-4</v>
      </c>
      <c r="H61">
        <f>'Total electricity generation'!H61/SUM('Total electricity generation'!H$3:H$73)</f>
        <v>7.1199678091241232E-4</v>
      </c>
      <c r="I61">
        <f>'Total electricity generation'!I61/SUM('Total electricity generation'!I$3:I$73)</f>
        <v>6.8769790580429195E-4</v>
      </c>
      <c r="J61">
        <f>'Total electricity generation'!J61/SUM('Total electricity generation'!J$3:J$73)</f>
        <v>7.6095979488868663E-4</v>
      </c>
      <c r="K61">
        <f>'Total electricity generation'!K61/SUM('Total electricity generation'!K$3:K$73)</f>
        <v>8.4705024311363297E-4</v>
      </c>
      <c r="L61">
        <f>'Total electricity generation'!L61/SUM('Total electricity generation'!L$3:L$73)</f>
        <v>9.184167514279738E-4</v>
      </c>
      <c r="M61">
        <f>'Total electricity generation'!M61/SUM('Total electricity generation'!M$3:M$73)</f>
        <v>8.33420216025208E-4</v>
      </c>
      <c r="N61">
        <f>'Total electricity generation'!N61/SUM('Total electricity generation'!N$3:N$73)</f>
        <v>8.7262023438027523E-4</v>
      </c>
      <c r="O61">
        <f>'Total electricity generation'!O61/SUM('Total electricity generation'!O$3:O$73)</f>
        <v>8.6370522413375668E-4</v>
      </c>
      <c r="P61">
        <f>'Total electricity generation'!P61/SUM('Total electricity generation'!P$3:P$73)</f>
        <v>8.5910305164744246E-4</v>
      </c>
      <c r="Q61">
        <f>'Total electricity generation'!Q61/SUM('Total electricity generation'!Q$3:Q$73)</f>
        <v>8.5519735980873254E-4</v>
      </c>
      <c r="R61">
        <f>'Total electricity generation'!R61/SUM('Total electricity generation'!R$3:R$73)</f>
        <v>8.5838855875060988E-4</v>
      </c>
      <c r="S61">
        <f>'Total electricity generation'!S61/SUM('Total electricity generation'!S$3:S$73)</f>
        <v>8.6227045259905334E-4</v>
      </c>
      <c r="T61">
        <f>'Total electricity generation'!T61/SUM('Total electricity generation'!T$3:T$73)</f>
        <v>8.6684158948824828E-4</v>
      </c>
      <c r="U61">
        <f>'Total electricity generation'!U61/SUM('Total electricity generation'!U$3:U$73)</f>
        <v>8.7217589764665481E-4</v>
      </c>
      <c r="V61">
        <f>'Total electricity generation'!V61/SUM('Total electricity generation'!V$3:V$73)</f>
        <v>8.7868937177808238E-4</v>
      </c>
      <c r="W61">
        <f>'Total electricity generation'!W61/SUM('Total electricity generation'!W$3:W$73)</f>
        <v>8.8884969338258631E-4</v>
      </c>
      <c r="X61">
        <f>'Total electricity generation'!X61/SUM('Total electricity generation'!X$3:X$73)</f>
        <v>8.9987039905437157E-4</v>
      </c>
      <c r="Y61">
        <f>'Total electricity generation'!Y61/SUM('Total electricity generation'!Y$3:Y$73)</f>
        <v>9.1174814140828849E-4</v>
      </c>
      <c r="Z61">
        <f>'Total electricity generation'!Z61/SUM('Total electricity generation'!Z$3:Z$73)</f>
        <v>9.2445794693602921E-4</v>
      </c>
      <c r="AA61">
        <f>'Total electricity generation'!AA61/SUM('Total electricity generation'!AA$3:AA$73)</f>
        <v>9.3797164417234731E-4</v>
      </c>
      <c r="AB61">
        <f>'Total electricity generation'!AB61/SUM('Total electricity generation'!AB$3:AB$73)</f>
        <v>9.5365930840816374E-4</v>
      </c>
      <c r="AC61">
        <f>'Total electricity generation'!AC61/SUM('Total electricity generation'!AC$3:AC$73)</f>
        <v>9.7021588588123943E-4</v>
      </c>
      <c r="AD61">
        <f>'Total electricity generation'!AD61/SUM('Total electricity generation'!AD$3:AD$73)</f>
        <v>9.8758179703222924E-4</v>
      </c>
      <c r="AE61">
        <f>'Total electricity generation'!AE61/SUM('Total electricity generation'!AE$3:AE$73)</f>
        <v>1.0057367563713066E-3</v>
      </c>
      <c r="AF61">
        <f>'Total electricity generation'!AF61/SUM('Total electricity generation'!AF$3:AF$73)</f>
        <v>1.0245996112949809E-3</v>
      </c>
      <c r="AG61">
        <f>'Total electricity generation'!AG61/SUM('Total electricity generation'!AG$3:AG$73)</f>
        <v>1.0440524011437568E-3</v>
      </c>
      <c r="AH61">
        <f>'Total electricity generation'!AH61/SUM('Total electricity generation'!AH$3:AH$73)</f>
        <v>1.0643197324103381E-3</v>
      </c>
      <c r="AI61">
        <f>'Total electricity generation'!AI61/SUM('Total electricity generation'!AI$3:AI$73)</f>
        <v>1.0852799038456567E-3</v>
      </c>
      <c r="AJ61">
        <f>'Total electricity generation'!AJ61/SUM('Total electricity generation'!AJ$3:AJ$73)</f>
        <v>1.1067775821286298E-3</v>
      </c>
      <c r="AK61">
        <f>'Total electricity generation'!AK61/SUM('Total electricity generation'!AK$3:AK$73)</f>
        <v>1.1290423500466317E-3</v>
      </c>
      <c r="AL61">
        <f>'Total electricity generation'!AL61/SUM('Total electricity generation'!AL$3:AL$73)</f>
        <v>1.1518075289427422E-3</v>
      </c>
      <c r="AM61">
        <f>'Total electricity generation'!AM61/SUM('Total electricity generation'!AM$3:AM$73)</f>
        <v>1.1746616636170585E-3</v>
      </c>
      <c r="AN61">
        <f>'Total electricity generation'!AN61/SUM('Total electricity generation'!AN$3:AN$73)</f>
        <v>1.198218431855457E-3</v>
      </c>
      <c r="AO61">
        <f>'Total electricity generation'!AO61/SUM('Total electricity generation'!AO$3:AO$73)</f>
        <v>1.2224556888304192E-3</v>
      </c>
      <c r="AP61">
        <f>'Total electricity generation'!AP61/SUM('Total electricity generation'!AP$3:AP$73)</f>
        <v>1.2477095475126241E-3</v>
      </c>
    </row>
    <row r="62" spans="1:42" x14ac:dyDescent="0.3">
      <c r="A62" t="s">
        <v>137</v>
      </c>
      <c r="B62">
        <f>'Total electricity generation'!B62/SUM('Total electricity generation'!B$3:B$73)</f>
        <v>5.8021597782610063E-3</v>
      </c>
      <c r="C62">
        <f>'Total electricity generation'!C62/SUM('Total electricity generation'!C$3:C$73)</f>
        <v>5.8165266189738711E-3</v>
      </c>
      <c r="D62">
        <f>'Total electricity generation'!D62/SUM('Total electricity generation'!D$3:D$73)</f>
        <v>5.9069861724146923E-3</v>
      </c>
      <c r="E62">
        <f>'Total electricity generation'!E62/SUM('Total electricity generation'!E$3:E$73)</f>
        <v>5.9053193725417822E-3</v>
      </c>
      <c r="F62">
        <f>'Total electricity generation'!F62/SUM('Total electricity generation'!F$3:F$73)</f>
        <v>6.1437816925444862E-3</v>
      </c>
      <c r="G62">
        <f>'Total electricity generation'!G62/SUM('Total electricity generation'!G$3:G$73)</f>
        <v>6.1773048267687513E-3</v>
      </c>
      <c r="H62">
        <f>'Total electricity generation'!H62/SUM('Total electricity generation'!H$3:H$73)</f>
        <v>6.2649638113760125E-3</v>
      </c>
      <c r="I62">
        <f>'Total electricity generation'!I62/SUM('Total electricity generation'!I$3:I$73)</f>
        <v>6.3831523459198375E-3</v>
      </c>
      <c r="J62">
        <f>'Total electricity generation'!J62/SUM('Total electricity generation'!J$3:J$73)</f>
        <v>6.391017038096713E-3</v>
      </c>
      <c r="K62">
        <f>'Total electricity generation'!K62/SUM('Total electricity generation'!K$3:K$73)</f>
        <v>6.600382070733244E-3</v>
      </c>
      <c r="L62">
        <f>'Total electricity generation'!L62/SUM('Total electricity generation'!L$3:L$73)</f>
        <v>6.481949900643871E-3</v>
      </c>
      <c r="M62">
        <f>'Total electricity generation'!M62/SUM('Total electricity generation'!M$3:M$73)</f>
        <v>6.3084933404146575E-3</v>
      </c>
      <c r="N62">
        <f>'Total electricity generation'!N62/SUM('Total electricity generation'!N$3:N$73)</f>
        <v>6.4155839923742087E-3</v>
      </c>
      <c r="O62">
        <f>'Total electricity generation'!O62/SUM('Total electricity generation'!O$3:O$73)</f>
        <v>6.527379771357417E-3</v>
      </c>
      <c r="P62">
        <f>'Total electricity generation'!P62/SUM('Total electricity generation'!P$3:P$73)</f>
        <v>6.6684287725682816E-3</v>
      </c>
      <c r="Q62">
        <f>'Total electricity generation'!Q62/SUM('Total electricity generation'!Q$3:Q$73)</f>
        <v>6.8169400396402794E-3</v>
      </c>
      <c r="R62">
        <f>'Total electricity generation'!R62/SUM('Total electricity generation'!R$3:R$73)</f>
        <v>6.9542527839769755E-3</v>
      </c>
      <c r="S62">
        <f>'Total electricity generation'!S62/SUM('Total electricity generation'!S$3:S$73)</f>
        <v>7.0919491198302145E-3</v>
      </c>
      <c r="T62">
        <f>'Total electricity generation'!T62/SUM('Total electricity generation'!T$3:T$73)</f>
        <v>7.2279252447131001E-3</v>
      </c>
      <c r="U62">
        <f>'Total electricity generation'!U62/SUM('Total electricity generation'!U$3:U$73)</f>
        <v>7.3670490869557591E-3</v>
      </c>
      <c r="V62">
        <f>'Total electricity generation'!V62/SUM('Total electricity generation'!V$3:V$73)</f>
        <v>7.5083614931484967E-3</v>
      </c>
      <c r="W62">
        <f>'Total electricity generation'!W62/SUM('Total electricity generation'!W$3:W$73)</f>
        <v>7.6375113457668583E-3</v>
      </c>
      <c r="X62">
        <f>'Total electricity generation'!X62/SUM('Total electricity generation'!X$3:X$73)</f>
        <v>7.7647916946412239E-3</v>
      </c>
      <c r="Y62">
        <f>'Total electricity generation'!Y62/SUM('Total electricity generation'!Y$3:Y$73)</f>
        <v>7.8949345600504896E-3</v>
      </c>
      <c r="Z62">
        <f>'Total electricity generation'!Z62/SUM('Total electricity generation'!Z$3:Z$73)</f>
        <v>8.0275676558205222E-3</v>
      </c>
      <c r="AA62">
        <f>'Total electricity generation'!AA62/SUM('Total electricity generation'!AA$3:AA$73)</f>
        <v>8.160332884448453E-3</v>
      </c>
      <c r="AB62">
        <f>'Total electricity generation'!AB62/SUM('Total electricity generation'!AB$3:AB$73)</f>
        <v>8.2859639618718135E-3</v>
      </c>
      <c r="AC62">
        <f>'Total electricity generation'!AC62/SUM('Total electricity generation'!AC$3:AC$73)</f>
        <v>8.4175590661270047E-3</v>
      </c>
      <c r="AD62">
        <f>'Total electricity generation'!AD62/SUM('Total electricity generation'!AD$3:AD$73)</f>
        <v>8.5545637246976641E-3</v>
      </c>
      <c r="AE62">
        <f>'Total electricity generation'!AE62/SUM('Total electricity generation'!AE$3:AE$73)</f>
        <v>8.6983482927120818E-3</v>
      </c>
      <c r="AF62">
        <f>'Total electricity generation'!AF62/SUM('Total electricity generation'!AF$3:AF$73)</f>
        <v>8.845086660678991E-3</v>
      </c>
      <c r="AG62">
        <f>'Total electricity generation'!AG62/SUM('Total electricity generation'!AG$3:AG$73)</f>
        <v>8.9939610960059722E-3</v>
      </c>
      <c r="AH62">
        <f>'Total electricity generation'!AH62/SUM('Total electricity generation'!AH$3:AH$73)</f>
        <v>9.1428566862491543E-3</v>
      </c>
      <c r="AI62">
        <f>'Total electricity generation'!AI62/SUM('Total electricity generation'!AI$3:AI$73)</f>
        <v>9.2850855714519728E-3</v>
      </c>
      <c r="AJ62">
        <f>'Total electricity generation'!AJ62/SUM('Total electricity generation'!AJ$3:AJ$73)</f>
        <v>9.4235324929393231E-3</v>
      </c>
      <c r="AK62">
        <f>'Total electricity generation'!AK62/SUM('Total electricity generation'!AK$3:AK$73)</f>
        <v>9.5566246094783685E-3</v>
      </c>
      <c r="AL62">
        <f>'Total electricity generation'!AL62/SUM('Total electricity generation'!AL$3:AL$73)</f>
        <v>9.6842029133422346E-3</v>
      </c>
      <c r="AM62">
        <f>'Total electricity generation'!AM62/SUM('Total electricity generation'!AM$3:AM$73)</f>
        <v>9.8071678766591744E-3</v>
      </c>
      <c r="AN62">
        <f>'Total electricity generation'!AN62/SUM('Total electricity generation'!AN$3:AN$73)</f>
        <v>9.9267044555408253E-3</v>
      </c>
      <c r="AO62">
        <f>'Total electricity generation'!AO62/SUM('Total electricity generation'!AO$3:AO$73)</f>
        <v>1.0046290000364416E-2</v>
      </c>
      <c r="AP62">
        <f>'Total electricity generation'!AP62/SUM('Total electricity generation'!AP$3:AP$73)</f>
        <v>1.0163163542562694E-2</v>
      </c>
    </row>
    <row r="63" spans="1:42" x14ac:dyDescent="0.3">
      <c r="A63" t="s">
        <v>138</v>
      </c>
      <c r="B63">
        <f>'Total electricity generation'!B63/SUM('Total electricity generation'!B$3:B$73)</f>
        <v>3.8427812177180064E-3</v>
      </c>
      <c r="C63">
        <f>'Total electricity generation'!C63/SUM('Total electricity generation'!C$3:C$73)</f>
        <v>3.8955606988580987E-3</v>
      </c>
      <c r="D63">
        <f>'Total electricity generation'!D63/SUM('Total electricity generation'!D$3:D$73)</f>
        <v>4.079957252625107E-3</v>
      </c>
      <c r="E63">
        <f>'Total electricity generation'!E63/SUM('Total electricity generation'!E$3:E$73)</f>
        <v>4.4001347870476597E-3</v>
      </c>
      <c r="F63">
        <f>'Total electricity generation'!F63/SUM('Total electricity generation'!F$3:F$73)</f>
        <v>3.970794657745344E-3</v>
      </c>
      <c r="G63">
        <f>'Total electricity generation'!G63/SUM('Total electricity generation'!G$3:G$73)</f>
        <v>3.7807955635023459E-3</v>
      </c>
      <c r="H63">
        <f>'Total electricity generation'!H63/SUM('Total electricity generation'!H$3:H$73)</f>
        <v>3.7868568039173228E-3</v>
      </c>
      <c r="I63">
        <f>'Total electricity generation'!I63/SUM('Total electricity generation'!I$3:I$73)</f>
        <v>4.0043265678226508E-3</v>
      </c>
      <c r="J63">
        <f>'Total electricity generation'!J63/SUM('Total electricity generation'!J$3:J$73)</f>
        <v>4.0330298791523504E-3</v>
      </c>
      <c r="K63">
        <f>'Total electricity generation'!K63/SUM('Total electricity generation'!K$3:K$73)</f>
        <v>3.9552538820400267E-3</v>
      </c>
      <c r="L63">
        <f>'Total electricity generation'!L63/SUM('Total electricity generation'!L$3:L$73)</f>
        <v>4.127068579698045E-3</v>
      </c>
      <c r="M63">
        <f>'Total electricity generation'!M63/SUM('Total electricity generation'!M$3:M$73)</f>
        <v>4.0329739935364949E-3</v>
      </c>
      <c r="N63">
        <f>'Total electricity generation'!N63/SUM('Total electricity generation'!N$3:N$73)</f>
        <v>3.8888353215369115E-3</v>
      </c>
      <c r="O63">
        <f>'Total electricity generation'!O63/SUM('Total electricity generation'!O$3:O$73)</f>
        <v>3.8654800209809385E-3</v>
      </c>
      <c r="P63">
        <f>'Total electricity generation'!P63/SUM('Total electricity generation'!P$3:P$73)</f>
        <v>3.8527186805810821E-3</v>
      </c>
      <c r="Q63">
        <f>'Total electricity generation'!Q63/SUM('Total electricity generation'!Q$3:Q$73)</f>
        <v>3.8348251264853786E-3</v>
      </c>
      <c r="R63">
        <f>'Total electricity generation'!R63/SUM('Total electricity generation'!R$3:R$73)</f>
        <v>3.819797520112864E-3</v>
      </c>
      <c r="S63">
        <f>'Total electricity generation'!S63/SUM('Total electricity generation'!S$3:S$73)</f>
        <v>3.8028322032910913E-3</v>
      </c>
      <c r="T63">
        <f>'Total electricity generation'!T63/SUM('Total electricity generation'!T$3:T$73)</f>
        <v>3.7905867142032099E-3</v>
      </c>
      <c r="U63">
        <f>'Total electricity generation'!U63/SUM('Total electricity generation'!U$3:U$73)</f>
        <v>3.772905372081861E-3</v>
      </c>
      <c r="V63">
        <f>'Total electricity generation'!V63/SUM('Total electricity generation'!V$3:V$73)</f>
        <v>3.7535703517054667E-3</v>
      </c>
      <c r="W63">
        <f>'Total electricity generation'!W63/SUM('Total electricity generation'!W$3:W$73)</f>
        <v>3.7464671435159277E-3</v>
      </c>
      <c r="X63">
        <f>'Total electricity generation'!X63/SUM('Total electricity generation'!X$3:X$73)</f>
        <v>3.7379811554265597E-3</v>
      </c>
      <c r="Y63">
        <f>'Total electricity generation'!Y63/SUM('Total electricity generation'!Y$3:Y$73)</f>
        <v>3.7283046628248588E-3</v>
      </c>
      <c r="Z63">
        <f>'Total electricity generation'!Z63/SUM('Total electricity generation'!Z$3:Z$73)</f>
        <v>3.7182930276620251E-3</v>
      </c>
      <c r="AA63">
        <f>'Total electricity generation'!AA63/SUM('Total electricity generation'!AA$3:AA$73)</f>
        <v>3.7076106239461318E-3</v>
      </c>
      <c r="AB63">
        <f>'Total electricity generation'!AB63/SUM('Total electricity generation'!AB$3:AB$73)</f>
        <v>3.705214780238384E-3</v>
      </c>
      <c r="AC63">
        <f>'Total electricity generation'!AC63/SUM('Total electricity generation'!AC$3:AC$73)</f>
        <v>3.7025592849232463E-3</v>
      </c>
      <c r="AD63">
        <f>'Total electricity generation'!AD63/SUM('Total electricity generation'!AD$3:AD$73)</f>
        <v>3.6996979666823579E-3</v>
      </c>
      <c r="AE63">
        <f>'Total electricity generation'!AE63/SUM('Total electricity generation'!AE$3:AE$73)</f>
        <v>3.6967892118977574E-3</v>
      </c>
      <c r="AF63">
        <f>'Total electricity generation'!AF63/SUM('Total electricity generation'!AF$3:AF$73)</f>
        <v>3.6941560218061984E-3</v>
      </c>
      <c r="AG63">
        <f>'Total electricity generation'!AG63/SUM('Total electricity generation'!AG$3:AG$73)</f>
        <v>3.6916198040758408E-3</v>
      </c>
      <c r="AH63">
        <f>'Total electricity generation'!AH63/SUM('Total electricity generation'!AH$3:AH$73)</f>
        <v>3.6896314020030694E-3</v>
      </c>
      <c r="AI63">
        <f>'Total electricity generation'!AI63/SUM('Total electricity generation'!AI$3:AI$73)</f>
        <v>3.6878261932486818E-3</v>
      </c>
      <c r="AJ63">
        <f>'Total electricity generation'!AJ63/SUM('Total electricity generation'!AJ$3:AJ$73)</f>
        <v>3.6857610067712789E-3</v>
      </c>
      <c r="AK63">
        <f>'Total electricity generation'!AK63/SUM('Total electricity generation'!AK$3:AK$73)</f>
        <v>3.6841866624431367E-3</v>
      </c>
      <c r="AL63">
        <f>'Total electricity generation'!AL63/SUM('Total electricity generation'!AL$3:AL$73)</f>
        <v>3.6830196945596382E-3</v>
      </c>
      <c r="AM63">
        <f>'Total electricity generation'!AM63/SUM('Total electricity generation'!AM$3:AM$73)</f>
        <v>3.6815615177170536E-3</v>
      </c>
      <c r="AN63">
        <f>'Total electricity generation'!AN63/SUM('Total electricity generation'!AN$3:AN$73)</f>
        <v>3.6806418688697892E-3</v>
      </c>
      <c r="AO63">
        <f>'Total electricity generation'!AO63/SUM('Total electricity generation'!AO$3:AO$73)</f>
        <v>3.6807817662765203E-3</v>
      </c>
      <c r="AP63">
        <f>'Total electricity generation'!AP63/SUM('Total electricity generation'!AP$3:AP$73)</f>
        <v>3.6819849965994749E-3</v>
      </c>
    </row>
    <row r="64" spans="1:42" x14ac:dyDescent="0.3">
      <c r="A64" t="s">
        <v>139</v>
      </c>
      <c r="B64">
        <f>'Total electricity generation'!B64/SUM('Total electricity generation'!B$3:B$73)</f>
        <v>2.1890266552397697E-3</v>
      </c>
      <c r="C64">
        <f>'Total electricity generation'!C64/SUM('Total electricity generation'!C$3:C$73)</f>
        <v>2.2548367435887488E-3</v>
      </c>
      <c r="D64">
        <f>'Total electricity generation'!D64/SUM('Total electricity generation'!D$3:D$73)</f>
        <v>2.4151120952851327E-3</v>
      </c>
      <c r="E64">
        <f>'Total electricity generation'!E64/SUM('Total electricity generation'!E$3:E$73)</f>
        <v>2.3629344866359127E-3</v>
      </c>
      <c r="F64">
        <f>'Total electricity generation'!F64/SUM('Total electricity generation'!F$3:F$73)</f>
        <v>2.4336981644944126E-3</v>
      </c>
      <c r="G64">
        <f>'Total electricity generation'!G64/SUM('Total electricity generation'!G$3:G$73)</f>
        <v>2.5683587784971003E-3</v>
      </c>
      <c r="H64">
        <f>'Total electricity generation'!H64/SUM('Total electricity generation'!H$3:H$73)</f>
        <v>2.5930660820877522E-3</v>
      </c>
      <c r="I64">
        <f>'Total electricity generation'!I64/SUM('Total electricity generation'!I$3:I$73)</f>
        <v>2.6277792402357824E-3</v>
      </c>
      <c r="J64">
        <f>'Total electricity generation'!J64/SUM('Total electricity generation'!J$3:J$73)</f>
        <v>2.676572648601023E-3</v>
      </c>
      <c r="K64">
        <f>'Total electricity generation'!K64/SUM('Total electricity generation'!K$3:K$73)</f>
        <v>2.8923877730322334E-3</v>
      </c>
      <c r="L64">
        <f>'Total electricity generation'!L64/SUM('Total electricity generation'!L$3:L$73)</f>
        <v>2.8672153803449151E-3</v>
      </c>
      <c r="M64">
        <f>'Total electricity generation'!M64/SUM('Total electricity generation'!M$3:M$73)</f>
        <v>2.8227058389295638E-3</v>
      </c>
      <c r="N64">
        <f>'Total electricity generation'!N64/SUM('Total electricity generation'!N$3:N$73)</f>
        <v>2.7131422670017068E-3</v>
      </c>
      <c r="O64">
        <f>'Total electricity generation'!O64/SUM('Total electricity generation'!O$3:O$73)</f>
        <v>2.7086510381201584E-3</v>
      </c>
      <c r="P64">
        <f>'Total electricity generation'!P64/SUM('Total electricity generation'!P$3:P$73)</f>
        <v>2.7135184580021295E-3</v>
      </c>
      <c r="Q64">
        <f>'Total electricity generation'!Q64/SUM('Total electricity generation'!Q$3:Q$73)</f>
        <v>2.7237484784903392E-3</v>
      </c>
      <c r="R64">
        <f>'Total electricity generation'!R64/SUM('Total electricity generation'!R$3:R$73)</f>
        <v>2.7571536456113721E-3</v>
      </c>
      <c r="S64">
        <f>'Total electricity generation'!S64/SUM('Total electricity generation'!S$3:S$73)</f>
        <v>2.7941844373626287E-3</v>
      </c>
      <c r="T64">
        <f>'Total electricity generation'!T64/SUM('Total electricity generation'!T$3:T$73)</f>
        <v>2.834539039797209E-3</v>
      </c>
      <c r="U64">
        <f>'Total electricity generation'!U64/SUM('Total electricity generation'!U$3:U$73)</f>
        <v>2.8781782453154011E-3</v>
      </c>
      <c r="V64">
        <f>'Total electricity generation'!V64/SUM('Total electricity generation'!V$3:V$73)</f>
        <v>2.9262622291625E-3</v>
      </c>
      <c r="W64">
        <f>'Total electricity generation'!W64/SUM('Total electricity generation'!W$3:W$73)</f>
        <v>2.9861449443605447E-3</v>
      </c>
      <c r="X64">
        <f>'Total electricity generation'!X64/SUM('Total electricity generation'!X$3:X$73)</f>
        <v>3.0490108350456689E-3</v>
      </c>
      <c r="Y64">
        <f>'Total electricity generation'!Y64/SUM('Total electricity generation'!Y$3:Y$73)</f>
        <v>3.1139328316666759E-3</v>
      </c>
      <c r="Z64">
        <f>'Total electricity generation'!Z64/SUM('Total electricity generation'!Z$3:Z$73)</f>
        <v>3.1817305977982421E-3</v>
      </c>
      <c r="AA64">
        <f>'Total electricity generation'!AA64/SUM('Total electricity generation'!AA$3:AA$73)</f>
        <v>3.2518344338172299E-3</v>
      </c>
      <c r="AB64">
        <f>'Total electricity generation'!AB64/SUM('Total electricity generation'!AB$3:AB$73)</f>
        <v>3.3294154485670685E-3</v>
      </c>
      <c r="AC64">
        <f>'Total electricity generation'!AC64/SUM('Total electricity generation'!AC$3:AC$73)</f>
        <v>3.4099197054819129E-3</v>
      </c>
      <c r="AD64">
        <f>'Total electricity generation'!AD64/SUM('Total electricity generation'!AD$3:AD$73)</f>
        <v>3.4931023830799012E-3</v>
      </c>
      <c r="AE64">
        <f>'Total electricity generation'!AE64/SUM('Total electricity generation'!AE$3:AE$73)</f>
        <v>3.5789710639502026E-3</v>
      </c>
      <c r="AF64">
        <f>'Total electricity generation'!AF64/SUM('Total electricity generation'!AF$3:AF$73)</f>
        <v>3.6667478422656172E-3</v>
      </c>
      <c r="AG64">
        <f>'Total electricity generation'!AG64/SUM('Total electricity generation'!AG$3:AG$73)</f>
        <v>3.7558632695853613E-3</v>
      </c>
      <c r="AH64">
        <f>'Total electricity generation'!AH64/SUM('Total electricity generation'!AH$3:AH$73)</f>
        <v>3.8470809620174394E-3</v>
      </c>
      <c r="AI64">
        <f>'Total electricity generation'!AI64/SUM('Total electricity generation'!AI$3:AI$73)</f>
        <v>3.9397301139308533E-3</v>
      </c>
      <c r="AJ64">
        <f>'Total electricity generation'!AJ64/SUM('Total electricity generation'!AJ$3:AJ$73)</f>
        <v>4.0327286971812296E-3</v>
      </c>
      <c r="AK64">
        <f>'Total electricity generation'!AK64/SUM('Total electricity generation'!AK$3:AK$73)</f>
        <v>4.1271571400380378E-3</v>
      </c>
      <c r="AL64">
        <f>'Total electricity generation'!AL64/SUM('Total electricity generation'!AL$3:AL$73)</f>
        <v>4.2217777217204459E-3</v>
      </c>
      <c r="AM64">
        <f>'Total electricity generation'!AM64/SUM('Total electricity generation'!AM$3:AM$73)</f>
        <v>4.3148944883813186E-3</v>
      </c>
      <c r="AN64">
        <f>'Total electricity generation'!AN64/SUM('Total electricity generation'!AN$3:AN$73)</f>
        <v>4.4086740883036773E-3</v>
      </c>
      <c r="AO64">
        <f>'Total electricity generation'!AO64/SUM('Total electricity generation'!AO$3:AO$73)</f>
        <v>4.5020908025878836E-3</v>
      </c>
      <c r="AP64">
        <f>'Total electricity generation'!AP64/SUM('Total electricity generation'!AP$3:AP$73)</f>
        <v>4.595991877107318E-3</v>
      </c>
    </row>
    <row r="65" spans="1:42" x14ac:dyDescent="0.3">
      <c r="A65" t="s">
        <v>140</v>
      </c>
      <c r="B65">
        <f>'Total electricity generation'!B65/SUM('Total electricity generation'!B$3:B$73)</f>
        <v>2.7898128531699098E-4</v>
      </c>
      <c r="C65">
        <f>'Total electricity generation'!C65/SUM('Total electricity generation'!C$3:C$73)</f>
        <v>2.7565773221887571E-4</v>
      </c>
      <c r="D65">
        <f>'Total electricity generation'!D65/SUM('Total electricity generation'!D$3:D$73)</f>
        <v>2.5156593465392639E-4</v>
      </c>
      <c r="E65">
        <f>'Total electricity generation'!E65/SUM('Total electricity generation'!E$3:E$73)</f>
        <v>2.8398017886431662E-4</v>
      </c>
      <c r="F65">
        <f>'Total electricity generation'!F65/SUM('Total electricity generation'!F$3:F$73)</f>
        <v>3.0046283331839799E-4</v>
      </c>
      <c r="G65">
        <f>'Total electricity generation'!G65/SUM('Total electricity generation'!G$3:G$73)</f>
        <v>3.4050210455101098E-4</v>
      </c>
      <c r="H65">
        <f>'Total electricity generation'!H65/SUM('Total electricity generation'!H$3:H$73)</f>
        <v>3.1308822723900674E-4</v>
      </c>
      <c r="I65">
        <f>'Total electricity generation'!I65/SUM('Total electricity generation'!I$3:I$73)</f>
        <v>3.2543129954719141E-4</v>
      </c>
      <c r="J65">
        <f>'Total electricity generation'!J65/SUM('Total electricity generation'!J$3:J$73)</f>
        <v>3.3395210153860304E-4</v>
      </c>
      <c r="K65">
        <f>'Total electricity generation'!K65/SUM('Total electricity generation'!K$3:K$73)</f>
        <v>3.2640408412114275E-4</v>
      </c>
      <c r="L65">
        <f>'Total electricity generation'!L65/SUM('Total electricity generation'!L$3:L$73)</f>
        <v>3.3453943277562877E-4</v>
      </c>
      <c r="M65">
        <f>'Total electricity generation'!M65/SUM('Total electricity generation'!M$3:M$73)</f>
        <v>3.4695571371770503E-4</v>
      </c>
      <c r="N65">
        <f>'Total electricity generation'!N65/SUM('Total electricity generation'!N$3:N$73)</f>
        <v>3.5449998084517161E-4</v>
      </c>
      <c r="O65">
        <f>'Total electricity generation'!O65/SUM('Total electricity generation'!O$3:O$73)</f>
        <v>3.5357033497528242E-4</v>
      </c>
      <c r="P65">
        <f>'Total electricity generation'!P65/SUM('Total electricity generation'!P$3:P$73)</f>
        <v>3.5425682527626422E-4</v>
      </c>
      <c r="Q65">
        <f>'Total electricity generation'!Q65/SUM('Total electricity generation'!Q$3:Q$73)</f>
        <v>3.5517292749693983E-4</v>
      </c>
      <c r="R65">
        <f>'Total electricity generation'!R65/SUM('Total electricity generation'!R$3:R$73)</f>
        <v>3.5795827434402533E-4</v>
      </c>
      <c r="S65">
        <f>'Total electricity generation'!S65/SUM('Total electricity generation'!S$3:S$73)</f>
        <v>3.6069163390068493E-4</v>
      </c>
      <c r="T65">
        <f>'Total electricity generation'!T65/SUM('Total electricity generation'!T$3:T$73)</f>
        <v>3.6328659036986984E-4</v>
      </c>
      <c r="U65">
        <f>'Total electricity generation'!U65/SUM('Total electricity generation'!U$3:U$73)</f>
        <v>3.6585010210348536E-4</v>
      </c>
      <c r="V65">
        <f>'Total electricity generation'!V65/SUM('Total electricity generation'!V$3:V$73)</f>
        <v>3.6863419365837456E-4</v>
      </c>
      <c r="W65">
        <f>'Total electricity generation'!W65/SUM('Total electricity generation'!W$3:W$73)</f>
        <v>3.7304693299910417E-4</v>
      </c>
      <c r="X65">
        <f>'Total electricity generation'!X65/SUM('Total electricity generation'!X$3:X$73)</f>
        <v>3.7759977187879108E-4</v>
      </c>
      <c r="Y65">
        <f>'Total electricity generation'!Y65/SUM('Total electricity generation'!Y$3:Y$73)</f>
        <v>3.8228885205055424E-4</v>
      </c>
      <c r="Z65">
        <f>'Total electricity generation'!Z65/SUM('Total electricity generation'!Z$3:Z$73)</f>
        <v>3.8710077673530897E-4</v>
      </c>
      <c r="AA65">
        <f>'Total electricity generation'!AA65/SUM('Total electricity generation'!AA$3:AA$73)</f>
        <v>3.9207673714924881E-4</v>
      </c>
      <c r="AB65">
        <f>'Total electricity generation'!AB65/SUM('Total electricity generation'!AB$3:AB$73)</f>
        <v>3.9802865874463456E-4</v>
      </c>
      <c r="AC65">
        <f>'Total electricity generation'!AC65/SUM('Total electricity generation'!AC$3:AC$73)</f>
        <v>4.0419630654532748E-4</v>
      </c>
      <c r="AD65">
        <f>'Total electricity generation'!AD65/SUM('Total electricity generation'!AD$3:AD$73)</f>
        <v>4.1057052717135835E-4</v>
      </c>
      <c r="AE65">
        <f>'Total electricity generation'!AE65/SUM('Total electricity generation'!AE$3:AE$73)</f>
        <v>4.1718140357894639E-4</v>
      </c>
      <c r="AF65">
        <f>'Total electricity generation'!AF65/SUM('Total electricity generation'!AF$3:AF$73)</f>
        <v>4.2398177243534429E-4</v>
      </c>
      <c r="AG65">
        <f>'Total electricity generation'!AG65/SUM('Total electricity generation'!AG$3:AG$73)</f>
        <v>4.3096177926019879E-4</v>
      </c>
      <c r="AH65">
        <f>'Total electricity generation'!AH65/SUM('Total electricity generation'!AH$3:AH$73)</f>
        <v>4.3821515100259188E-4</v>
      </c>
      <c r="AI65">
        <f>'Total electricity generation'!AI65/SUM('Total electricity generation'!AI$3:AI$73)</f>
        <v>4.4568400387062898E-4</v>
      </c>
      <c r="AJ65">
        <f>'Total electricity generation'!AJ65/SUM('Total electricity generation'!AJ$3:AJ$73)</f>
        <v>4.5336411470504022E-4</v>
      </c>
      <c r="AK65">
        <f>'Total electricity generation'!AK65/SUM('Total electricity generation'!AK$3:AK$73)</f>
        <v>4.6137194515955004E-4</v>
      </c>
      <c r="AL65">
        <f>'Total electricity generation'!AL65/SUM('Total electricity generation'!AL$3:AL$73)</f>
        <v>4.6942198301374585E-4</v>
      </c>
      <c r="AM65">
        <f>'Total electricity generation'!AM65/SUM('Total electricity generation'!AM$3:AM$73)</f>
        <v>4.7745570113315523E-4</v>
      </c>
      <c r="AN65">
        <f>'Total electricity generation'!AN65/SUM('Total electricity generation'!AN$3:AN$73)</f>
        <v>4.856552465569626E-4</v>
      </c>
      <c r="AO65">
        <f>'Total electricity generation'!AO65/SUM('Total electricity generation'!AO$3:AO$73)</f>
        <v>4.9393674416897974E-4</v>
      </c>
      <c r="AP65">
        <f>'Total electricity generation'!AP65/SUM('Total electricity generation'!AP$3:AP$73)</f>
        <v>5.023554690364373E-4</v>
      </c>
    </row>
    <row r="66" spans="1:42" x14ac:dyDescent="0.3">
      <c r="A66" t="s">
        <v>141</v>
      </c>
      <c r="B66">
        <f>'Total electricity generation'!B66/SUM('Total electricity generation'!B$3:B$73)</f>
        <v>1.0885384784260128E-3</v>
      </c>
      <c r="C66">
        <f>'Total electricity generation'!C66/SUM('Total electricity generation'!C$3:C$73)</f>
        <v>1.1151833211211477E-3</v>
      </c>
      <c r="D66">
        <f>'Total electricity generation'!D66/SUM('Total electricity generation'!D$3:D$73)</f>
        <v>1.1948392863468508E-3</v>
      </c>
      <c r="E66">
        <f>'Total electricity generation'!E66/SUM('Total electricity generation'!E$3:E$73)</f>
        <v>1.2735783250826117E-3</v>
      </c>
      <c r="F66">
        <f>'Total electricity generation'!F66/SUM('Total electricity generation'!F$3:F$73)</f>
        <v>1.3051302245376392E-3</v>
      </c>
      <c r="G66">
        <f>'Total electricity generation'!G66/SUM('Total electricity generation'!G$3:G$73)</f>
        <v>1.2957185220793697E-3</v>
      </c>
      <c r="H66">
        <f>'Total electricity generation'!H66/SUM('Total electricity generation'!H$3:H$73)</f>
        <v>1.3150877835300676E-3</v>
      </c>
      <c r="I66">
        <f>'Total electricity generation'!I66/SUM('Total electricity generation'!I$3:I$73)</f>
        <v>1.4525318028266651E-3</v>
      </c>
      <c r="J66">
        <f>'Total electricity generation'!J66/SUM('Total electricity generation'!J$3:J$73)</f>
        <v>1.4685601319774685E-3</v>
      </c>
      <c r="K66">
        <f>'Total electricity generation'!K66/SUM('Total electricity generation'!K$3:K$73)</f>
        <v>1.5971602604171683E-3</v>
      </c>
      <c r="L66">
        <f>'Total electricity generation'!L66/SUM('Total electricity generation'!L$3:L$73)</f>
        <v>1.7409959444754884E-3</v>
      </c>
      <c r="M66">
        <f>'Total electricity generation'!M66/SUM('Total electricity generation'!M$3:M$73)</f>
        <v>1.7414701192303972E-3</v>
      </c>
      <c r="N66">
        <f>'Total electricity generation'!N66/SUM('Total electricity generation'!N$3:N$73)</f>
        <v>1.830797515755829E-3</v>
      </c>
      <c r="O66">
        <f>'Total electricity generation'!O66/SUM('Total electricity generation'!O$3:O$73)</f>
        <v>1.827087238546497E-3</v>
      </c>
      <c r="P66">
        <f>'Total electricity generation'!P66/SUM('Total electricity generation'!P$3:P$73)</f>
        <v>1.833067177343539E-3</v>
      </c>
      <c r="Q66">
        <f>'Total electricity generation'!Q66/SUM('Total electricity generation'!Q$3:Q$73)</f>
        <v>1.8371690099174859E-3</v>
      </c>
      <c r="R66">
        <f>'Total electricity generation'!R66/SUM('Total electricity generation'!R$3:R$73)</f>
        <v>1.8547367049353094E-3</v>
      </c>
      <c r="S66">
        <f>'Total electricity generation'!S66/SUM('Total electricity generation'!S$3:S$73)</f>
        <v>1.8724157862809016E-3</v>
      </c>
      <c r="T66">
        <f>'Total electricity generation'!T66/SUM('Total electricity generation'!T$3:T$73)</f>
        <v>1.8907740491285253E-3</v>
      </c>
      <c r="U66">
        <f>'Total electricity generation'!U66/SUM('Total electricity generation'!U$3:U$73)</f>
        <v>1.9099598554923481E-3</v>
      </c>
      <c r="V66">
        <f>'Total electricity generation'!V66/SUM('Total electricity generation'!V$3:V$73)</f>
        <v>1.9311131911468849E-3</v>
      </c>
      <c r="W66">
        <f>'Total electricity generation'!W66/SUM('Total electricity generation'!W$3:W$73)</f>
        <v>1.9596777498686858E-3</v>
      </c>
      <c r="X66">
        <f>'Total electricity generation'!X66/SUM('Total electricity generation'!X$3:X$73)</f>
        <v>1.9897350238387034E-3</v>
      </c>
      <c r="Y66">
        <f>'Total electricity generation'!Y66/SUM('Total electricity generation'!Y$3:Y$73)</f>
        <v>2.0212662182727908E-3</v>
      </c>
      <c r="Z66">
        <f>'Total electricity generation'!Z66/SUM('Total electricity generation'!Z$3:Z$73)</f>
        <v>2.054172086120268E-3</v>
      </c>
      <c r="AA66">
        <f>'Total electricity generation'!AA66/SUM('Total electricity generation'!AA$3:AA$73)</f>
        <v>2.0886753461273359E-3</v>
      </c>
      <c r="AB66">
        <f>'Total electricity generation'!AB66/SUM('Total electricity generation'!AB$3:AB$73)</f>
        <v>2.1278410524107872E-3</v>
      </c>
      <c r="AC66">
        <f>'Total electricity generation'!AC66/SUM('Total electricity generation'!AC$3:AC$73)</f>
        <v>2.1687765081217069E-3</v>
      </c>
      <c r="AD66">
        <f>'Total electricity generation'!AD66/SUM('Total electricity generation'!AD$3:AD$73)</f>
        <v>2.2113491396585361E-3</v>
      </c>
      <c r="AE66">
        <f>'Total electricity generation'!AE66/SUM('Total electricity generation'!AE$3:AE$73)</f>
        <v>2.255451335867964E-3</v>
      </c>
      <c r="AF66">
        <f>'Total electricity generation'!AF66/SUM('Total electricity generation'!AF$3:AF$73)</f>
        <v>2.3010264175580475E-3</v>
      </c>
      <c r="AG66">
        <f>'Total electricity generation'!AG66/SUM('Total electricity generation'!AG$3:AG$73)</f>
        <v>2.3476753920154058E-3</v>
      </c>
      <c r="AH66">
        <f>'Total electricity generation'!AH66/SUM('Total electricity generation'!AH$3:AH$73)</f>
        <v>2.3957951955241603E-3</v>
      </c>
      <c r="AI66">
        <f>'Total electricity generation'!AI66/SUM('Total electricity generation'!AI$3:AI$73)</f>
        <v>2.4451935094882775E-3</v>
      </c>
      <c r="AJ66">
        <f>'Total electricity generation'!AJ66/SUM('Total electricity generation'!AJ$3:AJ$73)</f>
        <v>2.4952509178542428E-3</v>
      </c>
      <c r="AK66">
        <f>'Total electricity generation'!AK66/SUM('Total electricity generation'!AK$3:AK$73)</f>
        <v>2.5463356999022636E-3</v>
      </c>
      <c r="AL66">
        <f>'Total electricity generation'!AL66/SUM('Total electricity generation'!AL$3:AL$73)</f>
        <v>2.5976863577156662E-3</v>
      </c>
      <c r="AM66">
        <f>'Total electricity generation'!AM66/SUM('Total electricity generation'!AM$3:AM$73)</f>
        <v>2.648018411164816E-3</v>
      </c>
      <c r="AN66">
        <f>'Total electricity generation'!AN66/SUM('Total electricity generation'!AN$3:AN$73)</f>
        <v>2.6990145383298616E-3</v>
      </c>
      <c r="AO66">
        <f>'Total electricity generation'!AO66/SUM('Total electricity generation'!AO$3:AO$73)</f>
        <v>2.7497514240247692E-3</v>
      </c>
      <c r="AP66">
        <f>'Total electricity generation'!AP66/SUM('Total electricity generation'!AP$3:AP$73)</f>
        <v>2.8007820461992249E-3</v>
      </c>
    </row>
    <row r="67" spans="1:42" x14ac:dyDescent="0.3">
      <c r="A67" t="s">
        <v>142</v>
      </c>
      <c r="B67">
        <f>'Total electricity generation'!B67/SUM('Total electricity generation'!B$3:B$73)</f>
        <v>8.169966940508081E-4</v>
      </c>
      <c r="C67">
        <f>'Total electricity generation'!C67/SUM('Total electricity generation'!C$3:C$73)</f>
        <v>8.5477742034052869E-4</v>
      </c>
      <c r="D67">
        <f>'Total electricity generation'!D67/SUM('Total electricity generation'!D$3:D$73)</f>
        <v>9.6296608954456848E-4</v>
      </c>
      <c r="E67">
        <f>'Total electricity generation'!E67/SUM('Total electricity generation'!E$3:E$73)</f>
        <v>1.0124343698305616E-3</v>
      </c>
      <c r="F67">
        <f>'Total electricity generation'!F67/SUM('Total electricity generation'!F$3:F$73)</f>
        <v>1.0504533942443271E-3</v>
      </c>
      <c r="G67">
        <f>'Total electricity generation'!G67/SUM('Total electricity generation'!G$3:G$73)</f>
        <v>1.1139665225867032E-3</v>
      </c>
      <c r="H67">
        <f>'Total electricity generation'!H67/SUM('Total electricity generation'!H$3:H$73)</f>
        <v>1.179249667240239E-3</v>
      </c>
      <c r="I67">
        <f>'Total electricity generation'!I67/SUM('Total electricity generation'!I$3:I$73)</f>
        <v>1.2051735318408987E-3</v>
      </c>
      <c r="J67">
        <f>'Total electricity generation'!J67/SUM('Total electricity generation'!J$3:J$73)</f>
        <v>1.2485911969781793E-3</v>
      </c>
      <c r="K67">
        <f>'Total electricity generation'!K67/SUM('Total electricity generation'!K$3:K$73)</f>
        <v>1.2893819479033145E-3</v>
      </c>
      <c r="L67">
        <f>'Total electricity generation'!L67/SUM('Total electricity generation'!L$3:L$73)</f>
        <v>1.3051101297141467E-3</v>
      </c>
      <c r="M67">
        <f>'Total electricity generation'!M67/SUM('Total electricity generation'!M$3:M$73)</f>
        <v>1.2916098046622498E-3</v>
      </c>
      <c r="N67">
        <f>'Total electricity generation'!N67/SUM('Total electricity generation'!N$3:N$73)</f>
        <v>1.3879880859591343E-3</v>
      </c>
      <c r="O67">
        <f>'Total electricity generation'!O67/SUM('Total electricity generation'!O$3:O$73)</f>
        <v>1.3835940820541789E-3</v>
      </c>
      <c r="P67">
        <f>'Total electricity generation'!P67/SUM('Total electricity generation'!P$3:P$73)</f>
        <v>1.3860804959502694E-3</v>
      </c>
      <c r="Q67">
        <f>'Total electricity generation'!Q67/SUM('Total electricity generation'!Q$3:Q$73)</f>
        <v>1.3874219310273941E-3</v>
      </c>
      <c r="R67">
        <f>'Total electricity generation'!R67/SUM('Total electricity generation'!R$3:R$73)</f>
        <v>1.3991600886774005E-3</v>
      </c>
      <c r="S67">
        <f>'Total electricity generation'!S67/SUM('Total electricity generation'!S$3:S$73)</f>
        <v>1.4138424792094957E-3</v>
      </c>
      <c r="T67">
        <f>'Total electricity generation'!T67/SUM('Total electricity generation'!T$3:T$73)</f>
        <v>1.4323857441534615E-3</v>
      </c>
      <c r="U67">
        <f>'Total electricity generation'!U67/SUM('Total electricity generation'!U$3:U$73)</f>
        <v>1.45362524086332E-3</v>
      </c>
      <c r="V67">
        <f>'Total electricity generation'!V67/SUM('Total electricity generation'!V$3:V$73)</f>
        <v>1.4769676506768514E-3</v>
      </c>
      <c r="W67">
        <f>'Total electricity generation'!W67/SUM('Total electricity generation'!W$3:W$73)</f>
        <v>1.4967771682870533E-3</v>
      </c>
      <c r="X67">
        <f>'Total electricity generation'!X67/SUM('Total electricity generation'!X$3:X$73)</f>
        <v>1.5057360840341374E-3</v>
      </c>
      <c r="Y67">
        <f>'Total electricity generation'!Y67/SUM('Total electricity generation'!Y$3:Y$73)</f>
        <v>1.507540597430125E-3</v>
      </c>
      <c r="Z67">
        <f>'Total electricity generation'!Z67/SUM('Total electricity generation'!Z$3:Z$73)</f>
        <v>1.5087031108168823E-3</v>
      </c>
      <c r="AA67">
        <f>'Total electricity generation'!AA67/SUM('Total electricity generation'!AA$3:AA$73)</f>
        <v>1.515150522802566E-3</v>
      </c>
      <c r="AB67">
        <f>'Total electricity generation'!AB67/SUM('Total electricity generation'!AB$3:AB$73)</f>
        <v>1.5328698306989036E-3</v>
      </c>
      <c r="AC67">
        <f>'Total electricity generation'!AC67/SUM('Total electricity generation'!AC$3:AC$73)</f>
        <v>1.560966638359525E-3</v>
      </c>
      <c r="AD67">
        <f>'Total electricity generation'!AD67/SUM('Total electricity generation'!AD$3:AD$73)</f>
        <v>1.598312466785057E-3</v>
      </c>
      <c r="AE67">
        <f>'Total electricity generation'!AE67/SUM('Total electricity generation'!AE$3:AE$73)</f>
        <v>1.6419155237680767E-3</v>
      </c>
      <c r="AF67">
        <f>'Total electricity generation'!AF67/SUM('Total electricity generation'!AF$3:AF$73)</f>
        <v>1.6871428353209949E-3</v>
      </c>
      <c r="AG67">
        <f>'Total electricity generation'!AG67/SUM('Total electricity generation'!AG$3:AG$73)</f>
        <v>1.7292752781179917E-3</v>
      </c>
      <c r="AH67">
        <f>'Total electricity generation'!AH67/SUM('Total electricity generation'!AH$3:AH$73)</f>
        <v>1.7659855669643445E-3</v>
      </c>
      <c r="AI67">
        <f>'Total electricity generation'!AI67/SUM('Total electricity generation'!AI$3:AI$73)</f>
        <v>1.7970277603913045E-3</v>
      </c>
      <c r="AJ67">
        <f>'Total electricity generation'!AJ67/SUM('Total electricity generation'!AJ$3:AJ$73)</f>
        <v>1.8234563432257824E-3</v>
      </c>
      <c r="AK67">
        <f>'Total electricity generation'!AK67/SUM('Total electricity generation'!AK$3:AK$73)</f>
        <v>1.8484084843038802E-3</v>
      </c>
      <c r="AL67">
        <f>'Total electricity generation'!AL67/SUM('Total electricity generation'!AL$3:AL$73)</f>
        <v>1.8741580225099662E-3</v>
      </c>
      <c r="AM67">
        <f>'Total electricity generation'!AM67/SUM('Total electricity generation'!AM$3:AM$73)</f>
        <v>1.9017669328443242E-3</v>
      </c>
      <c r="AN67">
        <f>'Total electricity generation'!AN67/SUM('Total electricity generation'!AN$3:AN$73)</f>
        <v>1.9318331024279741E-3</v>
      </c>
      <c r="AO67">
        <f>'Total electricity generation'!AO67/SUM('Total electricity generation'!AO$3:AO$73)</f>
        <v>1.9651196607227395E-3</v>
      </c>
      <c r="AP67">
        <f>'Total electricity generation'!AP67/SUM('Total electricity generation'!AP$3:AP$73)</f>
        <v>2.0015134779439838E-3</v>
      </c>
    </row>
    <row r="68" spans="1:42" x14ac:dyDescent="0.3">
      <c r="A68" t="s">
        <v>143</v>
      </c>
      <c r="B68">
        <f>'Total electricity generation'!B68/SUM('Total electricity generation'!B$3:B$73)</f>
        <v>1.7952445710148371E-3</v>
      </c>
      <c r="C68">
        <f>'Total electricity generation'!C68/SUM('Total electricity generation'!C$3:C$73)</f>
        <v>1.7971516424813104E-3</v>
      </c>
      <c r="D68">
        <f>'Total electricity generation'!D68/SUM('Total electricity generation'!D$3:D$73)</f>
        <v>1.7222793789403268E-3</v>
      </c>
      <c r="E68">
        <f>'Total electricity generation'!E68/SUM('Total electricity generation'!E$3:E$73)</f>
        <v>1.7377386601653208E-3</v>
      </c>
      <c r="F68">
        <f>'Total electricity generation'!F68/SUM('Total electricity generation'!F$3:F$73)</f>
        <v>1.8890384462000454E-3</v>
      </c>
      <c r="G68">
        <f>'Total electricity generation'!G68/SUM('Total electricity generation'!G$3:G$73)</f>
        <v>1.9198668624897453E-3</v>
      </c>
      <c r="H68">
        <f>'Total electricity generation'!H68/SUM('Total electricity generation'!H$3:H$73)</f>
        <v>1.7003677654353641E-3</v>
      </c>
      <c r="I68">
        <f>'Total electricity generation'!I68/SUM('Total electricity generation'!I$3:I$73)</f>
        <v>1.7447321534757375E-3</v>
      </c>
      <c r="J68">
        <f>'Total electricity generation'!J68/SUM('Total electricity generation'!J$3:J$73)</f>
        <v>1.8039897043448476E-3</v>
      </c>
      <c r="K68">
        <f>'Total electricity generation'!K68/SUM('Total electricity generation'!K$3:K$73)</f>
        <v>1.7491395139665243E-3</v>
      </c>
      <c r="L68">
        <f>'Total electricity generation'!L68/SUM('Total electricity generation'!L$3:L$73)</f>
        <v>1.6997462878860091E-3</v>
      </c>
      <c r="M68">
        <f>'Total electricity generation'!M68/SUM('Total electricity generation'!M$3:M$73)</f>
        <v>1.7374208542420833E-3</v>
      </c>
      <c r="N68">
        <f>'Total electricity generation'!N68/SUM('Total electricity generation'!N$3:N$73)</f>
        <v>1.7896670268226476E-3</v>
      </c>
      <c r="O68">
        <f>'Total electricity generation'!O68/SUM('Total electricity generation'!O$3:O$73)</f>
        <v>1.7966163429472333E-3</v>
      </c>
      <c r="P68">
        <f>'Total electricity generation'!P68/SUM('Total electricity generation'!P$3:P$73)</f>
        <v>1.8138287249241576E-3</v>
      </c>
      <c r="Q68">
        <f>'Total electricity generation'!Q68/SUM('Total electricity generation'!Q$3:Q$73)</f>
        <v>1.8253861143831397E-3</v>
      </c>
      <c r="R68">
        <f>'Total electricity generation'!R68/SUM('Total electricity generation'!R$3:R$73)</f>
        <v>1.8510660942282204E-3</v>
      </c>
      <c r="S68">
        <f>'Total electricity generation'!S68/SUM('Total electricity generation'!S$3:S$73)</f>
        <v>1.8763837778739086E-3</v>
      </c>
      <c r="T68">
        <f>'Total electricity generation'!T68/SUM('Total electricity generation'!T$3:T$73)</f>
        <v>1.9021745074531047E-3</v>
      </c>
      <c r="U68">
        <f>'Total electricity generation'!U68/SUM('Total electricity generation'!U$3:U$73)</f>
        <v>1.9291663618191616E-3</v>
      </c>
      <c r="V68">
        <f>'Total electricity generation'!V68/SUM('Total electricity generation'!V$3:V$73)</f>
        <v>1.9570546462150933E-3</v>
      </c>
      <c r="W68">
        <f>'Total electricity generation'!W68/SUM('Total electricity generation'!W$3:W$73)</f>
        <v>1.993155932199253E-3</v>
      </c>
      <c r="X68">
        <f>'Total electricity generation'!X68/SUM('Total electricity generation'!X$3:X$73)</f>
        <v>2.0295106582836593E-3</v>
      </c>
      <c r="Y68">
        <f>'Total electricity generation'!Y68/SUM('Total electricity generation'!Y$3:Y$73)</f>
        <v>2.0663960273447366E-3</v>
      </c>
      <c r="Z68">
        <f>'Total electricity generation'!Z68/SUM('Total electricity generation'!Z$3:Z$73)</f>
        <v>2.1037423959936372E-3</v>
      </c>
      <c r="AA68">
        <f>'Total electricity generation'!AA68/SUM('Total electricity generation'!AA$3:AA$73)</f>
        <v>2.1415755526851543E-3</v>
      </c>
      <c r="AB68">
        <f>'Total electricity generation'!AB68/SUM('Total electricity generation'!AB$3:AB$73)</f>
        <v>2.1845497519520736E-3</v>
      </c>
      <c r="AC68">
        <f>'Total electricity generation'!AC68/SUM('Total electricity generation'!AC$3:AC$73)</f>
        <v>2.2282212248106049E-3</v>
      </c>
      <c r="AD68">
        <f>'Total electricity generation'!AD68/SUM('Total electricity generation'!AD$3:AD$73)</f>
        <v>2.2727241603316332E-3</v>
      </c>
      <c r="AE68">
        <f>'Total electricity generation'!AE68/SUM('Total electricity generation'!AE$3:AE$73)</f>
        <v>2.3179231197679928E-3</v>
      </c>
      <c r="AF68">
        <f>'Total electricity generation'!AF68/SUM('Total electricity generation'!AF$3:AF$73)</f>
        <v>2.3638588651241658E-3</v>
      </c>
      <c r="AG68">
        <f>'Total electricity generation'!AG68/SUM('Total electricity generation'!AG$3:AG$73)</f>
        <v>2.4100278117731946E-3</v>
      </c>
      <c r="AH68">
        <f>'Total electricity generation'!AH68/SUM('Total electricity generation'!AH$3:AH$73)</f>
        <v>2.4571990958217019E-3</v>
      </c>
      <c r="AI68">
        <f>'Total electricity generation'!AI68/SUM('Total electricity generation'!AI$3:AI$73)</f>
        <v>2.5049072599821788E-3</v>
      </c>
      <c r="AJ68">
        <f>'Total electricity generation'!AJ68/SUM('Total electricity generation'!AJ$3:AJ$73)</f>
        <v>2.5529516551403308E-3</v>
      </c>
      <c r="AK68">
        <f>'Total electricity generation'!AK68/SUM('Total electricity generation'!AK$3:AK$73)</f>
        <v>2.6020848569523222E-3</v>
      </c>
      <c r="AL68">
        <f>'Total electricity generation'!AL68/SUM('Total electricity generation'!AL$3:AL$73)</f>
        <v>2.6516774151040916E-3</v>
      </c>
      <c r="AM68">
        <f>'Total electricity generation'!AM68/SUM('Total electricity generation'!AM$3:AM$73)</f>
        <v>2.7010527770305009E-3</v>
      </c>
      <c r="AN68">
        <f>'Total electricity generation'!AN68/SUM('Total electricity generation'!AN$3:AN$73)</f>
        <v>2.7514260711703873E-3</v>
      </c>
      <c r="AO68">
        <f>'Total electricity generation'!AO68/SUM('Total electricity generation'!AO$3:AO$73)</f>
        <v>2.8026477151795533E-3</v>
      </c>
      <c r="AP68">
        <f>'Total electricity generation'!AP68/SUM('Total electricity generation'!AP$3:AP$73)</f>
        <v>2.8549836213040327E-3</v>
      </c>
    </row>
    <row r="69" spans="1:42" x14ac:dyDescent="0.3">
      <c r="A69" t="s">
        <v>144</v>
      </c>
      <c r="B69">
        <f>'Total electricity generation'!B69/SUM('Total electricity generation'!B$3:B$73)</f>
        <v>7.4443831142794736E-3</v>
      </c>
      <c r="C69">
        <f>'Total electricity generation'!C69/SUM('Total electricity generation'!C$3:C$73)</f>
        <v>7.0589435073734547E-3</v>
      </c>
      <c r="D69">
        <f>'Total electricity generation'!D69/SUM('Total electricity generation'!D$3:D$73)</f>
        <v>7.2185313047350135E-3</v>
      </c>
      <c r="E69">
        <f>'Total electricity generation'!E69/SUM('Total electricity generation'!E$3:E$73)</f>
        <v>7.1731352860586817E-3</v>
      </c>
      <c r="F69">
        <f>'Total electricity generation'!F69/SUM('Total electricity generation'!F$3:F$73)</f>
        <v>7.2957225329845447E-3</v>
      </c>
      <c r="G69">
        <f>'Total electricity generation'!G69/SUM('Total electricity generation'!G$3:G$73)</f>
        <v>7.6590959188517068E-3</v>
      </c>
      <c r="H69">
        <f>'Total electricity generation'!H69/SUM('Total electricity generation'!H$3:H$73)</f>
        <v>7.5739437390790606E-3</v>
      </c>
      <c r="I69">
        <f>'Total electricity generation'!I69/SUM('Total electricity generation'!I$3:I$73)</f>
        <v>7.6287484030826205E-3</v>
      </c>
      <c r="J69">
        <f>'Total electricity generation'!J69/SUM('Total electricity generation'!J$3:J$73)</f>
        <v>7.483190799928722E-3</v>
      </c>
      <c r="K69">
        <f>'Total electricity generation'!K69/SUM('Total electricity generation'!K$3:K$73)</f>
        <v>7.2978567075094201E-3</v>
      </c>
      <c r="L69">
        <f>'Total electricity generation'!L69/SUM('Total electricity generation'!L$3:L$73)</f>
        <v>7.5316112577744326E-3</v>
      </c>
      <c r="M69">
        <f>'Total electricity generation'!M69/SUM('Total electricity generation'!M$3:M$73)</f>
        <v>7.2690825769512399E-3</v>
      </c>
      <c r="N69">
        <f>'Total electricity generation'!N69/SUM('Total electricity generation'!N$3:N$73)</f>
        <v>7.1523491312925694E-3</v>
      </c>
      <c r="O69">
        <f>'Total electricity generation'!O69/SUM('Total electricity generation'!O$3:O$73)</f>
        <v>7.1943237822606919E-3</v>
      </c>
      <c r="P69">
        <f>'Total electricity generation'!P69/SUM('Total electricity generation'!P$3:P$73)</f>
        <v>7.2678421282489471E-3</v>
      </c>
      <c r="Q69">
        <f>'Total electricity generation'!Q69/SUM('Total electricity generation'!Q$3:Q$73)</f>
        <v>7.3387674443948425E-3</v>
      </c>
      <c r="R69">
        <f>'Total electricity generation'!R69/SUM('Total electricity generation'!R$3:R$73)</f>
        <v>7.4740605666659445E-3</v>
      </c>
      <c r="S69">
        <f>'Total electricity generation'!S69/SUM('Total electricity generation'!S$3:S$73)</f>
        <v>7.608899492870325E-3</v>
      </c>
      <c r="T69">
        <f>'Total electricity generation'!T69/SUM('Total electricity generation'!T$3:T$73)</f>
        <v>7.7435479555833849E-3</v>
      </c>
      <c r="U69">
        <f>'Total electricity generation'!U69/SUM('Total electricity generation'!U$3:U$73)</f>
        <v>7.8789561539009765E-3</v>
      </c>
      <c r="V69">
        <f>'Total electricity generation'!V69/SUM('Total electricity generation'!V$3:V$73)</f>
        <v>8.0194494710891188E-3</v>
      </c>
      <c r="W69">
        <f>'Total electricity generation'!W69/SUM('Total electricity generation'!W$3:W$73)</f>
        <v>8.1823431290253528E-3</v>
      </c>
      <c r="X69">
        <f>'Total electricity generation'!X69/SUM('Total electricity generation'!X$3:X$73)</f>
        <v>8.3481421786934257E-3</v>
      </c>
      <c r="Y69">
        <f>'Total electricity generation'!Y69/SUM('Total electricity generation'!Y$3:Y$73)</f>
        <v>8.5172135340684501E-3</v>
      </c>
      <c r="Z69">
        <f>'Total electricity generation'!Z69/SUM('Total electricity generation'!Z$3:Z$73)</f>
        <v>8.6895575370750568E-3</v>
      </c>
      <c r="AA69">
        <f>'Total electricity generation'!AA69/SUM('Total electricity generation'!AA$3:AA$73)</f>
        <v>8.8652408826116746E-3</v>
      </c>
      <c r="AB69">
        <f>'Total electricity generation'!AB69/SUM('Total electricity generation'!AB$3:AB$73)</f>
        <v>9.0562408608337499E-3</v>
      </c>
      <c r="AC69">
        <f>'Total electricity generation'!AC69/SUM('Total electricity generation'!AC$3:AC$73)</f>
        <v>9.2519005324860921E-3</v>
      </c>
      <c r="AD69">
        <f>'Total electricity generation'!AD69/SUM('Total electricity generation'!AD$3:AD$73)</f>
        <v>9.4527037572477504E-3</v>
      </c>
      <c r="AE69">
        <f>'Total electricity generation'!AE69/SUM('Total electricity generation'!AE$3:AE$73)</f>
        <v>9.658940857118865E-3</v>
      </c>
      <c r="AF69">
        <f>'Total electricity generation'!AF69/SUM('Total electricity generation'!AF$3:AF$73)</f>
        <v>9.8715123785727971E-3</v>
      </c>
      <c r="AG69">
        <f>'Total electricity generation'!AG69/SUM('Total electricity generation'!AG$3:AG$73)</f>
        <v>1.0090454625079563E-2</v>
      </c>
      <c r="AH69">
        <f>'Total electricity generation'!AH69/SUM('Total electricity generation'!AH$3:AH$73)</f>
        <v>1.0318803605445537E-2</v>
      </c>
      <c r="AI69">
        <f>'Total electricity generation'!AI69/SUM('Total electricity generation'!AI$3:AI$73)</f>
        <v>1.0555908257159276E-2</v>
      </c>
      <c r="AJ69">
        <f>'Total electricity generation'!AJ69/SUM('Total electricity generation'!AJ$3:AJ$73)</f>
        <v>1.0800049713317623E-2</v>
      </c>
      <c r="AK69">
        <f>'Total electricity generation'!AK69/SUM('Total electricity generation'!AK$3:AK$73)</f>
        <v>1.1053303557569715E-2</v>
      </c>
      <c r="AL69">
        <f>'Total electricity generation'!AL69/SUM('Total electricity generation'!AL$3:AL$73)</f>
        <v>1.13118746119073E-2</v>
      </c>
      <c r="AM69">
        <f>'Total electricity generation'!AM69/SUM('Total electricity generation'!AM$3:AM$73)</f>
        <v>1.1570525078434925E-2</v>
      </c>
      <c r="AN69">
        <f>'Total electricity generation'!AN69/SUM('Total electricity generation'!AN$3:AN$73)</f>
        <v>1.1832421206214583E-2</v>
      </c>
      <c r="AO69">
        <f>'Total electricity generation'!AO69/SUM('Total electricity generation'!AO$3:AO$73)</f>
        <v>1.2096169875443989E-2</v>
      </c>
      <c r="AP69">
        <f>'Total electricity generation'!AP69/SUM('Total electricity generation'!AP$3:AP$73)</f>
        <v>1.236272430737397E-2</v>
      </c>
    </row>
    <row r="70" spans="1:42" x14ac:dyDescent="0.3">
      <c r="A70" t="s">
        <v>145</v>
      </c>
      <c r="B70">
        <f>'Total electricity generation'!B70/SUM('Total electricity generation'!B$3:B$73)</f>
        <v>3.6834829038020041E-4</v>
      </c>
      <c r="C70">
        <f>'Total electricity generation'!C70/SUM('Total electricity generation'!C$3:C$73)</f>
        <v>3.5628098277154833E-4</v>
      </c>
      <c r="D70">
        <f>'Total electricity generation'!D70/SUM('Total electricity generation'!D$3:D$73)</f>
        <v>3.3460071546141668E-4</v>
      </c>
      <c r="E70">
        <f>'Total electricity generation'!E70/SUM('Total electricity generation'!E$3:E$73)</f>
        <v>3.561170347610091E-4</v>
      </c>
      <c r="F70">
        <f>'Total electricity generation'!F70/SUM('Total electricity generation'!F$3:F$73)</f>
        <v>3.6874605348046873E-4</v>
      </c>
      <c r="G70">
        <f>'Total electricity generation'!G70/SUM('Total electricity generation'!G$3:G$73)</f>
        <v>3.6844179385495492E-4</v>
      </c>
      <c r="H70">
        <f>'Total electricity generation'!H70/SUM('Total electricity generation'!H$3:H$73)</f>
        <v>3.6547621774649162E-4</v>
      </c>
      <c r="I70">
        <f>'Total electricity generation'!I70/SUM('Total electricity generation'!I$3:I$73)</f>
        <v>3.6928008943796933E-4</v>
      </c>
      <c r="J70">
        <f>'Total electricity generation'!J70/SUM('Total electricity generation'!J$3:J$73)</f>
        <v>4.0694681840271484E-4</v>
      </c>
      <c r="K70">
        <f>'Total electricity generation'!K70/SUM('Total electricity generation'!K$3:K$73)</f>
        <v>4.3734173542772832E-4</v>
      </c>
      <c r="L70">
        <f>'Total electricity generation'!L70/SUM('Total electricity generation'!L$3:L$73)</f>
        <v>4.6568203797412773E-4</v>
      </c>
      <c r="M70">
        <f>'Total electricity generation'!M70/SUM('Total electricity generation'!M$3:M$73)</f>
        <v>4.6215341309718914E-4</v>
      </c>
      <c r="N70">
        <f>'Total electricity generation'!N70/SUM('Total electricity generation'!N$3:N$73)</f>
        <v>4.5378323192536306E-4</v>
      </c>
      <c r="O70">
        <f>'Total electricity generation'!O70/SUM('Total electricity generation'!O$3:O$73)</f>
        <v>4.5111736654418716E-4</v>
      </c>
      <c r="P70">
        <f>'Total electricity generation'!P70/SUM('Total electricity generation'!P$3:P$73)</f>
        <v>4.4862392091995883E-4</v>
      </c>
      <c r="Q70">
        <f>'Total electricity generation'!Q70/SUM('Total electricity generation'!Q$3:Q$73)</f>
        <v>4.4764404351959843E-4</v>
      </c>
      <c r="R70">
        <f>'Total electricity generation'!R70/SUM('Total electricity generation'!R$3:R$73)</f>
        <v>4.4851290268525302E-4</v>
      </c>
      <c r="S70">
        <f>'Total electricity generation'!S70/SUM('Total electricity generation'!S$3:S$73)</f>
        <v>4.4922326657607302E-4</v>
      </c>
      <c r="T70">
        <f>'Total electricity generation'!T70/SUM('Total electricity generation'!T$3:T$73)</f>
        <v>4.4984554082926878E-4</v>
      </c>
      <c r="U70">
        <f>'Total electricity generation'!U70/SUM('Total electricity generation'!U$3:U$73)</f>
        <v>4.5037138879887035E-4</v>
      </c>
      <c r="V70">
        <f>'Total electricity generation'!V70/SUM('Total electricity generation'!V$3:V$73)</f>
        <v>4.5099441411246586E-4</v>
      </c>
      <c r="W70">
        <f>'Total electricity generation'!W70/SUM('Total electricity generation'!W$3:W$73)</f>
        <v>4.5378243594149602E-4</v>
      </c>
      <c r="X70">
        <f>'Total electricity generation'!X70/SUM('Total electricity generation'!X$3:X$73)</f>
        <v>4.5655575047762968E-4</v>
      </c>
      <c r="Y70">
        <f>'Total electricity generation'!Y70/SUM('Total electricity generation'!Y$3:Y$73)</f>
        <v>4.5937147781688109E-4</v>
      </c>
      <c r="Z70">
        <f>'Total electricity generation'!Z70/SUM('Total electricity generation'!Z$3:Z$73)</f>
        <v>4.6218720895859893E-4</v>
      </c>
      <c r="AA70">
        <f>'Total electricity generation'!AA70/SUM('Total electricity generation'!AA$3:AA$73)</f>
        <v>4.6502804978264234E-4</v>
      </c>
      <c r="AB70">
        <f>'Total electricity generation'!AB70/SUM('Total electricity generation'!AB$3:AB$73)</f>
        <v>4.6900188589817359E-4</v>
      </c>
      <c r="AC70">
        <f>'Total electricity generation'!AC70/SUM('Total electricity generation'!AC$3:AC$73)</f>
        <v>4.7307032237725653E-4</v>
      </c>
      <c r="AD70">
        <f>'Total electricity generation'!AD70/SUM('Total electricity generation'!AD$3:AD$73)</f>
        <v>4.7723086786148687E-4</v>
      </c>
      <c r="AE70">
        <f>'Total electricity generation'!AE70/SUM('Total electricity generation'!AE$3:AE$73)</f>
        <v>4.8150725338897782E-4</v>
      </c>
      <c r="AF70">
        <f>'Total electricity generation'!AF70/SUM('Total electricity generation'!AF$3:AF$73)</f>
        <v>4.8591485588976341E-4</v>
      </c>
      <c r="AG70">
        <f>'Total electricity generation'!AG70/SUM('Total electricity generation'!AG$3:AG$73)</f>
        <v>4.9035845699418261E-4</v>
      </c>
      <c r="AH70">
        <f>'Total electricity generation'!AH70/SUM('Total electricity generation'!AH$3:AH$73)</f>
        <v>4.950140286664066E-4</v>
      </c>
      <c r="AI70">
        <f>'Total electricity generation'!AI70/SUM('Total electricity generation'!AI$3:AI$73)</f>
        <v>4.998443249541718E-4</v>
      </c>
      <c r="AJ70">
        <f>'Total electricity generation'!AJ70/SUM('Total electricity generation'!AJ$3:AJ$73)</f>
        <v>5.047536989735915E-4</v>
      </c>
      <c r="AK70">
        <f>'Total electricity generation'!AK70/SUM('Total electricity generation'!AK$3:AK$73)</f>
        <v>5.0978777094212756E-4</v>
      </c>
      <c r="AL70">
        <f>'Total electricity generation'!AL70/SUM('Total electricity generation'!AL$3:AL$73)</f>
        <v>5.1513941614026674E-4</v>
      </c>
      <c r="AM70">
        <f>'Total electricity generation'!AM70/SUM('Total electricity generation'!AM$3:AM$73)</f>
        <v>5.2051072366787971E-4</v>
      </c>
      <c r="AN70">
        <f>'Total electricity generation'!AN70/SUM('Total electricity generation'!AN$3:AN$73)</f>
        <v>5.2612868031255916E-4</v>
      </c>
      <c r="AO70">
        <f>'Total electricity generation'!AO70/SUM('Total electricity generation'!AO$3:AO$73)</f>
        <v>5.3203256977158722E-4</v>
      </c>
      <c r="AP70">
        <f>'Total electricity generation'!AP70/SUM('Total electricity generation'!AP$3:AP$73)</f>
        <v>5.3825277288021244E-4</v>
      </c>
    </row>
    <row r="71" spans="1:42" x14ac:dyDescent="0.3">
      <c r="A71" t="s">
        <v>146</v>
      </c>
      <c r="B71">
        <f>'Total electricity generation'!B71/SUM('Total electricity generation'!B$3:B$73)</f>
        <v>3.3277817650228408E-4</v>
      </c>
      <c r="C71">
        <f>'Total electricity generation'!C71/SUM('Total electricity generation'!C$3:C$73)</f>
        <v>3.4741782408913958E-4</v>
      </c>
      <c r="D71">
        <f>'Total electricity generation'!D71/SUM('Total electricity generation'!D$3:D$73)</f>
        <v>3.5064502197001062E-4</v>
      </c>
      <c r="E71">
        <f>'Total electricity generation'!E71/SUM('Total electricity generation'!E$3:E$73)</f>
        <v>3.6887970926580854E-4</v>
      </c>
      <c r="F71">
        <f>'Total electricity generation'!F71/SUM('Total electricity generation'!F$3:F$73)</f>
        <v>3.8324426007985899E-4</v>
      </c>
      <c r="G71">
        <f>'Total electricity generation'!G71/SUM('Total electricity generation'!G$3:G$73)</f>
        <v>4.0066090537923789E-4</v>
      </c>
      <c r="H71">
        <f>'Total electricity generation'!H71/SUM('Total electricity generation'!H$3:H$73)</f>
        <v>4.1026595008876872E-4</v>
      </c>
      <c r="I71">
        <f>'Total electricity generation'!I71/SUM('Total electricity generation'!I$3:I$73)</f>
        <v>4.0195369421896761E-4</v>
      </c>
      <c r="J71">
        <f>'Total electricity generation'!J71/SUM('Total electricity generation'!J$3:J$73)</f>
        <v>4.2328858606831559E-4</v>
      </c>
      <c r="K71">
        <f>'Total electricity generation'!K71/SUM('Total electricity generation'!K$3:K$73)</f>
        <v>4.2767300504713436E-4</v>
      </c>
      <c r="L71">
        <f>'Total electricity generation'!L71/SUM('Total electricity generation'!L$3:L$73)</f>
        <v>4.3548300785258546E-4</v>
      </c>
      <c r="M71">
        <f>'Total electricity generation'!M71/SUM('Total electricity generation'!M$3:M$73)</f>
        <v>4.3454791906148807E-4</v>
      </c>
      <c r="N71">
        <f>'Total electricity generation'!N71/SUM('Total electricity generation'!N$3:N$73)</f>
        <v>4.4385860929619335E-4</v>
      </c>
      <c r="O71">
        <f>'Total electricity generation'!O71/SUM('Total electricity generation'!O$3:O$73)</f>
        <v>4.4457538576066094E-4</v>
      </c>
      <c r="P71">
        <f>'Total electricity generation'!P71/SUM('Total electricity generation'!P$3:P$73)</f>
        <v>4.4671704710739509E-4</v>
      </c>
      <c r="Q71">
        <f>'Total electricity generation'!Q71/SUM('Total electricity generation'!Q$3:Q$73)</f>
        <v>4.4894574586935545E-4</v>
      </c>
      <c r="R71">
        <f>'Total electricity generation'!R71/SUM('Total electricity generation'!R$3:R$73)</f>
        <v>4.5424349586774482E-4</v>
      </c>
      <c r="S71">
        <f>'Total electricity generation'!S71/SUM('Total electricity generation'!S$3:S$73)</f>
        <v>4.5962351736321476E-4</v>
      </c>
      <c r="T71">
        <f>'Total electricity generation'!T71/SUM('Total electricity generation'!T$3:T$73)</f>
        <v>4.6513370534726189E-4</v>
      </c>
      <c r="U71">
        <f>'Total electricity generation'!U71/SUM('Total electricity generation'!U$3:U$73)</f>
        <v>4.708263246743185E-4</v>
      </c>
      <c r="V71">
        <f>'Total electricity generation'!V71/SUM('Total electricity generation'!V$3:V$73)</f>
        <v>4.7697868871876206E-4</v>
      </c>
      <c r="W71">
        <f>'Total electricity generation'!W71/SUM('Total electricity generation'!W$3:W$73)</f>
        <v>4.8545905235210343E-4</v>
      </c>
      <c r="X71">
        <f>'Total electricity generation'!X71/SUM('Total electricity generation'!X$3:X$73)</f>
        <v>4.9434154052261357E-4</v>
      </c>
      <c r="Y71">
        <f>'Total electricity generation'!Y71/SUM('Total electricity generation'!Y$3:Y$73)</f>
        <v>5.036700849797883E-4</v>
      </c>
      <c r="Z71">
        <f>'Total electricity generation'!Z71/SUM('Total electricity generation'!Z$3:Z$73)</f>
        <v>5.1337280862424634E-4</v>
      </c>
      <c r="AA71">
        <f>'Total electricity generation'!AA71/SUM('Total electricity generation'!AA$3:AA$73)</f>
        <v>5.2365440215209431E-4</v>
      </c>
      <c r="AB71">
        <f>'Total electricity generation'!AB71/SUM('Total electricity generation'!AB$3:AB$73)</f>
        <v>5.3543914570102337E-4</v>
      </c>
      <c r="AC71">
        <f>'Total electricity generation'!AC71/SUM('Total electricity generation'!AC$3:AC$73)</f>
        <v>5.4774637983077946E-4</v>
      </c>
      <c r="AD71">
        <f>'Total electricity generation'!AD71/SUM('Total electricity generation'!AD$3:AD$73)</f>
        <v>5.6050403354286724E-4</v>
      </c>
      <c r="AE71">
        <f>'Total electricity generation'!AE71/SUM('Total electricity generation'!AE$3:AE$73)</f>
        <v>5.7376823961775348E-4</v>
      </c>
      <c r="AF71">
        <f>'Total electricity generation'!AF71/SUM('Total electricity generation'!AF$3:AF$73)</f>
        <v>5.8739941384351149E-4</v>
      </c>
      <c r="AG71">
        <f>'Total electricity generation'!AG71/SUM('Total electricity generation'!AG$3:AG$73)</f>
        <v>6.0131798102842308E-4</v>
      </c>
      <c r="AH71">
        <f>'Total electricity generation'!AH71/SUM('Total electricity generation'!AH$3:AH$73)</f>
        <v>6.1563293648351028E-4</v>
      </c>
      <c r="AI71">
        <f>'Total electricity generation'!AI71/SUM('Total electricity generation'!AI$3:AI$73)</f>
        <v>6.3012658355729239E-4</v>
      </c>
      <c r="AJ71">
        <f>'Total electricity generation'!AJ71/SUM('Total electricity generation'!AJ$3:AJ$73)</f>
        <v>6.4483075486947714E-4</v>
      </c>
      <c r="AK71">
        <f>'Total electricity generation'!AK71/SUM('Total electricity generation'!AK$3:AK$73)</f>
        <v>6.5969306580070325E-4</v>
      </c>
      <c r="AL71">
        <f>'Total electricity generation'!AL71/SUM('Total electricity generation'!AL$3:AL$73)</f>
        <v>6.7436413126410093E-4</v>
      </c>
      <c r="AM71">
        <f>'Total electricity generation'!AM71/SUM('Total electricity generation'!AM$3:AM$73)</f>
        <v>6.8848054259176708E-4</v>
      </c>
      <c r="AN71">
        <f>'Total electricity generation'!AN71/SUM('Total electricity generation'!AN$3:AN$73)</f>
        <v>7.024687362794875E-4</v>
      </c>
      <c r="AO71">
        <f>'Total electricity generation'!AO71/SUM('Total electricity generation'!AO$3:AO$73)</f>
        <v>7.1609010694545147E-4</v>
      </c>
      <c r="AP71">
        <f>'Total electricity generation'!AP71/SUM('Total electricity generation'!AP$3:AP$73)</f>
        <v>7.2954759746365167E-4</v>
      </c>
    </row>
    <row r="72" spans="1:42" x14ac:dyDescent="0.3">
      <c r="A72" t="s">
        <v>147</v>
      </c>
      <c r="B72">
        <f>'Total electricity generation'!B72/SUM('Total electricity generation'!B$3:B$73)</f>
        <v>4.3683354623743308E-3</v>
      </c>
      <c r="C72">
        <f>'Total electricity generation'!C72/SUM('Total electricity generation'!C$3:C$73)</f>
        <v>4.4602383872992786E-3</v>
      </c>
      <c r="D72">
        <f>'Total electricity generation'!D72/SUM('Total electricity generation'!D$3:D$73)</f>
        <v>4.6692008930297691E-3</v>
      </c>
      <c r="E72">
        <f>'Total electricity generation'!E72/SUM('Total electricity generation'!E$3:E$73)</f>
        <v>4.6950848901518875E-3</v>
      </c>
      <c r="F72">
        <f>'Total electricity generation'!F72/SUM('Total electricity generation'!F$3:F$73)</f>
        <v>4.8554410578331526E-3</v>
      </c>
      <c r="G72">
        <f>'Total electricity generation'!G72/SUM('Total electricity generation'!G$3:G$73)</f>
        <v>5.241592698975399E-3</v>
      </c>
      <c r="H72">
        <f>'Total electricity generation'!H72/SUM('Total electricity generation'!H$3:H$73)</f>
        <v>5.1833317661424683E-3</v>
      </c>
      <c r="I72">
        <f>'Total electricity generation'!I72/SUM('Total electricity generation'!I$3:I$73)</f>
        <v>5.221643570017042E-3</v>
      </c>
      <c r="J72">
        <f>'Total electricity generation'!J72/SUM('Total electricity generation'!J$3:J$73)</f>
        <v>5.0978259006117799E-3</v>
      </c>
      <c r="K72">
        <f>'Total electricity generation'!K72/SUM('Total electricity generation'!K$3:K$73)</f>
        <v>5.1237986861631174E-3</v>
      </c>
      <c r="L72">
        <f>'Total electricity generation'!L72/SUM('Total electricity generation'!L$3:L$73)</f>
        <v>5.1103840887181803E-3</v>
      </c>
      <c r="M72">
        <f>'Total electricity generation'!M72/SUM('Total electricity generation'!M$3:M$73)</f>
        <v>5.2236415961840268E-3</v>
      </c>
      <c r="N72">
        <f>'Total electricity generation'!N72/SUM('Total electricity generation'!N$3:N$73)</f>
        <v>5.3232918251134359E-3</v>
      </c>
      <c r="O72">
        <f>'Total electricity generation'!O72/SUM('Total electricity generation'!O$3:O$73)</f>
        <v>5.2612277607793677E-3</v>
      </c>
      <c r="P72">
        <f>'Total electricity generation'!P72/SUM('Total electricity generation'!P$3:P$73)</f>
        <v>5.2073490225286491E-3</v>
      </c>
      <c r="Q72">
        <f>'Total electricity generation'!Q72/SUM('Total electricity generation'!Q$3:Q$73)</f>
        <v>5.1558143785657515E-3</v>
      </c>
      <c r="R72">
        <f>'Total electricity generation'!R72/SUM('Total electricity generation'!R$3:R$73)</f>
        <v>5.2444279477303537E-3</v>
      </c>
      <c r="S72">
        <f>'Total electricity generation'!S72/SUM('Total electricity generation'!S$3:S$73)</f>
        <v>5.3403482808871781E-3</v>
      </c>
      <c r="T72">
        <f>'Total electricity generation'!T72/SUM('Total electricity generation'!T$3:T$73)</f>
        <v>5.4422288684466899E-3</v>
      </c>
      <c r="U72">
        <f>'Total electricity generation'!U72/SUM('Total electricity generation'!U$3:U$73)</f>
        <v>5.5505667058046038E-3</v>
      </c>
      <c r="V72">
        <f>'Total electricity generation'!V72/SUM('Total electricity generation'!V$3:V$73)</f>
        <v>5.6673879824110408E-3</v>
      </c>
      <c r="W72">
        <f>'Total electricity generation'!W72/SUM('Total electricity generation'!W$3:W$73)</f>
        <v>5.7648145665835232E-3</v>
      </c>
      <c r="X72">
        <f>'Total electricity generation'!X72/SUM('Total electricity generation'!X$3:X$73)</f>
        <v>5.8681772822067914E-3</v>
      </c>
      <c r="Y72">
        <f>'Total electricity generation'!Y72/SUM('Total electricity generation'!Y$3:Y$73)</f>
        <v>5.9777343977490821E-3</v>
      </c>
      <c r="Z72">
        <f>'Total electricity generation'!Z72/SUM('Total electricity generation'!Z$3:Z$73)</f>
        <v>6.0942155840837649E-3</v>
      </c>
      <c r="AA72">
        <f>'Total electricity generation'!AA72/SUM('Total electricity generation'!AA$3:AA$73)</f>
        <v>6.216560204021151E-3</v>
      </c>
      <c r="AB72">
        <f>'Total electricity generation'!AB72/SUM('Total electricity generation'!AB$3:AB$73)</f>
        <v>6.3206347747379365E-3</v>
      </c>
      <c r="AC72">
        <f>'Total electricity generation'!AC72/SUM('Total electricity generation'!AC$3:AC$73)</f>
        <v>6.4274031130441113E-3</v>
      </c>
      <c r="AD72">
        <f>'Total electricity generation'!AD72/SUM('Total electricity generation'!AD$3:AD$73)</f>
        <v>6.5346790242096775E-3</v>
      </c>
      <c r="AE72">
        <f>'Total electricity generation'!AE72/SUM('Total electricity generation'!AE$3:AE$73)</f>
        <v>6.6413354167723804E-3</v>
      </c>
      <c r="AF72">
        <f>'Total electricity generation'!AF72/SUM('Total electricity generation'!AF$3:AF$73)</f>
        <v>6.747050836746718E-3</v>
      </c>
      <c r="AG72">
        <f>'Total electricity generation'!AG72/SUM('Total electricity generation'!AG$3:AG$73)</f>
        <v>6.8515084621496242E-3</v>
      </c>
      <c r="AH72">
        <f>'Total electricity generation'!AH72/SUM('Total electricity generation'!AH$3:AH$73)</f>
        <v>6.9564830491591787E-3</v>
      </c>
      <c r="AI72">
        <f>'Total electricity generation'!AI72/SUM('Total electricity generation'!AI$3:AI$73)</f>
        <v>7.0615531340182877E-3</v>
      </c>
      <c r="AJ72">
        <f>'Total electricity generation'!AJ72/SUM('Total electricity generation'!AJ$3:AJ$73)</f>
        <v>7.1659740447308981E-3</v>
      </c>
      <c r="AK72">
        <f>'Total electricity generation'!AK72/SUM('Total electricity generation'!AK$3:AK$73)</f>
        <v>7.2719114015985962E-3</v>
      </c>
      <c r="AL72">
        <f>'Total electricity generation'!AL72/SUM('Total electricity generation'!AL$3:AL$73)</f>
        <v>7.3782403410998613E-3</v>
      </c>
      <c r="AM72">
        <f>'Total electricity generation'!AM72/SUM('Total electricity generation'!AM$3:AM$73)</f>
        <v>7.4829950375779582E-3</v>
      </c>
      <c r="AN72">
        <f>'Total electricity generation'!AN72/SUM('Total electricity generation'!AN$3:AN$73)</f>
        <v>7.5889600176819666E-3</v>
      </c>
      <c r="AO72">
        <f>'Total electricity generation'!AO72/SUM('Total electricity generation'!AO$3:AO$73)</f>
        <v>7.6959878401260586E-3</v>
      </c>
      <c r="AP72">
        <f>'Total electricity generation'!AP72/SUM('Total electricity generation'!AP$3:AP$73)</f>
        <v>7.8046077479883742E-3</v>
      </c>
    </row>
    <row r="73" spans="1:42" x14ac:dyDescent="0.3">
      <c r="A73" t="s">
        <v>148</v>
      </c>
      <c r="B73">
        <f>'Total electricity generation'!B73/SUM('Total electricity generation'!B$3:B$73)</f>
        <v>4.3885616055598133E-3</v>
      </c>
      <c r="C73">
        <f>'Total electricity generation'!C73/SUM('Total electricity generation'!C$3:C$73)</f>
        <v>4.2781612137576122E-3</v>
      </c>
      <c r="D73">
        <f>'Total electricity generation'!D73/SUM('Total electricity generation'!D$3:D$73)</f>
        <v>4.2253670222975144E-3</v>
      </c>
      <c r="E73">
        <f>'Total electricity generation'!E73/SUM('Total electricity generation'!E$3:E$73)</f>
        <v>4.4424351563929982E-3</v>
      </c>
      <c r="F73">
        <f>'Total electricity generation'!F73/SUM('Total electricity generation'!F$3:F$73)</f>
        <v>4.457281976021737E-3</v>
      </c>
      <c r="G73">
        <f>'Total electricity generation'!G73/SUM('Total electricity generation'!G$3:G$73)</f>
        <v>4.5797224449931626E-3</v>
      </c>
      <c r="H73">
        <f>'Total electricity generation'!H73/SUM('Total electricity generation'!H$3:H$73)</f>
        <v>4.9373881465844286E-3</v>
      </c>
      <c r="I73">
        <f>'Total electricity generation'!I73/SUM('Total electricity generation'!I$3:I$73)</f>
        <v>5.0939160833548469E-3</v>
      </c>
      <c r="J73">
        <f>'Total electricity generation'!J73/SUM('Total electricity generation'!J$3:J$73)</f>
        <v>4.8173475297791004E-3</v>
      </c>
      <c r="K73">
        <f>'Total electricity generation'!K73/SUM('Total electricity generation'!K$3:K$73)</f>
        <v>4.9469003831954178E-3</v>
      </c>
      <c r="L73">
        <f>'Total electricity generation'!L73/SUM('Total electricity generation'!L$3:L$73)</f>
        <v>5.265253892718539E-3</v>
      </c>
      <c r="M73">
        <f>'Total electricity generation'!M73/SUM('Total electricity generation'!M$3:M$73)</f>
        <v>5.600990967851464E-3</v>
      </c>
      <c r="N73">
        <f>'Total electricity generation'!N73/SUM('Total electricity generation'!N$3:N$73)</f>
        <v>5.9203951470653462E-3</v>
      </c>
      <c r="O73">
        <f>'Total electricity generation'!O73/SUM('Total electricity generation'!O$3:O$73)</f>
        <v>6.0745084984655954E-3</v>
      </c>
      <c r="P73">
        <f>'Total electricity generation'!P73/SUM('Total electricity generation'!P$3:P$73)</f>
        <v>6.2556564126949894E-3</v>
      </c>
      <c r="Q73">
        <f>'Total electricity generation'!Q73/SUM('Total electricity generation'!Q$3:Q$73)</f>
        <v>6.4390841652965285E-3</v>
      </c>
      <c r="R73">
        <f>'Total electricity generation'!R73/SUM('Total electricity generation'!R$3:R$73)</f>
        <v>6.660516700546174E-3</v>
      </c>
      <c r="S73">
        <f>'Total electricity generation'!S73/SUM('Total electricity generation'!S$3:S$73)</f>
        <v>6.8902176023489985E-3</v>
      </c>
      <c r="T73">
        <f>'Total electricity generation'!T73/SUM('Total electricity generation'!T$3:T$73)</f>
        <v>7.128502365911369E-3</v>
      </c>
      <c r="U73">
        <f>'Total electricity generation'!U73/SUM('Total electricity generation'!U$3:U$73)</f>
        <v>7.3789334513155638E-3</v>
      </c>
      <c r="V73">
        <f>'Total electricity generation'!V73/SUM('Total electricity generation'!V$3:V$73)</f>
        <v>7.6406366885546388E-3</v>
      </c>
      <c r="W73">
        <f>'Total electricity generation'!W73/SUM('Total electricity generation'!W$3:W$73)</f>
        <v>7.8607056469850167E-3</v>
      </c>
      <c r="X73">
        <f>'Total electricity generation'!X73/SUM('Total electricity generation'!X$3:X$73)</f>
        <v>8.0888598140034379E-3</v>
      </c>
      <c r="Y73">
        <f>'Total electricity generation'!Y73/SUM('Total electricity generation'!Y$3:Y$73)</f>
        <v>8.3258761057019154E-3</v>
      </c>
      <c r="Z73">
        <f>'Total electricity generation'!Z73/SUM('Total electricity generation'!Z$3:Z$73)</f>
        <v>8.572098353068278E-3</v>
      </c>
      <c r="AA73">
        <f>'Total electricity generation'!AA73/SUM('Total electricity generation'!AA$3:AA$73)</f>
        <v>8.8289210221851582E-3</v>
      </c>
      <c r="AB73">
        <f>'Total electricity generation'!AB73/SUM('Total electricity generation'!AB$3:AB$73)</f>
        <v>9.054829942736561E-3</v>
      </c>
      <c r="AC73">
        <f>'Total electricity generation'!AC73/SUM('Total electricity generation'!AC$3:AC$73)</f>
        <v>9.2908251006379085E-3</v>
      </c>
      <c r="AD73">
        <f>'Total electricity generation'!AD73/SUM('Total electricity generation'!AD$3:AD$73)</f>
        <v>9.5361244474938232E-3</v>
      </c>
      <c r="AE73">
        <f>'Total electricity generation'!AE73/SUM('Total electricity generation'!AE$3:AE$73)</f>
        <v>9.7923833187900308E-3</v>
      </c>
      <c r="AF73">
        <f>'Total electricity generation'!AF73/SUM('Total electricity generation'!AF$3:AF$73)</f>
        <v>1.0055753407840968E-2</v>
      </c>
      <c r="AG73">
        <f>'Total electricity generation'!AG73/SUM('Total electricity generation'!AG$3:AG$73)</f>
        <v>1.032591851865278E-2</v>
      </c>
      <c r="AH73">
        <f>'Total electricity generation'!AH73/SUM('Total electricity generation'!AH$3:AH$73)</f>
        <v>1.0602370442711765E-2</v>
      </c>
      <c r="AI73">
        <f>'Total electricity generation'!AI73/SUM('Total electricity generation'!AI$3:AI$73)</f>
        <v>1.0880716868193927E-2</v>
      </c>
      <c r="AJ73">
        <f>'Total electricity generation'!AJ73/SUM('Total electricity generation'!AJ$3:AJ$73)</f>
        <v>1.1149368132259918E-2</v>
      </c>
      <c r="AK73">
        <f>'Total electricity generation'!AK73/SUM('Total electricity generation'!AK$3:AK$73)</f>
        <v>1.1379893113548752E-2</v>
      </c>
      <c r="AL73">
        <f>'Total electricity generation'!AL73/SUM('Total electricity generation'!AL$3:AL$73)</f>
        <v>1.1491944682653811E-2</v>
      </c>
      <c r="AM73">
        <f>'Total electricity generation'!AM73/SUM('Total electricity generation'!AM$3:AM$73)</f>
        <v>1.1887189880057696E-2</v>
      </c>
      <c r="AN73">
        <f>'Total electricity generation'!AN73/SUM('Total electricity generation'!AN$3:AN$73)</f>
        <v>1.2224974823910403E-2</v>
      </c>
      <c r="AO73">
        <f>'Total electricity generation'!AO73/SUM('Total electricity generation'!AO$3:AO$73)</f>
        <v>1.2579010686262817E-2</v>
      </c>
      <c r="AP73">
        <f>'Total electricity generation'!AP73/SUM('Total electricity generation'!AP$3:AP$73)</f>
        <v>1.2928168356301058E-2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7D50-19E0-4F35-9CDD-B40D804C3683}">
  <sheetPr>
    <tabColor theme="4"/>
  </sheetPr>
  <dimension ref="A1:AP73"/>
  <sheetViews>
    <sheetView tabSelected="1" topLeftCell="A28" workbookViewId="0">
      <selection activeCell="E32" sqref="E32"/>
    </sheetView>
  </sheetViews>
  <sheetFormatPr defaultRowHeight="15.75" x14ac:dyDescent="0.3"/>
  <cols>
    <col min="1" max="1" width="41.44140625" bestFit="1" customWidth="1"/>
  </cols>
  <sheetData>
    <row r="1" spans="1:42" x14ac:dyDescent="0.3">
      <c r="A1" t="s">
        <v>77</v>
      </c>
    </row>
    <row r="2" spans="1:42" x14ac:dyDescent="0.3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3">
      <c r="A3" t="s">
        <v>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3">
      <c r="A4" t="s">
        <v>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3">
      <c r="A5" t="s">
        <v>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3">
      <c r="A6" t="s">
        <v>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3">
      <c r="A7" t="s">
        <v>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3">
      <c r="A8" t="s">
        <v>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3">
      <c r="A9" t="s">
        <v>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3">
      <c r="A10" t="s">
        <v>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3">
      <c r="A11" t="s">
        <v>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3">
      <c r="A12" t="s">
        <v>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3">
      <c r="A13" t="s">
        <v>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3">
      <c r="A14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3">
      <c r="A15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3">
      <c r="A16" t="s">
        <v>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3">
      <c r="A17" t="s">
        <v>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3">
      <c r="A18" t="s">
        <v>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3">
      <c r="A19" t="s">
        <v>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3">
      <c r="A20" t="s">
        <v>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3">
      <c r="A21" t="s">
        <v>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3">
      <c r="A22" t="s">
        <v>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3">
      <c r="A23" t="s">
        <v>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3">
      <c r="A24" t="s">
        <v>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3">
      <c r="A25" t="s">
        <v>100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3">
      <c r="A26" t="s">
        <v>101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3">
      <c r="A27" t="s">
        <v>102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3">
      <c r="A28" t="s">
        <v>103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3">
      <c r="A29" t="s">
        <v>104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3">
      <c r="A30" t="s">
        <v>105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3">
      <c r="A31" t="s">
        <v>106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3">
      <c r="A32" t="s">
        <v>107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3">
      <c r="A33" t="s">
        <v>108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3">
      <c r="A34" t="s">
        <v>109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3">
      <c r="A35" t="s">
        <v>110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3">
      <c r="A36" t="s">
        <v>111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3">
      <c r="A37" t="s">
        <v>112</v>
      </c>
      <c r="B37">
        <v>0.15</v>
      </c>
      <c r="C37">
        <v>0.15</v>
      </c>
      <c r="D37">
        <v>0.15</v>
      </c>
      <c r="E37">
        <v>0.15</v>
      </c>
      <c r="F37">
        <v>0.15</v>
      </c>
      <c r="G37">
        <v>0.15</v>
      </c>
      <c r="H37">
        <v>0.15</v>
      </c>
      <c r="I37">
        <v>0.15</v>
      </c>
      <c r="J37">
        <v>0.15</v>
      </c>
      <c r="K37">
        <v>0.15</v>
      </c>
      <c r="L37">
        <v>0.15</v>
      </c>
      <c r="M37">
        <v>0.15</v>
      </c>
      <c r="N37">
        <v>0.15</v>
      </c>
      <c r="O37">
        <v>0.15</v>
      </c>
      <c r="P37">
        <v>0.15</v>
      </c>
      <c r="Q37">
        <v>0.15</v>
      </c>
      <c r="R37">
        <v>0.15</v>
      </c>
      <c r="S37">
        <v>0.15</v>
      </c>
      <c r="T37">
        <v>0.15</v>
      </c>
      <c r="U37">
        <v>0.15</v>
      </c>
      <c r="V37">
        <v>0.15</v>
      </c>
      <c r="W37">
        <v>0.15</v>
      </c>
      <c r="X37">
        <v>0.15</v>
      </c>
      <c r="Y37">
        <v>0.15</v>
      </c>
      <c r="Z37">
        <v>0.15</v>
      </c>
      <c r="AA37">
        <v>0.15</v>
      </c>
      <c r="AB37">
        <v>0.15</v>
      </c>
      <c r="AC37">
        <v>0.15</v>
      </c>
      <c r="AD37">
        <v>0.15</v>
      </c>
      <c r="AE37">
        <v>0.15</v>
      </c>
      <c r="AF37">
        <v>0.15</v>
      </c>
      <c r="AG37">
        <v>0.15</v>
      </c>
      <c r="AH37">
        <v>0.15</v>
      </c>
      <c r="AI37">
        <v>0.15</v>
      </c>
      <c r="AJ37">
        <v>0.15</v>
      </c>
      <c r="AK37">
        <v>0.15</v>
      </c>
      <c r="AL37">
        <v>0.15</v>
      </c>
      <c r="AM37">
        <v>0.15</v>
      </c>
      <c r="AN37">
        <v>0.15</v>
      </c>
      <c r="AO37">
        <v>0.15</v>
      </c>
      <c r="AP37">
        <v>0.15</v>
      </c>
    </row>
    <row r="38" spans="1:42" x14ac:dyDescent="0.3">
      <c r="A38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3">
      <c r="A39" t="s">
        <v>114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3">
      <c r="A40" t="s">
        <v>115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3">
      <c r="A41" t="s">
        <v>116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3">
      <c r="A42" t="s">
        <v>117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3">
      <c r="A43" t="s">
        <v>118</v>
      </c>
      <c r="B43">
        <v>0.25</v>
      </c>
      <c r="C43">
        <v>0.25</v>
      </c>
      <c r="D43">
        <v>0.25</v>
      </c>
      <c r="E43">
        <v>0.25</v>
      </c>
      <c r="F43">
        <v>0.25</v>
      </c>
      <c r="G43">
        <v>0.25</v>
      </c>
      <c r="H43">
        <v>0.25</v>
      </c>
      <c r="I43">
        <v>0.25</v>
      </c>
      <c r="J43">
        <v>0.25</v>
      </c>
      <c r="K43">
        <v>0.25</v>
      </c>
      <c r="L43">
        <v>0.25</v>
      </c>
      <c r="M43">
        <v>0.25</v>
      </c>
      <c r="N43">
        <v>0.25</v>
      </c>
      <c r="O43">
        <v>0.25</v>
      </c>
      <c r="P43">
        <v>0.25</v>
      </c>
      <c r="Q43">
        <v>0.25</v>
      </c>
      <c r="R43">
        <v>0.25</v>
      </c>
      <c r="S43">
        <v>0.25</v>
      </c>
      <c r="T43">
        <v>0.25</v>
      </c>
      <c r="U43">
        <v>0.25</v>
      </c>
      <c r="V43">
        <v>0.25</v>
      </c>
      <c r="W43">
        <v>0.25</v>
      </c>
      <c r="X43">
        <v>0.25</v>
      </c>
      <c r="Y43">
        <v>0.25</v>
      </c>
      <c r="Z43">
        <v>0.25</v>
      </c>
      <c r="AA43">
        <v>0.25</v>
      </c>
      <c r="AB43">
        <v>0.25</v>
      </c>
      <c r="AC43">
        <v>0.25</v>
      </c>
      <c r="AD43">
        <v>0.25</v>
      </c>
      <c r="AE43">
        <v>0.25</v>
      </c>
      <c r="AF43">
        <v>0.25</v>
      </c>
      <c r="AG43">
        <v>0.25</v>
      </c>
      <c r="AH43">
        <v>0.25</v>
      </c>
      <c r="AI43">
        <v>0.25</v>
      </c>
      <c r="AJ43">
        <v>0.25</v>
      </c>
      <c r="AK43">
        <v>0.25</v>
      </c>
      <c r="AL43">
        <v>0.25</v>
      </c>
      <c r="AM43">
        <v>0.25</v>
      </c>
      <c r="AN43">
        <v>0.25</v>
      </c>
      <c r="AO43">
        <v>0.25</v>
      </c>
      <c r="AP43">
        <v>0.25</v>
      </c>
    </row>
    <row r="44" spans="1:42" x14ac:dyDescent="0.3">
      <c r="A44" t="s">
        <v>119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3">
      <c r="A45" t="s">
        <v>120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3">
      <c r="A46" t="s">
        <v>121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3">
      <c r="A47" t="s">
        <v>122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3">
      <c r="A48" t="s">
        <v>123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3">
      <c r="A49" t="s">
        <v>124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3">
      <c r="A50" t="s">
        <v>125</v>
      </c>
      <c r="B50">
        <v>0.1</v>
      </c>
      <c r="C50">
        <v>0.1</v>
      </c>
      <c r="D50">
        <v>0.1</v>
      </c>
      <c r="E50">
        <v>0.1</v>
      </c>
      <c r="F50">
        <v>0.1</v>
      </c>
      <c r="G50">
        <v>0.1</v>
      </c>
      <c r="H50">
        <v>0.1</v>
      </c>
      <c r="I50">
        <v>0.1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  <c r="AL50">
        <v>0.1</v>
      </c>
      <c r="AM50">
        <v>0.1</v>
      </c>
      <c r="AN50">
        <v>0.1</v>
      </c>
      <c r="AO50">
        <v>0.1</v>
      </c>
      <c r="AP50">
        <v>0.1</v>
      </c>
    </row>
    <row r="51" spans="1:42" x14ac:dyDescent="0.3">
      <c r="A51" t="s">
        <v>126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3">
      <c r="A52" t="s">
        <v>127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3">
      <c r="A53" t="s">
        <v>128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3">
      <c r="A54" t="s">
        <v>129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3">
      <c r="A55" t="s">
        <v>130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3">
      <c r="A56" t="s">
        <v>131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3">
      <c r="A57" t="s">
        <v>132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3">
      <c r="A58" t="s">
        <v>133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3">
      <c r="A59" t="s">
        <v>134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3">
      <c r="A60" t="s">
        <v>135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3">
      <c r="A61" t="s">
        <v>136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3">
      <c r="A62" t="s">
        <v>137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3">
      <c r="A63" t="s">
        <v>138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3">
      <c r="A64" t="s">
        <v>139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3">
      <c r="A65" t="s">
        <v>140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3">
      <c r="A66" t="s">
        <v>141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3">
      <c r="A67" t="s">
        <v>142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3">
      <c r="A68" t="s">
        <v>143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3">
      <c r="A69" t="s">
        <v>144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3">
      <c r="A70" t="s">
        <v>145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3">
      <c r="A71" t="s">
        <v>146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3">
      <c r="A72" t="s">
        <v>147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3">
      <c r="A73" t="s">
        <v>148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E7DA-C6AD-4446-9FEC-E5C1EA5EE909}">
  <sheetPr>
    <tabColor theme="4"/>
  </sheetPr>
  <dimension ref="A1:AP73"/>
  <sheetViews>
    <sheetView topLeftCell="P4" zoomScale="80" zoomScaleNormal="80" workbookViewId="0">
      <selection activeCell="AP50" sqref="AP50"/>
    </sheetView>
  </sheetViews>
  <sheetFormatPr defaultRowHeight="15.75" x14ac:dyDescent="0.3"/>
  <sheetData>
    <row r="1" spans="1:42" x14ac:dyDescent="0.3">
      <c r="A1" t="s">
        <v>77</v>
      </c>
    </row>
    <row r="2" spans="1:42" x14ac:dyDescent="0.3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3">
      <c r="A3" t="s">
        <v>78</v>
      </c>
      <c r="B3">
        <f>'Electricity shares'!B3*'Indirect NH3 demand sources'!B$5*(1-SUM('Pre-allocation of NH3 in power'!B3:B73))+'Pre-allocation of NH3 in power'!B3*'Indirect NH3 demand sources'!B$5</f>
        <v>0</v>
      </c>
      <c r="C3">
        <f>'Electricity shares'!C3*'Indirect NH3 demand sources'!C$5*(1-SUM('Pre-allocation of NH3 in power'!C3:C73))+'Pre-allocation of NH3 in power'!C3*'Indirect NH3 demand sources'!C$5</f>
        <v>0</v>
      </c>
      <c r="D3">
        <f>'Electricity shares'!D3*'Indirect NH3 demand sources'!D$5*(1-SUM('Pre-allocation of NH3 in power'!D3:D73))+'Pre-allocation of NH3 in power'!D3*'Indirect NH3 demand sources'!D$5</f>
        <v>0</v>
      </c>
      <c r="E3">
        <f>'Electricity shares'!E3*'Indirect NH3 demand sources'!E$5*(1-SUM('Pre-allocation of NH3 in power'!E3:E73))+'Pre-allocation of NH3 in power'!E3*'Indirect NH3 demand sources'!E$5</f>
        <v>0</v>
      </c>
      <c r="F3">
        <f>'Electricity shares'!F3*'Indirect NH3 demand sources'!F$5*(1-SUM('Pre-allocation of NH3 in power'!F3:F73))+'Pre-allocation of NH3 in power'!F3*'Indirect NH3 demand sources'!F$5</f>
        <v>0</v>
      </c>
      <c r="G3">
        <f>'Electricity shares'!G3*'Indirect NH3 demand sources'!G$5*(1-SUM('Pre-allocation of NH3 in power'!G3:G73))+'Pre-allocation of NH3 in power'!G3*'Indirect NH3 demand sources'!G$5</f>
        <v>0</v>
      </c>
      <c r="H3">
        <f>'Electricity shares'!H3*'Indirect NH3 demand sources'!H$5*(1-SUM('Pre-allocation of NH3 in power'!H3:H73))+'Pre-allocation of NH3 in power'!H3*'Indirect NH3 demand sources'!H$5</f>
        <v>0</v>
      </c>
      <c r="I3">
        <f>'Electricity shares'!I3*'Indirect NH3 demand sources'!I$5*(1-SUM('Pre-allocation of NH3 in power'!I3:I73))+'Pre-allocation of NH3 in power'!I3*'Indirect NH3 demand sources'!I$5</f>
        <v>0</v>
      </c>
      <c r="J3">
        <f>'Electricity shares'!J3*'Indirect NH3 demand sources'!J$5*(1-SUM('Pre-allocation of NH3 in power'!J3:J73))+'Pre-allocation of NH3 in power'!J3*'Indirect NH3 demand sources'!J$5</f>
        <v>0</v>
      </c>
      <c r="K3">
        <f>'Electricity shares'!K3*'Indirect NH3 demand sources'!K$5*(1-SUM('Pre-allocation of NH3 in power'!K3:K73))+'Pre-allocation of NH3 in power'!K3*'Indirect NH3 demand sources'!K$5</f>
        <v>0</v>
      </c>
      <c r="L3">
        <f>'Electricity shares'!L3*'Indirect NH3 demand sources'!L$5*(1-SUM('Pre-allocation of NH3 in power'!L3:L73))+'Pre-allocation of NH3 in power'!L3*'Indirect NH3 demand sources'!L$5</f>
        <v>0</v>
      </c>
      <c r="M3">
        <f>'Electricity shares'!M3*'Indirect NH3 demand sources'!M$5*(1-SUM('Pre-allocation of NH3 in power'!M3:M73))+'Pre-allocation of NH3 in power'!M3*'Indirect NH3 demand sources'!M$5</f>
        <v>0</v>
      </c>
      <c r="N3">
        <f>'Electricity shares'!N3*'Indirect NH3 demand sources'!N$5*(1-SUM('Pre-allocation of NH3 in power'!N3:N73))+'Pre-allocation of NH3 in power'!N3*'Indirect NH3 demand sources'!N$5</f>
        <v>0</v>
      </c>
      <c r="O3">
        <f>'Electricity shares'!O3*'Indirect NH3 demand sources'!O$5*(1-SUM('Pre-allocation of NH3 in power'!O3:O73))+'Pre-allocation of NH3 in power'!O3*'Indirect NH3 demand sources'!O$5</f>
        <v>0</v>
      </c>
      <c r="P3">
        <f>'Electricity shares'!P3*'Indirect NH3 demand sources'!P$5*(1-SUM('Pre-allocation of NH3 in power'!P3:P73))+'Pre-allocation of NH3 in power'!P3*'Indirect NH3 demand sources'!P$5</f>
        <v>0</v>
      </c>
      <c r="Q3">
        <f>'Electricity shares'!Q3*'Indirect NH3 demand sources'!Q$5*(1-SUM('Pre-allocation of NH3 in power'!Q3:Q73))+'Pre-allocation of NH3 in power'!Q3*'Indirect NH3 demand sources'!Q$5</f>
        <v>0</v>
      </c>
      <c r="R3">
        <f>'Electricity shares'!R3*'Indirect NH3 demand sources'!R$5*(1-SUM('Pre-allocation of NH3 in power'!R3:R73))+'Pre-allocation of NH3 in power'!R3*'Indirect NH3 demand sources'!R$5</f>
        <v>6.7868901017274828E-4</v>
      </c>
      <c r="S3">
        <f>'Electricity shares'!S3*'Indirect NH3 demand sources'!S$5*(1-SUM('Pre-allocation of NH3 in power'!S3:S73))+'Pre-allocation of NH3 in power'!S3*'Indirect NH3 demand sources'!S$5</f>
        <v>1.3894451461877117E-3</v>
      </c>
      <c r="T3">
        <f>'Electricity shares'!T3*'Indirect NH3 demand sources'!T$5*(1-SUM('Pre-allocation of NH3 in power'!T3:T73))+'Pre-allocation of NH3 in power'!T3*'Indirect NH3 demand sources'!T$5</f>
        <v>2.1368649174343581E-3</v>
      </c>
      <c r="U3">
        <f>'Electricity shares'!U3*'Indirect NH3 demand sources'!U$5*(1-SUM('Pre-allocation of NH3 in power'!U3:U73))+'Pre-allocation of NH3 in power'!U3*'Indirect NH3 demand sources'!U$5</f>
        <v>2.9264055003055088E-3</v>
      </c>
      <c r="V3">
        <f>'Electricity shares'!V3*'Indirect NH3 demand sources'!V$5*(1-SUM('Pre-allocation of NH3 in power'!V3:V73))+'Pre-allocation of NH3 in power'!V3*'Indirect NH3 demand sources'!V$5</f>
        <v>3.7651924192277936E-3</v>
      </c>
      <c r="W3">
        <f>'Electricity shares'!W3*'Indirect NH3 demand sources'!W$5*(1-SUM('Pre-allocation of NH3 in power'!W3:W73))+'Pre-allocation of NH3 in power'!W3*'Indirect NH3 demand sources'!W$5</f>
        <v>5.7385532003240373E-3</v>
      </c>
      <c r="X3">
        <f>'Electricity shares'!X3*'Indirect NH3 demand sources'!X$5*(1-SUM('Pre-allocation of NH3 in power'!X3:X73))+'Pre-allocation of NH3 in power'!X3*'Indirect NH3 demand sources'!X$5</f>
        <v>7.7795421579982737E-3</v>
      </c>
      <c r="Y3">
        <f>'Electricity shares'!Y3*'Indirect NH3 demand sources'!Y$5*(1-SUM('Pre-allocation of NH3 in power'!Y3:Y73))+'Pre-allocation of NH3 in power'!Y3*'Indirect NH3 demand sources'!Y$5</f>
        <v>9.8928563978772938E-3</v>
      </c>
      <c r="Z3">
        <f>'Electricity shares'!Z3*'Indirect NH3 demand sources'!Z$5*(1-SUM('Pre-allocation of NH3 in power'!Z3:Z73))+'Pre-allocation of NH3 in power'!Z3*'Indirect NH3 demand sources'!Z$5</f>
        <v>1.208863369271115E-2</v>
      </c>
      <c r="AA3">
        <f>'Electricity shares'!AA3*'Indirect NH3 demand sources'!AA$5*(1-SUM('Pre-allocation of NH3 in power'!AA3:AA73))+'Pre-allocation of NH3 in power'!AA3*'Indirect NH3 demand sources'!AA$5</f>
        <v>1.4366480702650406E-2</v>
      </c>
      <c r="AB3">
        <f>'Electricity shares'!AB3*'Indirect NH3 demand sources'!AB$5*(1-SUM('Pre-allocation of NH3 in power'!AB3:AB73))+'Pre-allocation of NH3 in power'!AB3*'Indirect NH3 demand sources'!AB$5</f>
        <v>1.6251109826149215E-2</v>
      </c>
      <c r="AC3">
        <f>'Electricity shares'!AC3*'Indirect NH3 demand sources'!AC$5*(1-SUM('Pre-allocation of NH3 in power'!AC3:AC73))+'Pre-allocation of NH3 in power'!AC3*'Indirect NH3 demand sources'!AC$5</f>
        <v>1.8088509128849798E-2</v>
      </c>
      <c r="AD3">
        <f>'Electricity shares'!AD3*'Indirect NH3 demand sources'!AD$5*(1-SUM('Pre-allocation of NH3 in power'!AD3:AD73))+'Pre-allocation of NH3 in power'!AD3*'Indirect NH3 demand sources'!AD$5</f>
        <v>1.9869728808625222E-2</v>
      </c>
      <c r="AE3">
        <f>'Electricity shares'!AE3*'Indirect NH3 demand sources'!AE$5*(1-SUM('Pre-allocation of NH3 in power'!AE3:AE73))+'Pre-allocation of NH3 in power'!AE3*'Indirect NH3 demand sources'!AE$5</f>
        <v>2.1590497037806196E-2</v>
      </c>
      <c r="AF3">
        <f>'Electricity shares'!AF3*'Indirect NH3 demand sources'!AF$5*(1-SUM('Pre-allocation of NH3 in power'!AF3:AF73))+'Pre-allocation of NH3 in power'!AF3*'Indirect NH3 demand sources'!AF$5</f>
        <v>2.3252282979107225E-2</v>
      </c>
      <c r="AG3">
        <f>'Electricity shares'!AG3*'Indirect NH3 demand sources'!AG$5*(1-SUM('Pre-allocation of NH3 in power'!AG3:AG73))+'Pre-allocation of NH3 in power'!AG3*'Indirect NH3 demand sources'!AG$5</f>
        <v>2.4408830374606796E-2</v>
      </c>
      <c r="AH3">
        <f>'Electricity shares'!AH3*'Indirect NH3 demand sources'!AH$5*(1-SUM('Pre-allocation of NH3 in power'!AH3:AH73))+'Pre-allocation of NH3 in power'!AH3*'Indirect NH3 demand sources'!AH$5</f>
        <v>2.5514143836148816E-2</v>
      </c>
      <c r="AI3">
        <f>'Electricity shares'!AI3*'Indirect NH3 demand sources'!AI$5*(1-SUM('Pre-allocation of NH3 in power'!AI3:AI73))+'Pre-allocation of NH3 in power'!AI3*'Indirect NH3 demand sources'!AI$5</f>
        <v>2.6561225814314429E-2</v>
      </c>
      <c r="AJ3">
        <f>'Electricity shares'!AJ3*'Indirect NH3 demand sources'!AJ$5*(1-SUM('Pre-allocation of NH3 in power'!AJ3:AJ73))+'Pre-allocation of NH3 in power'!AJ3*'Indirect NH3 demand sources'!AJ$5</f>
        <v>2.7548019032316833E-2</v>
      </c>
      <c r="AK3">
        <f>'Electricity shares'!AK3*'Indirect NH3 demand sources'!AK$5*(1-SUM('Pre-allocation of NH3 in power'!AK3:AK73))+'Pre-allocation of NH3 in power'!AK3*'Indirect NH3 demand sources'!AK$5</f>
        <v>2.8485794446504883E-2</v>
      </c>
      <c r="AL3">
        <f>'Electricity shares'!AL3*'Indirect NH3 demand sources'!AL$5*(1-SUM('Pre-allocation of NH3 in power'!AL3:AL73))+'Pre-allocation of NH3 in power'!AL3*'Indirect NH3 demand sources'!AL$5</f>
        <v>2.935409020250369E-2</v>
      </c>
      <c r="AM3">
        <f>'Electricity shares'!AM3*'Indirect NH3 demand sources'!AM$5*(1-SUM('Pre-allocation of NH3 in power'!AM3:AM73))+'Pre-allocation of NH3 in power'!AM3*'Indirect NH3 demand sources'!AM$5</f>
        <v>3.0169582039144646E-2</v>
      </c>
      <c r="AN3">
        <f>'Electricity shares'!AN3*'Indirect NH3 demand sources'!AN$5*(1-SUM('Pre-allocation of NH3 in power'!AN3:AN73))+'Pre-allocation of NH3 in power'!AN3*'Indirect NH3 demand sources'!AN$5</f>
        <v>3.0941050705626721E-2</v>
      </c>
      <c r="AO3">
        <f>'Electricity shares'!AO3*'Indirect NH3 demand sources'!AO$5*(1-SUM('Pre-allocation of NH3 in power'!AO3:AO73))+'Pre-allocation of NH3 in power'!AO3*'Indirect NH3 demand sources'!AO$5</f>
        <v>3.1675343257566123E-2</v>
      </c>
      <c r="AP3">
        <f>'Electricity shares'!AP3*'Indirect NH3 demand sources'!AP$5*(1-SUM('Pre-allocation of NH3 in power'!AP3:AP73))+'Pre-allocation of NH3 in power'!AP3*'Indirect NH3 demand sources'!AP$5</f>
        <v>3.2373756135217611E-2</v>
      </c>
    </row>
    <row r="4" spans="1:42" x14ac:dyDescent="0.3">
      <c r="A4" t="s">
        <v>79</v>
      </c>
      <c r="B4">
        <f>'Electricity shares'!B4*'Indirect NH3 demand sources'!B$5*(1-SUM('Pre-allocation of NH3 in power'!B4:B74))+'Pre-allocation of NH3 in power'!B4*'Indirect NH3 demand sources'!B$5</f>
        <v>0</v>
      </c>
      <c r="C4">
        <f>'Electricity shares'!C4*'Indirect NH3 demand sources'!C$5*(1-SUM('Pre-allocation of NH3 in power'!C4:C74))+'Pre-allocation of NH3 in power'!C4*'Indirect NH3 demand sources'!C$5</f>
        <v>0</v>
      </c>
      <c r="D4">
        <f>'Electricity shares'!D4*'Indirect NH3 demand sources'!D$5*(1-SUM('Pre-allocation of NH3 in power'!D4:D74))+'Pre-allocation of NH3 in power'!D4*'Indirect NH3 demand sources'!D$5</f>
        <v>0</v>
      </c>
      <c r="E4">
        <f>'Electricity shares'!E4*'Indirect NH3 demand sources'!E$5*(1-SUM('Pre-allocation of NH3 in power'!E4:E74))+'Pre-allocation of NH3 in power'!E4*'Indirect NH3 demand sources'!E$5</f>
        <v>0</v>
      </c>
      <c r="F4">
        <f>'Electricity shares'!F4*'Indirect NH3 demand sources'!F$5*(1-SUM('Pre-allocation of NH3 in power'!F4:F74))+'Pre-allocation of NH3 in power'!F4*'Indirect NH3 demand sources'!F$5</f>
        <v>0</v>
      </c>
      <c r="G4">
        <f>'Electricity shares'!G4*'Indirect NH3 demand sources'!G$5*(1-SUM('Pre-allocation of NH3 in power'!G4:G74))+'Pre-allocation of NH3 in power'!G4*'Indirect NH3 demand sources'!G$5</f>
        <v>0</v>
      </c>
      <c r="H4">
        <f>'Electricity shares'!H4*'Indirect NH3 demand sources'!H$5*(1-SUM('Pre-allocation of NH3 in power'!H4:H74))+'Pre-allocation of NH3 in power'!H4*'Indirect NH3 demand sources'!H$5</f>
        <v>0</v>
      </c>
      <c r="I4">
        <f>'Electricity shares'!I4*'Indirect NH3 demand sources'!I$5*(1-SUM('Pre-allocation of NH3 in power'!I4:I74))+'Pre-allocation of NH3 in power'!I4*'Indirect NH3 demand sources'!I$5</f>
        <v>0</v>
      </c>
      <c r="J4">
        <f>'Electricity shares'!J4*'Indirect NH3 demand sources'!J$5*(1-SUM('Pre-allocation of NH3 in power'!J4:J74))+'Pre-allocation of NH3 in power'!J4*'Indirect NH3 demand sources'!J$5</f>
        <v>0</v>
      </c>
      <c r="K4">
        <f>'Electricity shares'!K4*'Indirect NH3 demand sources'!K$5*(1-SUM('Pre-allocation of NH3 in power'!K4:K74))+'Pre-allocation of NH3 in power'!K4*'Indirect NH3 demand sources'!K$5</f>
        <v>0</v>
      </c>
      <c r="L4">
        <f>'Electricity shares'!L4*'Indirect NH3 demand sources'!L$5*(1-SUM('Pre-allocation of NH3 in power'!L4:L74))+'Pre-allocation of NH3 in power'!L4*'Indirect NH3 demand sources'!L$5</f>
        <v>0</v>
      </c>
      <c r="M4">
        <f>'Electricity shares'!M4*'Indirect NH3 demand sources'!M$5*(1-SUM('Pre-allocation of NH3 in power'!M4:M74))+'Pre-allocation of NH3 in power'!M4*'Indirect NH3 demand sources'!M$5</f>
        <v>0</v>
      </c>
      <c r="N4">
        <f>'Electricity shares'!N4*'Indirect NH3 demand sources'!N$5*(1-SUM('Pre-allocation of NH3 in power'!N4:N74))+'Pre-allocation of NH3 in power'!N4*'Indirect NH3 demand sources'!N$5</f>
        <v>0</v>
      </c>
      <c r="O4">
        <f>'Electricity shares'!O4*'Indirect NH3 demand sources'!O$5*(1-SUM('Pre-allocation of NH3 in power'!O4:O74))+'Pre-allocation of NH3 in power'!O4*'Indirect NH3 demand sources'!O$5</f>
        <v>0</v>
      </c>
      <c r="P4">
        <f>'Electricity shares'!P4*'Indirect NH3 demand sources'!P$5*(1-SUM('Pre-allocation of NH3 in power'!P4:P74))+'Pre-allocation of NH3 in power'!P4*'Indirect NH3 demand sources'!P$5</f>
        <v>0</v>
      </c>
      <c r="Q4">
        <f>'Electricity shares'!Q4*'Indirect NH3 demand sources'!Q$5*(1-SUM('Pre-allocation of NH3 in power'!Q4:Q74))+'Pre-allocation of NH3 in power'!Q4*'Indirect NH3 demand sources'!Q$5</f>
        <v>0</v>
      </c>
      <c r="R4">
        <f>'Electricity shares'!R4*'Indirect NH3 demand sources'!R$5*(1-SUM('Pre-allocation of NH3 in power'!R4:R74))+'Pre-allocation of NH3 in power'!R4*'Indirect NH3 demand sources'!R$5</f>
        <v>2.6123786472488566E-4</v>
      </c>
      <c r="S4">
        <f>'Electricity shares'!S4*'Indirect NH3 demand sources'!S$5*(1-SUM('Pre-allocation of NH3 in power'!S4:S74))+'Pre-allocation of NH3 in power'!S4*'Indirect NH3 demand sources'!S$5</f>
        <v>5.2936256374147583E-4</v>
      </c>
      <c r="T4">
        <f>'Electricity shares'!T4*'Indirect NH3 demand sources'!T$5*(1-SUM('Pre-allocation of NH3 in power'!T4:T74))+'Pre-allocation of NH3 in power'!T4*'Indirect NH3 demand sources'!T$5</f>
        <v>8.0428489345530946E-4</v>
      </c>
      <c r="U4">
        <f>'Electricity shares'!U4*'Indirect NH3 demand sources'!U$5*(1-SUM('Pre-allocation of NH3 in power'!U4:U74))+'Pre-allocation of NH3 in power'!U4*'Indirect NH3 demand sources'!U$5</f>
        <v>1.0858889571273512E-3</v>
      </c>
      <c r="V4">
        <f>'Electricity shares'!V4*'Indirect NH3 demand sources'!V$5*(1-SUM('Pre-allocation of NH3 in power'!V4:V74))+'Pre-allocation of NH3 in power'!V4*'Indirect NH3 demand sources'!V$5</f>
        <v>1.3734667229095149E-3</v>
      </c>
      <c r="W4">
        <f>'Electricity shares'!W4*'Indirect NH3 demand sources'!W$5*(1-SUM('Pre-allocation of NH3 in power'!W4:W74))+'Pre-allocation of NH3 in power'!W4*'Indirect NH3 demand sources'!W$5</f>
        <v>2.0471398624731978E-3</v>
      </c>
      <c r="X4">
        <f>'Electricity shares'!X4*'Indirect NH3 demand sources'!X$5*(1-SUM('Pre-allocation of NH3 in power'!X4:X74))+'Pre-allocation of NH3 in power'!X4*'Indirect NH3 demand sources'!X$5</f>
        <v>2.7110026563058462E-3</v>
      </c>
      <c r="Y4">
        <f>'Electricity shares'!Y4*'Indirect NH3 demand sources'!Y$5*(1-SUM('Pre-allocation of NH3 in power'!Y4:Y74))+'Pre-allocation of NH3 in power'!Y4*'Indirect NH3 demand sources'!Y$5</f>
        <v>3.363851291076267E-3</v>
      </c>
      <c r="Z4">
        <f>'Electricity shares'!Z4*'Indirect NH3 demand sources'!Z$5*(1-SUM('Pre-allocation of NH3 in power'!Z4:Z74))+'Pre-allocation of NH3 in power'!Z4*'Indirect NH3 demand sources'!Z$5</f>
        <v>4.0034007433744252E-3</v>
      </c>
      <c r="AA4">
        <f>'Electricity shares'!AA4*'Indirect NH3 demand sources'!AA$5*(1-SUM('Pre-allocation of NH3 in power'!AA4:AA74))+'Pre-allocation of NH3 in power'!AA4*'Indirect NH3 demand sources'!AA$5</f>
        <v>4.6281025487208095E-3</v>
      </c>
      <c r="AB4">
        <f>'Electricity shares'!AB4*'Indirect NH3 demand sources'!AB$5*(1-SUM('Pre-allocation of NH3 in power'!AB4:AB74))+'Pre-allocation of NH3 in power'!AB4*'Indirect NH3 demand sources'!AB$5</f>
        <v>5.2601987738197719E-3</v>
      </c>
      <c r="AC4">
        <f>'Electricity shares'!AC4*'Indirect NH3 demand sources'!AC$5*(1-SUM('Pre-allocation of NH3 in power'!AC4:AC74))+'Pre-allocation of NH3 in power'!AC4*'Indirect NH3 demand sources'!AC$5</f>
        <v>5.8789434338943963E-3</v>
      </c>
      <c r="AD4">
        <f>'Electricity shares'!AD4*'Indirect NH3 demand sources'!AD$5*(1-SUM('Pre-allocation of NH3 in power'!AD4:AD74))+'Pre-allocation of NH3 in power'!AD4*'Indirect NH3 demand sources'!AD$5</f>
        <v>6.4820824390319628E-3</v>
      </c>
      <c r="AE4">
        <f>'Electricity shares'!AE4*'Indirect NH3 demand sources'!AE$5*(1-SUM('Pre-allocation of NH3 in power'!AE4:AE74))+'Pre-allocation of NH3 in power'!AE4*'Indirect NH3 demand sources'!AE$5</f>
        <v>7.0679115923595048E-3</v>
      </c>
      <c r="AF4">
        <f>'Electricity shares'!AF4*'Indirect NH3 demand sources'!AF$5*(1-SUM('Pre-allocation of NH3 in power'!AF4:AF74))+'Pre-allocation of NH3 in power'!AF4*'Indirect NH3 demand sources'!AF$5</f>
        <v>7.6349107581914566E-3</v>
      </c>
      <c r="AG4">
        <f>'Electricity shares'!AG4*'Indirect NH3 demand sources'!AG$5*(1-SUM('Pre-allocation of NH3 in power'!AG4:AG74))+'Pre-allocation of NH3 in power'!AG4*'Indirect NH3 demand sources'!AG$5</f>
        <v>8.0430179950122093E-3</v>
      </c>
      <c r="AH4">
        <f>'Electricity shares'!AH4*'Indirect NH3 demand sources'!AH$5*(1-SUM('Pre-allocation of NH3 in power'!AH4:AH74))+'Pre-allocation of NH3 in power'!AH4*'Indirect NH3 demand sources'!AH$5</f>
        <v>8.4341141534924231E-3</v>
      </c>
      <c r="AI4">
        <f>'Electricity shares'!AI4*'Indirect NH3 demand sources'!AI$5*(1-SUM('Pre-allocation of NH3 in power'!AI4:AI74))+'Pre-allocation of NH3 in power'!AI4*'Indirect NH3 demand sources'!AI$5</f>
        <v>8.8079847632332817E-3</v>
      </c>
      <c r="AJ4">
        <f>'Electricity shares'!AJ4*'Indirect NH3 demand sources'!AJ$5*(1-SUM('Pre-allocation of NH3 in power'!AJ4:AJ74))+'Pre-allocation of NH3 in power'!AJ4*'Indirect NH3 demand sources'!AJ$5</f>
        <v>9.1645461318629884E-3</v>
      </c>
      <c r="AK4">
        <f>'Electricity shares'!AK4*'Indirect NH3 demand sources'!AK$5*(1-SUM('Pre-allocation of NH3 in power'!AK4:AK74))+'Pre-allocation of NH3 in power'!AK4*'Indirect NH3 demand sources'!AK$5</f>
        <v>9.5067033152776703E-3</v>
      </c>
      <c r="AL4">
        <f>'Electricity shares'!AL4*'Indirect NH3 demand sources'!AL$5*(1-SUM('Pre-allocation of NH3 in power'!AL4:AL74))+'Pre-allocation of NH3 in power'!AL4*'Indirect NH3 demand sources'!AL$5</f>
        <v>9.8196967837522915E-3</v>
      </c>
      <c r="AM4">
        <f>'Electricity shares'!AM4*'Indirect NH3 demand sources'!AM$5*(1-SUM('Pre-allocation of NH3 in power'!AM4:AM74))+'Pre-allocation of NH3 in power'!AM4*'Indirect NH3 demand sources'!AM$5</f>
        <v>1.0116828517570862E-2</v>
      </c>
      <c r="AN4">
        <f>'Electricity shares'!AN4*'Indirect NH3 demand sources'!AN$5*(1-SUM('Pre-allocation of NH3 in power'!AN4:AN74))+'Pre-allocation of NH3 in power'!AN4*'Indirect NH3 demand sources'!AN$5</f>
        <v>1.0400624737848247E-2</v>
      </c>
      <c r="AO4">
        <f>'Electricity shares'!AO4*'Indirect NH3 demand sources'!AO$5*(1-SUM('Pre-allocation of NH3 in power'!AO4:AO74))+'Pre-allocation of NH3 in power'!AO4*'Indirect NH3 demand sources'!AO$5</f>
        <v>1.0671786577800404E-2</v>
      </c>
      <c r="AP4">
        <f>'Electricity shares'!AP4*'Indirect NH3 demand sources'!AP$5*(1-SUM('Pre-allocation of NH3 in power'!AP4:AP74))+'Pre-allocation of NH3 in power'!AP4*'Indirect NH3 demand sources'!AP$5</f>
        <v>1.093078007311853E-2</v>
      </c>
    </row>
    <row r="5" spans="1:42" x14ac:dyDescent="0.3">
      <c r="A5" t="s">
        <v>80</v>
      </c>
      <c r="B5">
        <f>'Electricity shares'!B5*'Indirect NH3 demand sources'!B$5*(1-SUM('Pre-allocation of NH3 in power'!B5:B75))+'Pre-allocation of NH3 in power'!B5*'Indirect NH3 demand sources'!B$5</f>
        <v>0</v>
      </c>
      <c r="C5">
        <f>'Electricity shares'!C5*'Indirect NH3 demand sources'!C$5*(1-SUM('Pre-allocation of NH3 in power'!C5:C75))+'Pre-allocation of NH3 in power'!C5*'Indirect NH3 demand sources'!C$5</f>
        <v>0</v>
      </c>
      <c r="D5">
        <f>'Electricity shares'!D5*'Indirect NH3 demand sources'!D$5*(1-SUM('Pre-allocation of NH3 in power'!D5:D75))+'Pre-allocation of NH3 in power'!D5*'Indirect NH3 demand sources'!D$5</f>
        <v>0</v>
      </c>
      <c r="E5">
        <f>'Electricity shares'!E5*'Indirect NH3 demand sources'!E$5*(1-SUM('Pre-allocation of NH3 in power'!E5:E75))+'Pre-allocation of NH3 in power'!E5*'Indirect NH3 demand sources'!E$5</f>
        <v>0</v>
      </c>
      <c r="F5">
        <f>'Electricity shares'!F5*'Indirect NH3 demand sources'!F$5*(1-SUM('Pre-allocation of NH3 in power'!F5:F75))+'Pre-allocation of NH3 in power'!F5*'Indirect NH3 demand sources'!F$5</f>
        <v>0</v>
      </c>
      <c r="G5">
        <f>'Electricity shares'!G5*'Indirect NH3 demand sources'!G$5*(1-SUM('Pre-allocation of NH3 in power'!G5:G75))+'Pre-allocation of NH3 in power'!G5*'Indirect NH3 demand sources'!G$5</f>
        <v>0</v>
      </c>
      <c r="H5">
        <f>'Electricity shares'!H5*'Indirect NH3 demand sources'!H$5*(1-SUM('Pre-allocation of NH3 in power'!H5:H75))+'Pre-allocation of NH3 in power'!H5*'Indirect NH3 demand sources'!H$5</f>
        <v>0</v>
      </c>
      <c r="I5">
        <f>'Electricity shares'!I5*'Indirect NH3 demand sources'!I$5*(1-SUM('Pre-allocation of NH3 in power'!I5:I75))+'Pre-allocation of NH3 in power'!I5*'Indirect NH3 demand sources'!I$5</f>
        <v>0</v>
      </c>
      <c r="J5">
        <f>'Electricity shares'!J5*'Indirect NH3 demand sources'!J$5*(1-SUM('Pre-allocation of NH3 in power'!J5:J75))+'Pre-allocation of NH3 in power'!J5*'Indirect NH3 demand sources'!J$5</f>
        <v>0</v>
      </c>
      <c r="K5">
        <f>'Electricity shares'!K5*'Indirect NH3 demand sources'!K$5*(1-SUM('Pre-allocation of NH3 in power'!K5:K75))+'Pre-allocation of NH3 in power'!K5*'Indirect NH3 demand sources'!K$5</f>
        <v>0</v>
      </c>
      <c r="L5">
        <f>'Electricity shares'!L5*'Indirect NH3 demand sources'!L$5*(1-SUM('Pre-allocation of NH3 in power'!L5:L75))+'Pre-allocation of NH3 in power'!L5*'Indirect NH3 demand sources'!L$5</f>
        <v>0</v>
      </c>
      <c r="M5">
        <f>'Electricity shares'!M5*'Indirect NH3 demand sources'!M$5*(1-SUM('Pre-allocation of NH3 in power'!M5:M75))+'Pre-allocation of NH3 in power'!M5*'Indirect NH3 demand sources'!M$5</f>
        <v>0</v>
      </c>
      <c r="N5">
        <f>'Electricity shares'!N5*'Indirect NH3 demand sources'!N$5*(1-SUM('Pre-allocation of NH3 in power'!N5:N75))+'Pre-allocation of NH3 in power'!N5*'Indirect NH3 demand sources'!N$5</f>
        <v>0</v>
      </c>
      <c r="O5">
        <f>'Electricity shares'!O5*'Indirect NH3 demand sources'!O$5*(1-SUM('Pre-allocation of NH3 in power'!O5:O75))+'Pre-allocation of NH3 in power'!O5*'Indirect NH3 demand sources'!O$5</f>
        <v>0</v>
      </c>
      <c r="P5">
        <f>'Electricity shares'!P5*'Indirect NH3 demand sources'!P$5*(1-SUM('Pre-allocation of NH3 in power'!P5:P75))+'Pre-allocation of NH3 in power'!P5*'Indirect NH3 demand sources'!P$5</f>
        <v>0</v>
      </c>
      <c r="Q5">
        <f>'Electricity shares'!Q5*'Indirect NH3 demand sources'!Q$5*(1-SUM('Pre-allocation of NH3 in power'!Q5:Q75))+'Pre-allocation of NH3 in power'!Q5*'Indirect NH3 demand sources'!Q$5</f>
        <v>0</v>
      </c>
      <c r="R5">
        <f>'Electricity shares'!R5*'Indirect NH3 demand sources'!R$5*(1-SUM('Pre-allocation of NH3 in power'!R5:R75))+'Pre-allocation of NH3 in power'!R5*'Indirect NH3 demand sources'!R$5</f>
        <v>3.877914212991997E-3</v>
      </c>
      <c r="S5">
        <f>'Electricity shares'!S5*'Indirect NH3 demand sources'!S$5*(1-SUM('Pre-allocation of NH3 in power'!S5:S75))+'Pre-allocation of NH3 in power'!S5*'Indirect NH3 demand sources'!S$5</f>
        <v>7.7478607831925495E-3</v>
      </c>
      <c r="T5">
        <f>'Electricity shares'!T5*'Indirect NH3 demand sources'!T$5*(1-SUM('Pre-allocation of NH3 in power'!T5:T75))+'Pre-allocation of NH3 in power'!T5*'Indirect NH3 demand sources'!T$5</f>
        <v>1.1613947467907337E-2</v>
      </c>
      <c r="U5">
        <f>'Electricity shares'!U5*'Indirect NH3 demand sources'!U$5*(1-SUM('Pre-allocation of NH3 in power'!U5:U75))+'Pre-allocation of NH3 in power'!U5*'Indirect NH3 demand sources'!U$5</f>
        <v>1.5480944527274266E-2</v>
      </c>
      <c r="V5">
        <f>'Electricity shares'!V5*'Indirect NH3 demand sources'!V$5*(1-SUM('Pre-allocation of NH3 in power'!V5:V75))+'Pre-allocation of NH3 in power'!V5*'Indirect NH3 demand sources'!V$5</f>
        <v>1.9365373434956878E-2</v>
      </c>
      <c r="W5">
        <f>'Electricity shares'!W5*'Indirect NH3 demand sources'!W$5*(1-SUM('Pre-allocation of NH3 in power'!W5:W75))+'Pre-allocation of NH3 in power'!W5*'Indirect NH3 demand sources'!W$5</f>
        <v>2.878381171628721E-2</v>
      </c>
      <c r="X5">
        <f>'Electricity shares'!X5*'Indirect NH3 demand sources'!X$5*(1-SUM('Pre-allocation of NH3 in power'!X5:X75))+'Pre-allocation of NH3 in power'!X5*'Indirect NH3 demand sources'!X$5</f>
        <v>3.804013956235739E-2</v>
      </c>
      <c r="Y5">
        <f>'Electricity shares'!Y5*'Indirect NH3 demand sources'!Y$5*(1-SUM('Pre-allocation of NH3 in power'!Y5:Y75))+'Pre-allocation of NH3 in power'!Y5*'Indirect NH3 demand sources'!Y$5</f>
        <v>4.7128630555471104E-2</v>
      </c>
      <c r="Z5">
        <f>'Electricity shares'!Z5*'Indirect NH3 demand sources'!Z$5*(1-SUM('Pre-allocation of NH3 in power'!Z5:Z75))+'Pre-allocation of NH3 in power'!Z5*'Indirect NH3 demand sources'!Z$5</f>
        <v>5.6047367100026835E-2</v>
      </c>
      <c r="AA5">
        <f>'Electricity shares'!AA5*'Indirect NH3 demand sources'!AA$5*(1-SUM('Pre-allocation of NH3 in power'!AA5:AA75))+'Pre-allocation of NH3 in power'!AA5*'Indirect NH3 demand sources'!AA$5</f>
        <v>6.4783212707043056E-2</v>
      </c>
      <c r="AB5">
        <f>'Electricity shares'!AB5*'Indirect NH3 demand sources'!AB$5*(1-SUM('Pre-allocation of NH3 in power'!AB5:AB75))+'Pre-allocation of NH3 in power'!AB5*'Indirect NH3 demand sources'!AB$5</f>
        <v>7.3399763989171585E-2</v>
      </c>
      <c r="AC5">
        <f>'Electricity shares'!AC5*'Indirect NH3 demand sources'!AC$5*(1-SUM('Pre-allocation of NH3 in power'!AC5:AC75))+'Pre-allocation of NH3 in power'!AC5*'Indirect NH3 demand sources'!AC$5</f>
        <v>8.1812604204527961E-2</v>
      </c>
      <c r="AD5">
        <f>'Electricity shares'!AD5*'Indirect NH3 demand sources'!AD$5*(1-SUM('Pre-allocation of NH3 in power'!AD5:AD75))+'Pre-allocation of NH3 in power'!AD5*'Indirect NH3 demand sources'!AD$5</f>
        <v>8.9989978737051321E-2</v>
      </c>
      <c r="AE5">
        <f>'Electricity shares'!AE5*'Indirect NH3 demand sources'!AE$5*(1-SUM('Pre-allocation of NH3 in power'!AE5:AE75))+'Pre-allocation of NH3 in power'!AE5*'Indirect NH3 demand sources'!AE$5</f>
        <v>9.7906421755578621E-2</v>
      </c>
      <c r="AF5">
        <f>'Electricity shares'!AF5*'Indirect NH3 demand sources'!AF$5*(1-SUM('Pre-allocation of NH3 in power'!AF5:AF75))+'Pre-allocation of NH3 in power'!AF5*'Indirect NH3 demand sources'!AF$5</f>
        <v>0.10560313117413481</v>
      </c>
      <c r="AG5">
        <f>'Electricity shares'!AG5*'Indirect NH3 demand sources'!AG$5*(1-SUM('Pre-allocation of NH3 in power'!AG5:AG75))+'Pre-allocation of NH3 in power'!AG5*'Indirect NH3 demand sources'!AG$5</f>
        <v>0.11179204097937392</v>
      </c>
      <c r="AH5">
        <f>'Electricity shares'!AH5*'Indirect NH3 demand sources'!AH$5*(1-SUM('Pre-allocation of NH3 in power'!AH5:AH75))+'Pre-allocation of NH3 in power'!AH5*'Indirect NH3 demand sources'!AH$5</f>
        <v>0.11773505841914761</v>
      </c>
      <c r="AI5">
        <f>'Electricity shares'!AI5*'Indirect NH3 demand sources'!AI$5*(1-SUM('Pre-allocation of NH3 in power'!AI5:AI75))+'Pre-allocation of NH3 in power'!AI5*'Indirect NH3 demand sources'!AI$5</f>
        <v>0.12346358774188471</v>
      </c>
      <c r="AJ5">
        <f>'Electricity shares'!AJ5*'Indirect NH3 demand sources'!AJ$5*(1-SUM('Pre-allocation of NH3 in power'!AJ5:AJ75))+'Pre-allocation of NH3 in power'!AJ5*'Indirect NH3 demand sources'!AJ$5</f>
        <v>0.12897224288079048</v>
      </c>
      <c r="AK5">
        <f>'Electricity shares'!AK5*'Indirect NH3 demand sources'!AK$5*(1-SUM('Pre-allocation of NH3 in power'!AK5:AK75))+'Pre-allocation of NH3 in power'!AK5*'Indirect NH3 demand sources'!AK$5</f>
        <v>0.13428947744094399</v>
      </c>
      <c r="AL5">
        <f>'Electricity shares'!AL5*'Indirect NH3 demand sources'!AL$5*(1-SUM('Pre-allocation of NH3 in power'!AL5:AL75))+'Pre-allocation of NH3 in power'!AL5*'Indirect NH3 demand sources'!AL$5</f>
        <v>0.13983489749178843</v>
      </c>
      <c r="AM5">
        <f>'Electricity shares'!AM5*'Indirect NH3 demand sources'!AM$5*(1-SUM('Pre-allocation of NH3 in power'!AM5:AM75))+'Pre-allocation of NH3 in power'!AM5*'Indirect NH3 demand sources'!AM$5</f>
        <v>0.14519026890455111</v>
      </c>
      <c r="AN5">
        <f>'Electricity shares'!AN5*'Indirect NH3 demand sources'!AN$5*(1-SUM('Pre-allocation of NH3 in power'!AN5:AN75))+'Pre-allocation of NH3 in power'!AN5*'Indirect NH3 demand sources'!AN$5</f>
        <v>0.15041624618071509</v>
      </c>
      <c r="AO5">
        <f>'Electricity shares'!AO5*'Indirect NH3 demand sources'!AO$5*(1-SUM('Pre-allocation of NH3 in power'!AO5:AO75))+'Pre-allocation of NH3 in power'!AO5*'Indirect NH3 demand sources'!AO$5</f>
        <v>0.15553529044770195</v>
      </c>
      <c r="AP5">
        <f>'Electricity shares'!AP5*'Indirect NH3 demand sources'!AP$5*(1-SUM('Pre-allocation of NH3 in power'!AP5:AP75))+'Pre-allocation of NH3 in power'!AP5*'Indirect NH3 demand sources'!AP$5</f>
        <v>0.16053962877822253</v>
      </c>
    </row>
    <row r="6" spans="1:42" x14ac:dyDescent="0.3">
      <c r="A6" t="s">
        <v>81</v>
      </c>
      <c r="B6">
        <f>'Electricity shares'!B6*'Indirect NH3 demand sources'!B$5*(1-SUM('Pre-allocation of NH3 in power'!B6:B76))+'Pre-allocation of NH3 in power'!B6*'Indirect NH3 demand sources'!B$5</f>
        <v>0</v>
      </c>
      <c r="C6">
        <f>'Electricity shares'!C6*'Indirect NH3 demand sources'!C$5*(1-SUM('Pre-allocation of NH3 in power'!C6:C76))+'Pre-allocation of NH3 in power'!C6*'Indirect NH3 demand sources'!C$5</f>
        <v>0</v>
      </c>
      <c r="D6">
        <f>'Electricity shares'!D6*'Indirect NH3 demand sources'!D$5*(1-SUM('Pre-allocation of NH3 in power'!D6:D76))+'Pre-allocation of NH3 in power'!D6*'Indirect NH3 demand sources'!D$5</f>
        <v>0</v>
      </c>
      <c r="E6">
        <f>'Electricity shares'!E6*'Indirect NH3 demand sources'!E$5*(1-SUM('Pre-allocation of NH3 in power'!E6:E76))+'Pre-allocation of NH3 in power'!E6*'Indirect NH3 demand sources'!E$5</f>
        <v>0</v>
      </c>
      <c r="F6">
        <f>'Electricity shares'!F6*'Indirect NH3 demand sources'!F$5*(1-SUM('Pre-allocation of NH3 in power'!F6:F76))+'Pre-allocation of NH3 in power'!F6*'Indirect NH3 demand sources'!F$5</f>
        <v>0</v>
      </c>
      <c r="G6">
        <f>'Electricity shares'!G6*'Indirect NH3 demand sources'!G$5*(1-SUM('Pre-allocation of NH3 in power'!G6:G76))+'Pre-allocation of NH3 in power'!G6*'Indirect NH3 demand sources'!G$5</f>
        <v>0</v>
      </c>
      <c r="H6">
        <f>'Electricity shares'!H6*'Indirect NH3 demand sources'!H$5*(1-SUM('Pre-allocation of NH3 in power'!H6:H76))+'Pre-allocation of NH3 in power'!H6*'Indirect NH3 demand sources'!H$5</f>
        <v>0</v>
      </c>
      <c r="I6">
        <f>'Electricity shares'!I6*'Indirect NH3 demand sources'!I$5*(1-SUM('Pre-allocation of NH3 in power'!I6:I76))+'Pre-allocation of NH3 in power'!I6*'Indirect NH3 demand sources'!I$5</f>
        <v>0</v>
      </c>
      <c r="J6">
        <f>'Electricity shares'!J6*'Indirect NH3 demand sources'!J$5*(1-SUM('Pre-allocation of NH3 in power'!J6:J76))+'Pre-allocation of NH3 in power'!J6*'Indirect NH3 demand sources'!J$5</f>
        <v>0</v>
      </c>
      <c r="K6">
        <f>'Electricity shares'!K6*'Indirect NH3 demand sources'!K$5*(1-SUM('Pre-allocation of NH3 in power'!K6:K76))+'Pre-allocation of NH3 in power'!K6*'Indirect NH3 demand sources'!K$5</f>
        <v>0</v>
      </c>
      <c r="L6">
        <f>'Electricity shares'!L6*'Indirect NH3 demand sources'!L$5*(1-SUM('Pre-allocation of NH3 in power'!L6:L76))+'Pre-allocation of NH3 in power'!L6*'Indirect NH3 demand sources'!L$5</f>
        <v>0</v>
      </c>
      <c r="M6">
        <f>'Electricity shares'!M6*'Indirect NH3 demand sources'!M$5*(1-SUM('Pre-allocation of NH3 in power'!M6:M76))+'Pre-allocation of NH3 in power'!M6*'Indirect NH3 demand sources'!M$5</f>
        <v>0</v>
      </c>
      <c r="N6">
        <f>'Electricity shares'!N6*'Indirect NH3 demand sources'!N$5*(1-SUM('Pre-allocation of NH3 in power'!N6:N76))+'Pre-allocation of NH3 in power'!N6*'Indirect NH3 demand sources'!N$5</f>
        <v>0</v>
      </c>
      <c r="O6">
        <f>'Electricity shares'!O6*'Indirect NH3 demand sources'!O$5*(1-SUM('Pre-allocation of NH3 in power'!O6:O76))+'Pre-allocation of NH3 in power'!O6*'Indirect NH3 demand sources'!O$5</f>
        <v>0</v>
      </c>
      <c r="P6">
        <f>'Electricity shares'!P6*'Indirect NH3 demand sources'!P$5*(1-SUM('Pre-allocation of NH3 in power'!P6:P76))+'Pre-allocation of NH3 in power'!P6*'Indirect NH3 demand sources'!P$5</f>
        <v>0</v>
      </c>
      <c r="Q6">
        <f>'Electricity shares'!Q6*'Indirect NH3 demand sources'!Q$5*(1-SUM('Pre-allocation of NH3 in power'!Q6:Q76))+'Pre-allocation of NH3 in power'!Q6*'Indirect NH3 demand sources'!Q$5</f>
        <v>0</v>
      </c>
      <c r="R6">
        <f>'Electricity shares'!R6*'Indirect NH3 demand sources'!R$5*(1-SUM('Pre-allocation of NH3 in power'!R6:R76))+'Pre-allocation of NH3 in power'!R6*'Indirect NH3 demand sources'!R$5</f>
        <v>3.5867298914040352E-4</v>
      </c>
      <c r="S6">
        <f>'Electricity shares'!S6*'Indirect NH3 demand sources'!S$5*(1-SUM('Pre-allocation of NH3 in power'!S6:S76))+'Pre-allocation of NH3 in power'!S6*'Indirect NH3 demand sources'!S$5</f>
        <v>7.0259640336696862E-4</v>
      </c>
      <c r="T6">
        <f>'Electricity shares'!T6*'Indirect NH3 demand sources'!T$5*(1-SUM('Pre-allocation of NH3 in power'!T6:T76))+'Pre-allocation of NH3 in power'!T6*'Indirect NH3 demand sources'!T$5</f>
        <v>1.031521164028234E-3</v>
      </c>
      <c r="U6">
        <f>'Electricity shares'!U6*'Indirect NH3 demand sources'!U$5*(1-SUM('Pre-allocation of NH3 in power'!U6:U76))+'Pre-allocation of NH3 in power'!U6*'Indirect NH3 demand sources'!U$5</f>
        <v>1.3462815957597642E-3</v>
      </c>
      <c r="V6">
        <f>'Electricity shares'!V6*'Indirect NH3 demand sources'!V$5*(1-SUM('Pre-allocation of NH3 in power'!V6:V76))+'Pre-allocation of NH3 in power'!V6*'Indirect NH3 demand sources'!V$5</f>
        <v>1.6481142763273599E-3</v>
      </c>
      <c r="W6">
        <f>'Electricity shares'!W6*'Indirect NH3 demand sources'!W$5*(1-SUM('Pre-allocation of NH3 in power'!W6:W76))+'Pre-allocation of NH3 in power'!W6*'Indirect NH3 demand sources'!W$5</f>
        <v>2.4367854427348847E-3</v>
      </c>
      <c r="X6">
        <f>'Electricity shares'!X6*'Indirect NH3 demand sources'!X$5*(1-SUM('Pre-allocation of NH3 in power'!X6:X76))+'Pre-allocation of NH3 in power'!X6*'Indirect NH3 demand sources'!X$5</f>
        <v>3.2021778492402654E-3</v>
      </c>
      <c r="Y6">
        <f>'Electricity shares'!Y6*'Indirect NH3 demand sources'!Y$5*(1-SUM('Pre-allocation of NH3 in power'!Y6:Y76))+'Pre-allocation of NH3 in power'!Y6*'Indirect NH3 demand sources'!Y$5</f>
        <v>3.9450681408283207E-3</v>
      </c>
      <c r="Z6">
        <f>'Electricity shares'!Z6*'Indirect NH3 demand sources'!Z$5*(1-SUM('Pre-allocation of NH3 in power'!Z6:Z76))+'Pre-allocation of NH3 in power'!Z6*'Indirect NH3 demand sources'!Z$5</f>
        <v>4.6656681233188356E-3</v>
      </c>
      <c r="AA6">
        <f>'Electricity shares'!AA6*'Indirect NH3 demand sources'!AA$5*(1-SUM('Pre-allocation of NH3 in power'!AA6:AA76))+'Pre-allocation of NH3 in power'!AA6*'Indirect NH3 demand sources'!AA$5</f>
        <v>5.3650342021955531E-3</v>
      </c>
      <c r="AB6">
        <f>'Electricity shares'!AB6*'Indirect NH3 demand sources'!AB$5*(1-SUM('Pre-allocation of NH3 in power'!AB6:AB76))+'Pre-allocation of NH3 in power'!AB6*'Indirect NH3 demand sources'!AB$5</f>
        <v>6.0576405489353941E-3</v>
      </c>
      <c r="AC6">
        <f>'Electricity shares'!AC6*'Indirect NH3 demand sources'!AC$5*(1-SUM('Pre-allocation of NH3 in power'!AC6:AC76))+'Pre-allocation of NH3 in power'!AC6*'Indirect NH3 demand sources'!AC$5</f>
        <v>6.7337941465516315E-3</v>
      </c>
      <c r="AD6">
        <f>'Electricity shares'!AD6*'Indirect NH3 demand sources'!AD$5*(1-SUM('Pre-allocation of NH3 in power'!AD6:AD76))+'Pre-allocation of NH3 in power'!AD6*'Indirect NH3 demand sources'!AD$5</f>
        <v>7.3928918524421294E-3</v>
      </c>
      <c r="AE6">
        <f>'Electricity shares'!AE6*'Indirect NH3 demand sources'!AE$5*(1-SUM('Pre-allocation of NH3 in power'!AE6:AE76))+'Pre-allocation of NH3 in power'!AE6*'Indirect NH3 demand sources'!AE$5</f>
        <v>8.035117131249804E-3</v>
      </c>
      <c r="AF6">
        <f>'Electricity shares'!AF6*'Indirect NH3 demand sources'!AF$5*(1-SUM('Pre-allocation of NH3 in power'!AF6:AF76))+'Pre-allocation of NH3 in power'!AF6*'Indirect NH3 demand sources'!AF$5</f>
        <v>8.6629934561809844E-3</v>
      </c>
      <c r="AG6">
        <f>'Electricity shares'!AG6*'Indirect NH3 demand sources'!AG$5*(1-SUM('Pre-allocation of NH3 in power'!AG6:AG76))+'Pre-allocation of NH3 in power'!AG6*'Indirect NH3 demand sources'!AG$5</f>
        <v>9.1820641263410281E-3</v>
      </c>
      <c r="AH6">
        <f>'Electricity shares'!AH6*'Indirect NH3 demand sources'!AH$5*(1-SUM('Pre-allocation of NH3 in power'!AH6:AH76))+'Pre-allocation of NH3 in power'!AH6*'Indirect NH3 demand sources'!AH$5</f>
        <v>9.691843385269695E-3</v>
      </c>
      <c r="AI6">
        <f>'Electricity shares'!AI6*'Indirect NH3 demand sources'!AI$5*(1-SUM('Pre-allocation of NH3 in power'!AI6:AI76))+'Pre-allocation of NH3 in power'!AI6*'Indirect NH3 demand sources'!AI$5</f>
        <v>1.0191464624725527E-2</v>
      </c>
      <c r="AJ6">
        <f>'Electricity shares'!AJ6*'Indirect NH3 demand sources'!AJ$5*(1-SUM('Pre-allocation of NH3 in power'!AJ6:AJ76))+'Pre-allocation of NH3 in power'!AJ6*'Indirect NH3 demand sources'!AJ$5</f>
        <v>1.0684415802355395E-2</v>
      </c>
      <c r="AK6">
        <f>'Electricity shares'!AK6*'Indirect NH3 demand sources'!AK$5*(1-SUM('Pre-allocation of NH3 in power'!AK6:AK76))+'Pre-allocation of NH3 in power'!AK6*'Indirect NH3 demand sources'!AK$5</f>
        <v>1.1173449235906801E-2</v>
      </c>
      <c r="AL6">
        <f>'Electricity shares'!AL6*'Indirect NH3 demand sources'!AL$5*(1-SUM('Pre-allocation of NH3 in power'!AL6:AL76))+'Pre-allocation of NH3 in power'!AL6*'Indirect NH3 demand sources'!AL$5</f>
        <v>1.1742013048475997E-2</v>
      </c>
      <c r="AM6">
        <f>'Electricity shares'!AM6*'Indirect NH3 demand sources'!AM$5*(1-SUM('Pre-allocation of NH3 in power'!AM6:AM76))+'Pre-allocation of NH3 in power'!AM6*'Indirect NH3 demand sources'!AM$5</f>
        <v>1.2309502284852168E-2</v>
      </c>
      <c r="AN6">
        <f>'Electricity shares'!AN6*'Indirect NH3 demand sources'!AN$5*(1-SUM('Pre-allocation of NH3 in power'!AN6:AN76))+'Pre-allocation of NH3 in power'!AN6*'Indirect NH3 demand sources'!AN$5</f>
        <v>1.288473146306067E-2</v>
      </c>
      <c r="AO6">
        <f>'Electricity shares'!AO6*'Indirect NH3 demand sources'!AO$5*(1-SUM('Pre-allocation of NH3 in power'!AO6:AO76))+'Pre-allocation of NH3 in power'!AO6*'Indirect NH3 demand sources'!AO$5</f>
        <v>1.346761896004405E-2</v>
      </c>
      <c r="AP6">
        <f>'Electricity shares'!AP6*'Indirect NH3 demand sources'!AP$5*(1-SUM('Pre-allocation of NH3 in power'!AP6:AP76))+'Pre-allocation of NH3 in power'!AP6*'Indirect NH3 demand sources'!AP$5</f>
        <v>1.405911240288955E-2</v>
      </c>
    </row>
    <row r="7" spans="1:42" x14ac:dyDescent="0.3">
      <c r="A7" t="s">
        <v>82</v>
      </c>
      <c r="B7">
        <f>'Electricity shares'!B7*'Indirect NH3 demand sources'!B$5*(1-SUM('Pre-allocation of NH3 in power'!B7:B77))+'Pre-allocation of NH3 in power'!B7*'Indirect NH3 demand sources'!B$5</f>
        <v>0</v>
      </c>
      <c r="C7">
        <f>'Electricity shares'!C7*'Indirect NH3 demand sources'!C$5*(1-SUM('Pre-allocation of NH3 in power'!C7:C77))+'Pre-allocation of NH3 in power'!C7*'Indirect NH3 demand sources'!C$5</f>
        <v>0</v>
      </c>
      <c r="D7">
        <f>'Electricity shares'!D7*'Indirect NH3 demand sources'!D$5*(1-SUM('Pre-allocation of NH3 in power'!D7:D77))+'Pre-allocation of NH3 in power'!D7*'Indirect NH3 demand sources'!D$5</f>
        <v>0</v>
      </c>
      <c r="E7">
        <f>'Electricity shares'!E7*'Indirect NH3 demand sources'!E$5*(1-SUM('Pre-allocation of NH3 in power'!E7:E77))+'Pre-allocation of NH3 in power'!E7*'Indirect NH3 demand sources'!E$5</f>
        <v>0</v>
      </c>
      <c r="F7">
        <f>'Electricity shares'!F7*'Indirect NH3 demand sources'!F$5*(1-SUM('Pre-allocation of NH3 in power'!F7:F77))+'Pre-allocation of NH3 in power'!F7*'Indirect NH3 demand sources'!F$5</f>
        <v>0</v>
      </c>
      <c r="G7">
        <f>'Electricity shares'!G7*'Indirect NH3 demand sources'!G$5*(1-SUM('Pre-allocation of NH3 in power'!G7:G77))+'Pre-allocation of NH3 in power'!G7*'Indirect NH3 demand sources'!G$5</f>
        <v>0</v>
      </c>
      <c r="H7">
        <f>'Electricity shares'!H7*'Indirect NH3 demand sources'!H$5*(1-SUM('Pre-allocation of NH3 in power'!H7:H77))+'Pre-allocation of NH3 in power'!H7*'Indirect NH3 demand sources'!H$5</f>
        <v>0</v>
      </c>
      <c r="I7">
        <f>'Electricity shares'!I7*'Indirect NH3 demand sources'!I$5*(1-SUM('Pre-allocation of NH3 in power'!I7:I77))+'Pre-allocation of NH3 in power'!I7*'Indirect NH3 demand sources'!I$5</f>
        <v>0</v>
      </c>
      <c r="J7">
        <f>'Electricity shares'!J7*'Indirect NH3 demand sources'!J$5*(1-SUM('Pre-allocation of NH3 in power'!J7:J77))+'Pre-allocation of NH3 in power'!J7*'Indirect NH3 demand sources'!J$5</f>
        <v>0</v>
      </c>
      <c r="K7">
        <f>'Electricity shares'!K7*'Indirect NH3 demand sources'!K$5*(1-SUM('Pre-allocation of NH3 in power'!K7:K77))+'Pre-allocation of NH3 in power'!K7*'Indirect NH3 demand sources'!K$5</f>
        <v>0</v>
      </c>
      <c r="L7">
        <f>'Electricity shares'!L7*'Indirect NH3 demand sources'!L$5*(1-SUM('Pre-allocation of NH3 in power'!L7:L77))+'Pre-allocation of NH3 in power'!L7*'Indirect NH3 demand sources'!L$5</f>
        <v>0</v>
      </c>
      <c r="M7">
        <f>'Electricity shares'!M7*'Indirect NH3 demand sources'!M$5*(1-SUM('Pre-allocation of NH3 in power'!M7:M77))+'Pre-allocation of NH3 in power'!M7*'Indirect NH3 demand sources'!M$5</f>
        <v>0</v>
      </c>
      <c r="N7">
        <f>'Electricity shares'!N7*'Indirect NH3 demand sources'!N$5*(1-SUM('Pre-allocation of NH3 in power'!N7:N77))+'Pre-allocation of NH3 in power'!N7*'Indirect NH3 demand sources'!N$5</f>
        <v>0</v>
      </c>
      <c r="O7">
        <f>'Electricity shares'!O7*'Indirect NH3 demand sources'!O$5*(1-SUM('Pre-allocation of NH3 in power'!O7:O77))+'Pre-allocation of NH3 in power'!O7*'Indirect NH3 demand sources'!O$5</f>
        <v>0</v>
      </c>
      <c r="P7">
        <f>'Electricity shares'!P7*'Indirect NH3 demand sources'!P$5*(1-SUM('Pre-allocation of NH3 in power'!P7:P77))+'Pre-allocation of NH3 in power'!P7*'Indirect NH3 demand sources'!P$5</f>
        <v>0</v>
      </c>
      <c r="Q7">
        <f>'Electricity shares'!Q7*'Indirect NH3 demand sources'!Q$5*(1-SUM('Pre-allocation of NH3 in power'!Q7:Q77))+'Pre-allocation of NH3 in power'!Q7*'Indirect NH3 demand sources'!Q$5</f>
        <v>0</v>
      </c>
      <c r="R7">
        <f>'Electricity shares'!R7*'Indirect NH3 demand sources'!R$5*(1-SUM('Pre-allocation of NH3 in power'!R7:R77))+'Pre-allocation of NH3 in power'!R7*'Indirect NH3 demand sources'!R$5</f>
        <v>1.9040258982794456E-3</v>
      </c>
      <c r="S7">
        <f>'Electricity shares'!S7*'Indirect NH3 demand sources'!S$5*(1-SUM('Pre-allocation of NH3 in power'!S7:S77))+'Pre-allocation of NH3 in power'!S7*'Indirect NH3 demand sources'!S$5</f>
        <v>3.7682110850997593E-3</v>
      </c>
      <c r="T7">
        <f>'Electricity shares'!T7*'Indirect NH3 demand sources'!T$5*(1-SUM('Pre-allocation of NH3 in power'!T7:T77))+'Pre-allocation of NH3 in power'!T7*'Indirect NH3 demand sources'!T$5</f>
        <v>5.5903271716479614E-3</v>
      </c>
      <c r="U7">
        <f>'Electricity shares'!U7*'Indirect NH3 demand sources'!U$5*(1-SUM('Pre-allocation of NH3 in power'!U7:U77))+'Pre-allocation of NH3 in power'!U7*'Indirect NH3 demand sources'!U$5</f>
        <v>7.3710282945133737E-3</v>
      </c>
      <c r="V7">
        <f>'Electricity shares'!V7*'Indirect NH3 demand sources'!V$5*(1-SUM('Pre-allocation of NH3 in power'!V7:V77))+'Pre-allocation of NH3 in power'!V7*'Indirect NH3 demand sources'!V$5</f>
        <v>9.1146563834180183E-3</v>
      </c>
      <c r="W7">
        <f>'Electricity shares'!W7*'Indirect NH3 demand sources'!W$5*(1-SUM('Pre-allocation of NH3 in power'!W7:W77))+'Pre-allocation of NH3 in power'!W7*'Indirect NH3 demand sources'!W$5</f>
        <v>1.353373399519834E-2</v>
      </c>
      <c r="X7">
        <f>'Electricity shares'!X7*'Indirect NH3 demand sources'!X$5*(1-SUM('Pre-allocation of NH3 in power'!X7:X77))+'Pre-allocation of NH3 in power'!X7*'Indirect NH3 demand sources'!X$5</f>
        <v>1.7866808137474124E-2</v>
      </c>
      <c r="Y7">
        <f>'Electricity shares'!Y7*'Indirect NH3 demand sources'!Y$5*(1-SUM('Pre-allocation of NH3 in power'!Y7:Y77))+'Pre-allocation of NH3 in power'!Y7*'Indirect NH3 demand sources'!Y$5</f>
        <v>2.2114368220136189E-2</v>
      </c>
      <c r="Z7">
        <f>'Electricity shares'!Z7*'Indirect NH3 demand sources'!Z$5*(1-SUM('Pre-allocation of NH3 in power'!Z7:Z77))+'Pre-allocation of NH3 in power'!Z7*'Indirect NH3 demand sources'!Z$5</f>
        <v>2.6281150630403385E-2</v>
      </c>
      <c r="AA7">
        <f>'Electricity shares'!AA7*'Indirect NH3 demand sources'!AA$5*(1-SUM('Pre-allocation of NH3 in power'!AA7:AA77))+'Pre-allocation of NH3 in power'!AA7*'Indirect NH3 demand sources'!AA$5</f>
        <v>3.0372891036816473E-2</v>
      </c>
      <c r="AB7">
        <f>'Electricity shares'!AB7*'Indirect NH3 demand sources'!AB$5*(1-SUM('Pre-allocation of NH3 in power'!AB7:AB77))+'Pre-allocation of NH3 in power'!AB7*'Indirect NH3 demand sources'!AB$5</f>
        <v>3.4406239722951024E-2</v>
      </c>
      <c r="AC7">
        <f>'Electricity shares'!AC7*'Indirect NH3 demand sources'!AC$5*(1-SUM('Pre-allocation of NH3 in power'!AC7:AC77))+'Pre-allocation of NH3 in power'!AC7*'Indirect NH3 demand sources'!AC$5</f>
        <v>3.8374259029532912E-2</v>
      </c>
      <c r="AD7">
        <f>'Electricity shares'!AD7*'Indirect NH3 demand sources'!AD$5*(1-SUM('Pre-allocation of NH3 in power'!AD7:AD77))+'Pre-allocation of NH3 in power'!AD7*'Indirect NH3 demand sources'!AD$5</f>
        <v>4.227168576032983E-2</v>
      </c>
      <c r="AE7">
        <f>'Electricity shares'!AE7*'Indirect NH3 demand sources'!AE$5*(1-SUM('Pre-allocation of NH3 in power'!AE7:AE77))+'Pre-allocation of NH3 in power'!AE7*'Indirect NH3 demand sources'!AE$5</f>
        <v>4.6098795936391344E-2</v>
      </c>
      <c r="AF7">
        <f>'Electricity shares'!AF7*'Indirect NH3 demand sources'!AF$5*(1-SUM('Pre-allocation of NH3 in power'!AF7:AF77))+'Pre-allocation of NH3 in power'!AF7*'Indirect NH3 demand sources'!AF$5</f>
        <v>4.9846291393506832E-2</v>
      </c>
      <c r="AG7">
        <f>'Electricity shares'!AG7*'Indirect NH3 demand sources'!AG$5*(1-SUM('Pre-allocation of NH3 in power'!AG7:AG77))+'Pre-allocation of NH3 in power'!AG7*'Indirect NH3 demand sources'!AG$5</f>
        <v>5.2698661246960016E-2</v>
      </c>
      <c r="AH7">
        <f>'Electricity shares'!AH7*'Indirect NH3 demand sources'!AH$5*(1-SUM('Pre-allocation of NH3 in power'!AH7:AH77))+'Pre-allocation of NH3 in power'!AH7*'Indirect NH3 demand sources'!AH$5</f>
        <v>5.5454265009872973E-2</v>
      </c>
      <c r="AI7">
        <f>'Electricity shares'!AI7*'Indirect NH3 demand sources'!AI$5*(1-SUM('Pre-allocation of NH3 in power'!AI7:AI77))+'Pre-allocation of NH3 in power'!AI7*'Indirect NH3 demand sources'!AI$5</f>
        <v>5.8101255026001622E-2</v>
      </c>
      <c r="AJ7">
        <f>'Electricity shares'!AJ7*'Indirect NH3 demand sources'!AJ$5*(1-SUM('Pre-allocation of NH3 in power'!AJ7:AJ77))+'Pre-allocation of NH3 in power'!AJ7*'Indirect NH3 demand sources'!AJ$5</f>
        <v>6.0612510987370263E-2</v>
      </c>
      <c r="AK7">
        <f>'Electricity shares'!AK7*'Indirect NH3 demand sources'!AK$5*(1-SUM('Pre-allocation of NH3 in power'!AK7:AK77))+'Pre-allocation of NH3 in power'!AK7*'Indirect NH3 demand sources'!AK$5</f>
        <v>6.3004560822005437E-2</v>
      </c>
      <c r="AL7">
        <f>'Electricity shares'!AL7*'Indirect NH3 demand sources'!AL$5*(1-SUM('Pre-allocation of NH3 in power'!AL7:AL77))+'Pre-allocation of NH3 in power'!AL7*'Indirect NH3 demand sources'!AL$5</f>
        <v>6.5220233357123417E-2</v>
      </c>
      <c r="AM7">
        <f>'Electricity shares'!AM7*'Indirect NH3 demand sources'!AM$5*(1-SUM('Pre-allocation of NH3 in power'!AM7:AM77))+'Pre-allocation of NH3 in power'!AM7*'Indirect NH3 demand sources'!AM$5</f>
        <v>6.7249528995732971E-2</v>
      </c>
      <c r="AN7">
        <f>'Electricity shares'!AN7*'Indirect NH3 demand sources'!AN$5*(1-SUM('Pre-allocation of NH3 in power'!AN7:AN77))+'Pre-allocation of NH3 in power'!AN7*'Indirect NH3 demand sources'!AN$5</f>
        <v>6.9139290409788529E-2</v>
      </c>
      <c r="AO7">
        <f>'Electricity shares'!AO7*'Indirect NH3 demand sources'!AO$5*(1-SUM('Pre-allocation of NH3 in power'!AO7:AO77))+'Pre-allocation of NH3 in power'!AO7*'Indirect NH3 demand sources'!AO$5</f>
        <v>7.0915969456360944E-2</v>
      </c>
      <c r="AP7">
        <f>'Electricity shares'!AP7*'Indirect NH3 demand sources'!AP$5*(1-SUM('Pre-allocation of NH3 in power'!AP7:AP77))+'Pre-allocation of NH3 in power'!AP7*'Indirect NH3 demand sources'!AP$5</f>
        <v>7.2586253274547152E-2</v>
      </c>
    </row>
    <row r="8" spans="1:42" x14ac:dyDescent="0.3">
      <c r="A8" t="s">
        <v>83</v>
      </c>
      <c r="B8">
        <f>'Electricity shares'!B8*'Indirect NH3 demand sources'!B$5*(1-SUM('Pre-allocation of NH3 in power'!B8:B78))+'Pre-allocation of NH3 in power'!B8*'Indirect NH3 demand sources'!B$5</f>
        <v>0</v>
      </c>
      <c r="C8">
        <f>'Electricity shares'!C8*'Indirect NH3 demand sources'!C$5*(1-SUM('Pre-allocation of NH3 in power'!C8:C78))+'Pre-allocation of NH3 in power'!C8*'Indirect NH3 demand sources'!C$5</f>
        <v>0</v>
      </c>
      <c r="D8">
        <f>'Electricity shares'!D8*'Indirect NH3 demand sources'!D$5*(1-SUM('Pre-allocation of NH3 in power'!D8:D78))+'Pre-allocation of NH3 in power'!D8*'Indirect NH3 demand sources'!D$5</f>
        <v>0</v>
      </c>
      <c r="E8">
        <f>'Electricity shares'!E8*'Indirect NH3 demand sources'!E$5*(1-SUM('Pre-allocation of NH3 in power'!E8:E78))+'Pre-allocation of NH3 in power'!E8*'Indirect NH3 demand sources'!E$5</f>
        <v>0</v>
      </c>
      <c r="F8">
        <f>'Electricity shares'!F8*'Indirect NH3 demand sources'!F$5*(1-SUM('Pre-allocation of NH3 in power'!F8:F78))+'Pre-allocation of NH3 in power'!F8*'Indirect NH3 demand sources'!F$5</f>
        <v>0</v>
      </c>
      <c r="G8">
        <f>'Electricity shares'!G8*'Indirect NH3 demand sources'!G$5*(1-SUM('Pre-allocation of NH3 in power'!G8:G78))+'Pre-allocation of NH3 in power'!G8*'Indirect NH3 demand sources'!G$5</f>
        <v>0</v>
      </c>
      <c r="H8">
        <f>'Electricity shares'!H8*'Indirect NH3 demand sources'!H$5*(1-SUM('Pre-allocation of NH3 in power'!H8:H78))+'Pre-allocation of NH3 in power'!H8*'Indirect NH3 demand sources'!H$5</f>
        <v>0</v>
      </c>
      <c r="I8">
        <f>'Electricity shares'!I8*'Indirect NH3 demand sources'!I$5*(1-SUM('Pre-allocation of NH3 in power'!I8:I78))+'Pre-allocation of NH3 in power'!I8*'Indirect NH3 demand sources'!I$5</f>
        <v>0</v>
      </c>
      <c r="J8">
        <f>'Electricity shares'!J8*'Indirect NH3 demand sources'!J$5*(1-SUM('Pre-allocation of NH3 in power'!J8:J78))+'Pre-allocation of NH3 in power'!J8*'Indirect NH3 demand sources'!J$5</f>
        <v>0</v>
      </c>
      <c r="K8">
        <f>'Electricity shares'!K8*'Indirect NH3 demand sources'!K$5*(1-SUM('Pre-allocation of NH3 in power'!K8:K78))+'Pre-allocation of NH3 in power'!K8*'Indirect NH3 demand sources'!K$5</f>
        <v>0</v>
      </c>
      <c r="L8">
        <f>'Electricity shares'!L8*'Indirect NH3 demand sources'!L$5*(1-SUM('Pre-allocation of NH3 in power'!L8:L78))+'Pre-allocation of NH3 in power'!L8*'Indirect NH3 demand sources'!L$5</f>
        <v>0</v>
      </c>
      <c r="M8">
        <f>'Electricity shares'!M8*'Indirect NH3 demand sources'!M$5*(1-SUM('Pre-allocation of NH3 in power'!M8:M78))+'Pre-allocation of NH3 in power'!M8*'Indirect NH3 demand sources'!M$5</f>
        <v>0</v>
      </c>
      <c r="N8">
        <f>'Electricity shares'!N8*'Indirect NH3 demand sources'!N$5*(1-SUM('Pre-allocation of NH3 in power'!N8:N78))+'Pre-allocation of NH3 in power'!N8*'Indirect NH3 demand sources'!N$5</f>
        <v>0</v>
      </c>
      <c r="O8">
        <f>'Electricity shares'!O8*'Indirect NH3 demand sources'!O$5*(1-SUM('Pre-allocation of NH3 in power'!O8:O78))+'Pre-allocation of NH3 in power'!O8*'Indirect NH3 demand sources'!O$5</f>
        <v>0</v>
      </c>
      <c r="P8">
        <f>'Electricity shares'!P8*'Indirect NH3 demand sources'!P$5*(1-SUM('Pre-allocation of NH3 in power'!P8:P78))+'Pre-allocation of NH3 in power'!P8*'Indirect NH3 demand sources'!P$5</f>
        <v>0</v>
      </c>
      <c r="Q8">
        <f>'Electricity shares'!Q8*'Indirect NH3 demand sources'!Q$5*(1-SUM('Pre-allocation of NH3 in power'!Q8:Q78))+'Pre-allocation of NH3 in power'!Q8*'Indirect NH3 demand sources'!Q$5</f>
        <v>0</v>
      </c>
      <c r="R8">
        <f>'Electricity shares'!R8*'Indirect NH3 demand sources'!R$5*(1-SUM('Pre-allocation of NH3 in power'!R8:R78))+'Pre-allocation of NH3 in power'!R8*'Indirect NH3 demand sources'!R$5</f>
        <v>3.4921524024696345E-3</v>
      </c>
      <c r="S8">
        <f>'Electricity shares'!S8*'Indirect NH3 demand sources'!S$5*(1-SUM('Pre-allocation of NH3 in power'!S8:S78))+'Pre-allocation of NH3 in power'!S8*'Indirect NH3 demand sources'!S$5</f>
        <v>6.8740389388054716E-3</v>
      </c>
      <c r="T8">
        <f>'Electricity shares'!T8*'Indirect NH3 demand sources'!T$5*(1-SUM('Pre-allocation of NH3 in power'!T8:T78))+'Pre-allocation of NH3 in power'!T8*'Indirect NH3 demand sources'!T$5</f>
        <v>1.014807757490211E-2</v>
      </c>
      <c r="U8">
        <f>'Electricity shares'!U8*'Indirect NH3 demand sources'!U$5*(1-SUM('Pre-allocation of NH3 in power'!U8:U78))+'Pre-allocation of NH3 in power'!U8*'Indirect NH3 demand sources'!U$5</f>
        <v>1.3321547634847093E-2</v>
      </c>
      <c r="V8">
        <f>'Electricity shares'!V8*'Indirect NH3 demand sources'!V$5*(1-SUM('Pre-allocation of NH3 in power'!V8:V78))+'Pre-allocation of NH3 in power'!V8*'Indirect NH3 demand sources'!V$5</f>
        <v>1.640828328544968E-2</v>
      </c>
      <c r="W8">
        <f>'Electricity shares'!W8*'Indirect NH3 demand sources'!W$5*(1-SUM('Pre-allocation of NH3 in power'!W8:W78))+'Pre-allocation of NH3 in power'!W8*'Indirect NH3 demand sources'!W$5</f>
        <v>2.4272560958250401E-2</v>
      </c>
      <c r="X8">
        <f>'Electricity shares'!X8*'Indirect NH3 demand sources'!X$5*(1-SUM('Pre-allocation of NH3 in power'!X8:X78))+'Pre-allocation of NH3 in power'!X8*'Indirect NH3 demand sources'!X$5</f>
        <v>3.1931126045394581E-2</v>
      </c>
      <c r="Y8">
        <f>'Electricity shares'!Y8*'Indirect NH3 demand sources'!Y$5*(1-SUM('Pre-allocation of NH3 in power'!Y8:Y78))+'Pre-allocation of NH3 in power'!Y8*'Indirect NH3 demand sources'!Y$5</f>
        <v>3.9399880671458415E-2</v>
      </c>
      <c r="Z8">
        <f>'Electricity shares'!Z8*'Indirect NH3 demand sources'!Z$5*(1-SUM('Pre-allocation of NH3 in power'!Z8:Z78))+'Pre-allocation of NH3 in power'!Z8*'Indirect NH3 demand sources'!Z$5</f>
        <v>4.6697351299251774E-2</v>
      </c>
      <c r="AA8">
        <f>'Electricity shares'!AA8*'Indirect NH3 demand sources'!AA$5*(1-SUM('Pre-allocation of NH3 in power'!AA8:AA78))+'Pre-allocation of NH3 in power'!AA8*'Indirect NH3 demand sources'!AA$5</f>
        <v>5.3805954917506837E-2</v>
      </c>
      <c r="AB8">
        <f>'Electricity shares'!AB8*'Indirect NH3 demand sources'!AB$5*(1-SUM('Pre-allocation of NH3 in power'!AB8:AB78))+'Pre-allocation of NH3 in power'!AB8*'Indirect NH3 demand sources'!AB$5</f>
        <v>6.0688437509767233E-2</v>
      </c>
      <c r="AC8">
        <f>'Electricity shares'!AC8*'Indirect NH3 demand sources'!AC$5*(1-SUM('Pre-allocation of NH3 in power'!AC8:AC78))+'Pre-allocation of NH3 in power'!AC8*'Indirect NH3 demand sources'!AC$5</f>
        <v>6.7389028545450189E-2</v>
      </c>
      <c r="AD8">
        <f>'Electricity shares'!AD8*'Indirect NH3 demand sources'!AD$5*(1-SUM('Pre-allocation of NH3 in power'!AD8:AD78))+'Pre-allocation of NH3 in power'!AD8*'Indirect NH3 demand sources'!AD$5</f>
        <v>7.3899504248816542E-2</v>
      </c>
      <c r="AE8">
        <f>'Electricity shares'!AE8*'Indirect NH3 demand sources'!AE$5*(1-SUM('Pre-allocation of NH3 in power'!AE8:AE78))+'Pre-allocation of NH3 in power'!AE8*'Indirect NH3 demand sources'!AE$5</f>
        <v>8.0225511052502349E-2</v>
      </c>
      <c r="AF8">
        <f>'Electricity shares'!AF8*'Indirect NH3 demand sources'!AF$5*(1-SUM('Pre-allocation of NH3 in power'!AF8:AF78))+'Pre-allocation of NH3 in power'!AF8*'Indirect NH3 demand sources'!AF$5</f>
        <v>8.6281201983561345E-2</v>
      </c>
      <c r="AG8">
        <f>'Electricity shares'!AG8*'Indirect NH3 demand sources'!AG$5*(1-SUM('Pre-allocation of NH3 in power'!AG8:AG78))+'Pre-allocation of NH3 in power'!AG8*'Indirect NH3 demand sources'!AG$5</f>
        <v>9.0679657452974738E-2</v>
      </c>
      <c r="AH8">
        <f>'Electricity shares'!AH8*'Indirect NH3 demand sources'!AH$5*(1-SUM('Pre-allocation of NH3 in power'!AH8:AH78))+'Pre-allocation of NH3 in power'!AH8*'Indirect NH3 demand sources'!AH$5</f>
        <v>9.4923250630205583E-2</v>
      </c>
      <c r="AI8">
        <f>'Electricity shares'!AI8*'Indirect NH3 demand sources'!AI$5*(1-SUM('Pre-allocation of NH3 in power'!AI8:AI78))+'Pre-allocation of NH3 in power'!AI8*'Indirect NH3 demand sources'!AI$5</f>
        <v>9.8922078108668446E-2</v>
      </c>
      <c r="AJ8">
        <f>'Electricity shares'!AJ8*'Indirect NH3 demand sources'!AJ$5*(1-SUM('Pre-allocation of NH3 in power'!AJ8:AJ78))+'Pre-allocation of NH3 in power'!AJ8*'Indirect NH3 demand sources'!AJ$5</f>
        <v>0.10267488198399456</v>
      </c>
      <c r="AK8">
        <f>'Electricity shares'!AK8*'Indirect NH3 demand sources'!AK$5*(1-SUM('Pre-allocation of NH3 in power'!AK8:AK78))+'Pre-allocation of NH3 in power'!AK8*'Indirect NH3 demand sources'!AK$5</f>
        <v>0.10619583789201219</v>
      </c>
      <c r="AL8">
        <f>'Electricity shares'!AL8*'Indirect NH3 demand sources'!AL$5*(1-SUM('Pre-allocation of NH3 in power'!AL8:AL78))+'Pre-allocation of NH3 in power'!AL8*'Indirect NH3 demand sources'!AL$5</f>
        <v>0.10953693044186988</v>
      </c>
      <c r="AM8">
        <f>'Electricity shares'!AM8*'Indirect NH3 demand sources'!AM$5*(1-SUM('Pre-allocation of NH3 in power'!AM8:AM78))+'Pre-allocation of NH3 in power'!AM8*'Indirect NH3 demand sources'!AM$5</f>
        <v>0.11260807045882822</v>
      </c>
      <c r="AN8">
        <f>'Electricity shares'!AN8*'Indirect NH3 demand sources'!AN$5*(1-SUM('Pre-allocation of NH3 in power'!AN8:AN78))+'Pre-allocation of NH3 in power'!AN8*'Indirect NH3 demand sources'!AN$5</f>
        <v>0.11550582119790427</v>
      </c>
      <c r="AO8">
        <f>'Electricity shares'!AO8*'Indirect NH3 demand sources'!AO$5*(1-SUM('Pre-allocation of NH3 in power'!AO8:AO78))+'Pre-allocation of NH3 in power'!AO8*'Indirect NH3 demand sources'!AO$5</f>
        <v>0.1182784730499867</v>
      </c>
      <c r="AP8">
        <f>'Electricity shares'!AP8*'Indirect NH3 demand sources'!AP$5*(1-SUM('Pre-allocation of NH3 in power'!AP8:AP78))+'Pre-allocation of NH3 in power'!AP8*'Indirect NH3 demand sources'!AP$5</f>
        <v>0.12091688951818245</v>
      </c>
    </row>
    <row r="9" spans="1:42" x14ac:dyDescent="0.3">
      <c r="A9" t="s">
        <v>84</v>
      </c>
      <c r="B9">
        <f>'Electricity shares'!B9*'Indirect NH3 demand sources'!B$5*(1-SUM('Pre-allocation of NH3 in power'!B9:B79))+'Pre-allocation of NH3 in power'!B9*'Indirect NH3 demand sources'!B$5</f>
        <v>0</v>
      </c>
      <c r="C9">
        <f>'Electricity shares'!C9*'Indirect NH3 demand sources'!C$5*(1-SUM('Pre-allocation of NH3 in power'!C9:C79))+'Pre-allocation of NH3 in power'!C9*'Indirect NH3 demand sources'!C$5</f>
        <v>0</v>
      </c>
      <c r="D9">
        <f>'Electricity shares'!D9*'Indirect NH3 demand sources'!D$5*(1-SUM('Pre-allocation of NH3 in power'!D9:D79))+'Pre-allocation of NH3 in power'!D9*'Indirect NH3 demand sources'!D$5</f>
        <v>0</v>
      </c>
      <c r="E9">
        <f>'Electricity shares'!E9*'Indirect NH3 demand sources'!E$5*(1-SUM('Pre-allocation of NH3 in power'!E9:E79))+'Pre-allocation of NH3 in power'!E9*'Indirect NH3 demand sources'!E$5</f>
        <v>0</v>
      </c>
      <c r="F9">
        <f>'Electricity shares'!F9*'Indirect NH3 demand sources'!F$5*(1-SUM('Pre-allocation of NH3 in power'!F9:F79))+'Pre-allocation of NH3 in power'!F9*'Indirect NH3 demand sources'!F$5</f>
        <v>0</v>
      </c>
      <c r="G9">
        <f>'Electricity shares'!G9*'Indirect NH3 demand sources'!G$5*(1-SUM('Pre-allocation of NH3 in power'!G9:G79))+'Pre-allocation of NH3 in power'!G9*'Indirect NH3 demand sources'!G$5</f>
        <v>0</v>
      </c>
      <c r="H9">
        <f>'Electricity shares'!H9*'Indirect NH3 demand sources'!H$5*(1-SUM('Pre-allocation of NH3 in power'!H9:H79))+'Pre-allocation of NH3 in power'!H9*'Indirect NH3 demand sources'!H$5</f>
        <v>0</v>
      </c>
      <c r="I9">
        <f>'Electricity shares'!I9*'Indirect NH3 demand sources'!I$5*(1-SUM('Pre-allocation of NH3 in power'!I9:I79))+'Pre-allocation of NH3 in power'!I9*'Indirect NH3 demand sources'!I$5</f>
        <v>0</v>
      </c>
      <c r="J9">
        <f>'Electricity shares'!J9*'Indirect NH3 demand sources'!J$5*(1-SUM('Pre-allocation of NH3 in power'!J9:J79))+'Pre-allocation of NH3 in power'!J9*'Indirect NH3 demand sources'!J$5</f>
        <v>0</v>
      </c>
      <c r="K9">
        <f>'Electricity shares'!K9*'Indirect NH3 demand sources'!K$5*(1-SUM('Pre-allocation of NH3 in power'!K9:K79))+'Pre-allocation of NH3 in power'!K9*'Indirect NH3 demand sources'!K$5</f>
        <v>0</v>
      </c>
      <c r="L9">
        <f>'Electricity shares'!L9*'Indirect NH3 demand sources'!L$5*(1-SUM('Pre-allocation of NH3 in power'!L9:L79))+'Pre-allocation of NH3 in power'!L9*'Indirect NH3 demand sources'!L$5</f>
        <v>0</v>
      </c>
      <c r="M9">
        <f>'Electricity shares'!M9*'Indirect NH3 demand sources'!M$5*(1-SUM('Pre-allocation of NH3 in power'!M9:M79))+'Pre-allocation of NH3 in power'!M9*'Indirect NH3 demand sources'!M$5</f>
        <v>0</v>
      </c>
      <c r="N9">
        <f>'Electricity shares'!N9*'Indirect NH3 demand sources'!N$5*(1-SUM('Pre-allocation of NH3 in power'!N9:N79))+'Pre-allocation of NH3 in power'!N9*'Indirect NH3 demand sources'!N$5</f>
        <v>0</v>
      </c>
      <c r="O9">
        <f>'Electricity shares'!O9*'Indirect NH3 demand sources'!O$5*(1-SUM('Pre-allocation of NH3 in power'!O9:O79))+'Pre-allocation of NH3 in power'!O9*'Indirect NH3 demand sources'!O$5</f>
        <v>0</v>
      </c>
      <c r="P9">
        <f>'Electricity shares'!P9*'Indirect NH3 demand sources'!P$5*(1-SUM('Pre-allocation of NH3 in power'!P9:P79))+'Pre-allocation of NH3 in power'!P9*'Indirect NH3 demand sources'!P$5</f>
        <v>0</v>
      </c>
      <c r="Q9">
        <f>'Electricity shares'!Q9*'Indirect NH3 demand sources'!Q$5*(1-SUM('Pre-allocation of NH3 in power'!Q9:Q79))+'Pre-allocation of NH3 in power'!Q9*'Indirect NH3 demand sources'!Q$5</f>
        <v>0</v>
      </c>
      <c r="R9">
        <f>'Electricity shares'!R9*'Indirect NH3 demand sources'!R$5*(1-SUM('Pre-allocation of NH3 in power'!R9:R79))+'Pre-allocation of NH3 in power'!R9*'Indirect NH3 demand sources'!R$5</f>
        <v>2.3404927098102073E-4</v>
      </c>
      <c r="S9">
        <f>'Electricity shares'!S9*'Indirect NH3 demand sources'!S$5*(1-SUM('Pre-allocation of NH3 in power'!S9:S79))+'Pre-allocation of NH3 in power'!S9*'Indirect NH3 demand sources'!S$5</f>
        <v>4.6625786228936733E-4</v>
      </c>
      <c r="T9">
        <f>'Electricity shares'!T9*'Indirect NH3 demand sources'!T$5*(1-SUM('Pre-allocation of NH3 in power'!T9:T79))+'Pre-allocation of NH3 in power'!T9*'Indirect NH3 demand sources'!T$5</f>
        <v>6.9647814363647256E-4</v>
      </c>
      <c r="U9">
        <f>'Electricity shares'!U9*'Indirect NH3 demand sources'!U$5*(1-SUM('Pre-allocation of NH3 in power'!U9:U79))+'Pre-allocation of NH3 in power'!U9*'Indirect NH3 demand sources'!U$5</f>
        <v>9.2478870399337028E-4</v>
      </c>
      <c r="V9">
        <f>'Electricity shares'!V9*'Indirect NH3 demand sources'!V$5*(1-SUM('Pre-allocation of NH3 in power'!V9:V79))+'Pre-allocation of NH3 in power'!V9*'Indirect NH3 demand sources'!V$5</f>
        <v>1.1516359976360203E-3</v>
      </c>
      <c r="W9">
        <f>'Electricity shares'!W9*'Indirect NH3 demand sources'!W$5*(1-SUM('Pre-allocation of NH3 in power'!W9:W79))+'Pre-allocation of NH3 in power'!W9*'Indirect NH3 demand sources'!W$5</f>
        <v>1.7103316644761475E-3</v>
      </c>
      <c r="X9">
        <f>'Electricity shares'!X9*'Indirect NH3 demand sources'!X$5*(1-SUM('Pre-allocation of NH3 in power'!X9:X79))+'Pre-allocation of NH3 in power'!X9*'Indirect NH3 demand sources'!X$5</f>
        <v>2.258277095958946E-3</v>
      </c>
      <c r="Y9">
        <f>'Electricity shares'!Y9*'Indirect NH3 demand sources'!Y$5*(1-SUM('Pre-allocation of NH3 in power'!Y9:Y79))+'Pre-allocation of NH3 in power'!Y9*'Indirect NH3 demand sources'!Y$5</f>
        <v>2.7965936582698362E-3</v>
      </c>
      <c r="Z9">
        <f>'Electricity shares'!Z9*'Indirect NH3 demand sources'!Z$5*(1-SUM('Pre-allocation of NH3 in power'!Z9:Z79))+'Pre-allocation of NH3 in power'!Z9*'Indirect NH3 demand sources'!Z$5</f>
        <v>3.3260763086224898E-3</v>
      </c>
      <c r="AA9">
        <f>'Electricity shares'!AA9*'Indirect NH3 demand sources'!AA$5*(1-SUM('Pre-allocation of NH3 in power'!AA9:AA79))+'Pre-allocation of NH3 in power'!AA9*'Indirect NH3 demand sources'!AA$5</f>
        <v>3.8470535947238279E-3</v>
      </c>
      <c r="AB9">
        <f>'Electricity shares'!AB9*'Indirect NH3 demand sources'!AB$5*(1-SUM('Pre-allocation of NH3 in power'!AB9:AB79))+'Pre-allocation of NH3 in power'!AB9*'Indirect NH3 demand sources'!AB$5</f>
        <v>4.3662788645452153E-3</v>
      </c>
      <c r="AC9">
        <f>'Electricity shares'!AC9*'Indirect NH3 demand sources'!AC$5*(1-SUM('Pre-allocation of NH3 in power'!AC9:AC79))+'Pre-allocation of NH3 in power'!AC9*'Indirect NH3 demand sources'!AC$5</f>
        <v>4.8784538624594012E-3</v>
      </c>
      <c r="AD9">
        <f>'Electricity shares'!AD9*'Indirect NH3 demand sources'!AD$5*(1-SUM('Pre-allocation of NH3 in power'!AD9:AD79))+'Pre-allocation of NH3 in power'!AD9*'Indirect NH3 demand sources'!AD$5</f>
        <v>5.3838220581607947E-3</v>
      </c>
      <c r="AE9">
        <f>'Electricity shares'!AE9*'Indirect NH3 demand sources'!AE$5*(1-SUM('Pre-allocation of NH3 in power'!AE9:AE79))+'Pre-allocation of NH3 in power'!AE9*'Indirect NH3 demand sources'!AE$5</f>
        <v>5.8815822592670651E-3</v>
      </c>
      <c r="AF9">
        <f>'Electricity shares'!AF9*'Indirect NH3 demand sources'!AF$5*(1-SUM('Pre-allocation of NH3 in power'!AF9:AF79))+'Pre-allocation of NH3 in power'!AF9*'Indirect NH3 demand sources'!AF$5</f>
        <v>6.3696033769840045E-3</v>
      </c>
      <c r="AG9">
        <f>'Electricity shares'!AG9*'Indirect NH3 demand sources'!AG$5*(1-SUM('Pre-allocation of NH3 in power'!AG9:AG79))+'Pre-allocation of NH3 in power'!AG9*'Indirect NH3 demand sources'!AG$5</f>
        <v>6.7682418984877472E-3</v>
      </c>
      <c r="AH9">
        <f>'Electricity shares'!AH9*'Indirect NH3 demand sources'!AH$5*(1-SUM('Pre-allocation of NH3 in power'!AH9:AH79))+'Pre-allocation of NH3 in power'!AH9*'Indirect NH3 demand sources'!AH$5</f>
        <v>7.1593548292802093E-3</v>
      </c>
      <c r="AI9">
        <f>'Electricity shares'!AI9*'Indirect NH3 demand sources'!AI$5*(1-SUM('Pre-allocation of NH3 in power'!AI9:AI79))+'Pre-allocation of NH3 in power'!AI9*'Indirect NH3 demand sources'!AI$5</f>
        <v>7.5406556930950313E-3</v>
      </c>
      <c r="AJ9">
        <f>'Electricity shares'!AJ9*'Indirect NH3 demand sources'!AJ$5*(1-SUM('Pre-allocation of NH3 in power'!AJ9:AJ79))+'Pre-allocation of NH3 in power'!AJ9*'Indirect NH3 demand sources'!AJ$5</f>
        <v>7.9109031268485668E-3</v>
      </c>
      <c r="AK9">
        <f>'Electricity shares'!AK9*'Indirect NH3 demand sources'!AK$5*(1-SUM('Pre-allocation of NH3 in power'!AK9:AK79))+'Pre-allocation of NH3 in power'!AK9*'Indirect NH3 demand sources'!AK$5</f>
        <v>8.2707810040527838E-3</v>
      </c>
      <c r="AL9">
        <f>'Electricity shares'!AL9*'Indirect NH3 demand sources'!AL$5*(1-SUM('Pre-allocation of NH3 in power'!AL9:AL79))+'Pre-allocation of NH3 in power'!AL9*'Indirect NH3 demand sources'!AL$5</f>
        <v>8.6527987977395096E-3</v>
      </c>
      <c r="AM9">
        <f>'Electricity shares'!AM9*'Indirect NH3 demand sources'!AM$5*(1-SUM('Pre-allocation of NH3 in power'!AM9:AM79))+'Pre-allocation of NH3 in power'!AM9*'Indirect NH3 demand sources'!AM$5</f>
        <v>9.0229969463603687E-3</v>
      </c>
      <c r="AN9">
        <f>'Electricity shares'!AN9*'Indirect NH3 demand sources'!AN$5*(1-SUM('Pre-allocation of NH3 in power'!AN9:AN79))+'Pre-allocation of NH3 in power'!AN9*'Indirect NH3 demand sources'!AN$5</f>
        <v>9.3865698921565734E-3</v>
      </c>
      <c r="AO9">
        <f>'Electricity shares'!AO9*'Indirect NH3 demand sources'!AO$5*(1-SUM('Pre-allocation of NH3 in power'!AO9:AO79))+'Pre-allocation of NH3 in power'!AO9*'Indirect NH3 demand sources'!AO$5</f>
        <v>9.7453080178930476E-3</v>
      </c>
      <c r="AP9">
        <f>'Electricity shares'!AP9*'Indirect NH3 demand sources'!AP$5*(1-SUM('Pre-allocation of NH3 in power'!AP9:AP79))+'Pre-allocation of NH3 in power'!AP9*'Indirect NH3 demand sources'!AP$5</f>
        <v>1.0097986445505955E-2</v>
      </c>
    </row>
    <row r="10" spans="1:42" x14ac:dyDescent="0.3">
      <c r="A10" t="s">
        <v>85</v>
      </c>
      <c r="B10">
        <f>'Electricity shares'!B10*'Indirect NH3 demand sources'!B$5*(1-SUM('Pre-allocation of NH3 in power'!B10:B80))+'Pre-allocation of NH3 in power'!B10*'Indirect NH3 demand sources'!B$5</f>
        <v>0</v>
      </c>
      <c r="C10">
        <f>'Electricity shares'!C10*'Indirect NH3 demand sources'!C$5*(1-SUM('Pre-allocation of NH3 in power'!C10:C80))+'Pre-allocation of NH3 in power'!C10*'Indirect NH3 demand sources'!C$5</f>
        <v>0</v>
      </c>
      <c r="D10">
        <f>'Electricity shares'!D10*'Indirect NH3 demand sources'!D$5*(1-SUM('Pre-allocation of NH3 in power'!D10:D80))+'Pre-allocation of NH3 in power'!D10*'Indirect NH3 demand sources'!D$5</f>
        <v>0</v>
      </c>
      <c r="E10">
        <f>'Electricity shares'!E10*'Indirect NH3 demand sources'!E$5*(1-SUM('Pre-allocation of NH3 in power'!E10:E80))+'Pre-allocation of NH3 in power'!E10*'Indirect NH3 demand sources'!E$5</f>
        <v>0</v>
      </c>
      <c r="F10">
        <f>'Electricity shares'!F10*'Indirect NH3 demand sources'!F$5*(1-SUM('Pre-allocation of NH3 in power'!F10:F80))+'Pre-allocation of NH3 in power'!F10*'Indirect NH3 demand sources'!F$5</f>
        <v>0</v>
      </c>
      <c r="G10">
        <f>'Electricity shares'!G10*'Indirect NH3 demand sources'!G$5*(1-SUM('Pre-allocation of NH3 in power'!G10:G80))+'Pre-allocation of NH3 in power'!G10*'Indirect NH3 demand sources'!G$5</f>
        <v>0</v>
      </c>
      <c r="H10">
        <f>'Electricity shares'!H10*'Indirect NH3 demand sources'!H$5*(1-SUM('Pre-allocation of NH3 in power'!H10:H80))+'Pre-allocation of NH3 in power'!H10*'Indirect NH3 demand sources'!H$5</f>
        <v>0</v>
      </c>
      <c r="I10">
        <f>'Electricity shares'!I10*'Indirect NH3 demand sources'!I$5*(1-SUM('Pre-allocation of NH3 in power'!I10:I80))+'Pre-allocation of NH3 in power'!I10*'Indirect NH3 demand sources'!I$5</f>
        <v>0</v>
      </c>
      <c r="J10">
        <f>'Electricity shares'!J10*'Indirect NH3 demand sources'!J$5*(1-SUM('Pre-allocation of NH3 in power'!J10:J80))+'Pre-allocation of NH3 in power'!J10*'Indirect NH3 demand sources'!J$5</f>
        <v>0</v>
      </c>
      <c r="K10">
        <f>'Electricity shares'!K10*'Indirect NH3 demand sources'!K$5*(1-SUM('Pre-allocation of NH3 in power'!K10:K80))+'Pre-allocation of NH3 in power'!K10*'Indirect NH3 demand sources'!K$5</f>
        <v>0</v>
      </c>
      <c r="L10">
        <f>'Electricity shares'!L10*'Indirect NH3 demand sources'!L$5*(1-SUM('Pre-allocation of NH3 in power'!L10:L80))+'Pre-allocation of NH3 in power'!L10*'Indirect NH3 demand sources'!L$5</f>
        <v>0</v>
      </c>
      <c r="M10">
        <f>'Electricity shares'!M10*'Indirect NH3 demand sources'!M$5*(1-SUM('Pre-allocation of NH3 in power'!M10:M80))+'Pre-allocation of NH3 in power'!M10*'Indirect NH3 demand sources'!M$5</f>
        <v>0</v>
      </c>
      <c r="N10">
        <f>'Electricity shares'!N10*'Indirect NH3 demand sources'!N$5*(1-SUM('Pre-allocation of NH3 in power'!N10:N80))+'Pre-allocation of NH3 in power'!N10*'Indirect NH3 demand sources'!N$5</f>
        <v>0</v>
      </c>
      <c r="O10">
        <f>'Electricity shares'!O10*'Indirect NH3 demand sources'!O$5*(1-SUM('Pre-allocation of NH3 in power'!O10:O80))+'Pre-allocation of NH3 in power'!O10*'Indirect NH3 demand sources'!O$5</f>
        <v>0</v>
      </c>
      <c r="P10">
        <f>'Electricity shares'!P10*'Indirect NH3 demand sources'!P$5*(1-SUM('Pre-allocation of NH3 in power'!P10:P80))+'Pre-allocation of NH3 in power'!P10*'Indirect NH3 demand sources'!P$5</f>
        <v>0</v>
      </c>
      <c r="Q10">
        <f>'Electricity shares'!Q10*'Indirect NH3 demand sources'!Q$5*(1-SUM('Pre-allocation of NH3 in power'!Q10:Q80))+'Pre-allocation of NH3 in power'!Q10*'Indirect NH3 demand sources'!Q$5</f>
        <v>0</v>
      </c>
      <c r="R10">
        <f>'Electricity shares'!R10*'Indirect NH3 demand sources'!R$5*(1-SUM('Pre-allocation of NH3 in power'!R10:R80))+'Pre-allocation of NH3 in power'!R10*'Indirect NH3 demand sources'!R$5</f>
        <v>1.9020784643731335E-3</v>
      </c>
      <c r="S10">
        <f>'Electricity shares'!S10*'Indirect NH3 demand sources'!S$5*(1-SUM('Pre-allocation of NH3 in power'!S10:S80))+'Pre-allocation of NH3 in power'!S10*'Indirect NH3 demand sources'!S$5</f>
        <v>3.7899636962055714E-3</v>
      </c>
      <c r="T10">
        <f>'Electricity shares'!T10*'Indirect NH3 demand sources'!T$5*(1-SUM('Pre-allocation of NH3 in power'!T10:T80))+'Pre-allocation of NH3 in power'!T10*'Indirect NH3 demand sources'!T$5</f>
        <v>5.6633462402250418E-3</v>
      </c>
      <c r="U10">
        <f>'Electricity shares'!U10*'Indirect NH3 demand sources'!U$5*(1-SUM('Pre-allocation of NH3 in power'!U10:U80))+'Pre-allocation of NH3 in power'!U10*'Indirect NH3 demand sources'!U$5</f>
        <v>7.5208495288627449E-3</v>
      </c>
      <c r="V10">
        <f>'Electricity shares'!V10*'Indirect NH3 demand sources'!V$5*(1-SUM('Pre-allocation of NH3 in power'!V10:V80))+'Pre-allocation of NH3 in power'!V10*'Indirect NH3 demand sources'!V$5</f>
        <v>9.3677952569253958E-3</v>
      </c>
      <c r="W10">
        <f>'Electricity shares'!W10*'Indirect NH3 demand sources'!W$5*(1-SUM('Pre-allocation of NH3 in power'!W10:W80))+'Pre-allocation of NH3 in power'!W10*'Indirect NH3 demand sources'!W$5</f>
        <v>1.3867005123037278E-2</v>
      </c>
      <c r="X10">
        <f>'Electricity shares'!X10*'Indirect NH3 demand sources'!X$5*(1-SUM('Pre-allocation of NH3 in power'!X10:X80))+'Pre-allocation of NH3 in power'!X10*'Indirect NH3 demand sources'!X$5</f>
        <v>1.8249699129863246E-2</v>
      </c>
      <c r="Y10">
        <f>'Electricity shares'!Y10*'Indirect NH3 demand sources'!Y$5*(1-SUM('Pre-allocation of NH3 in power'!Y10:Y80))+'Pre-allocation of NH3 in power'!Y10*'Indirect NH3 demand sources'!Y$5</f>
        <v>2.2520238856267534E-2</v>
      </c>
      <c r="Z10">
        <f>'Electricity shares'!Z10*'Indirect NH3 demand sources'!Z$5*(1-SUM('Pre-allocation of NH3 in power'!Z10:Z80))+'Pre-allocation of NH3 in power'!Z10*'Indirect NH3 demand sources'!Z$5</f>
        <v>2.6677617009539321E-2</v>
      </c>
      <c r="AA10">
        <f>'Electricity shares'!AA10*'Indirect NH3 demand sources'!AA$5*(1-SUM('Pre-allocation of NH3 in power'!AA10:AA80))+'Pre-allocation of NH3 in power'!AA10*'Indirect NH3 demand sources'!AA$5</f>
        <v>3.0728978109890132E-2</v>
      </c>
      <c r="AB10">
        <f>'Electricity shares'!AB10*'Indirect NH3 demand sources'!AB$5*(1-SUM('Pre-allocation of NH3 in power'!AB10:AB80))+'Pre-allocation of NH3 in power'!AB10*'Indirect NH3 demand sources'!AB$5</f>
        <v>3.4840278657617088E-2</v>
      </c>
      <c r="AC10">
        <f>'Electricity shares'!AC10*'Indirect NH3 demand sources'!AC$5*(1-SUM('Pre-allocation of NH3 in power'!AC10:AC80))+'Pre-allocation of NH3 in power'!AC10*'Indirect NH3 demand sources'!AC$5</f>
        <v>3.8892683896943517E-2</v>
      </c>
      <c r="AD10">
        <f>'Electricity shares'!AD10*'Indirect NH3 demand sources'!AD$5*(1-SUM('Pre-allocation of NH3 in power'!AD10:AD80))+'Pre-allocation of NH3 in power'!AD10*'Indirect NH3 demand sources'!AD$5</f>
        <v>4.2882731725766246E-2</v>
      </c>
      <c r="AE10">
        <f>'Electricity shares'!AE10*'Indirect NH3 demand sources'!AE$5*(1-SUM('Pre-allocation of NH3 in power'!AE10:AE80))+'Pre-allocation of NH3 in power'!AE10*'Indirect NH3 demand sources'!AE$5</f>
        <v>4.6812752482741103E-2</v>
      </c>
      <c r="AF10">
        <f>'Electricity shares'!AF10*'Indirect NH3 demand sources'!AF$5*(1-SUM('Pre-allocation of NH3 in power'!AF10:AF80))+'Pre-allocation of NH3 in power'!AF10*'Indirect NH3 demand sources'!AF$5</f>
        <v>5.0656577928431937E-2</v>
      </c>
      <c r="AG10">
        <f>'Electricity shares'!AG10*'Indirect NH3 demand sources'!AG$5*(1-SUM('Pre-allocation of NH3 in power'!AG10:AG80))+'Pre-allocation of NH3 in power'!AG10*'Indirect NH3 demand sources'!AG$5</f>
        <v>5.3639173828893841E-2</v>
      </c>
      <c r="AH10">
        <f>'Electricity shares'!AH10*'Indirect NH3 demand sources'!AH$5*(1-SUM('Pre-allocation of NH3 in power'!AH10:AH80))+'Pre-allocation of NH3 in power'!AH10*'Indirect NH3 demand sources'!AH$5</f>
        <v>5.6536397997758434E-2</v>
      </c>
      <c r="AI10">
        <f>'Electricity shares'!AI10*'Indirect NH3 demand sources'!AI$5*(1-SUM('Pre-allocation of NH3 in power'!AI10:AI80))+'Pre-allocation of NH3 in power'!AI10*'Indirect NH3 demand sources'!AI$5</f>
        <v>5.9329312661353738E-2</v>
      </c>
      <c r="AJ10">
        <f>'Electricity shares'!AJ10*'Indirect NH3 demand sources'!AJ$5*(1-SUM('Pre-allocation of NH3 in power'!AJ10:AJ80))+'Pre-allocation of NH3 in power'!AJ10*'Indirect NH3 demand sources'!AJ$5</f>
        <v>6.2006447575771152E-2</v>
      </c>
      <c r="AK10">
        <f>'Electricity shares'!AK10*'Indirect NH3 demand sources'!AK$5*(1-SUM('Pre-allocation of NH3 in power'!AK10:AK80))+'Pre-allocation of NH3 in power'!AK10*'Indirect NH3 demand sources'!AK$5</f>
        <v>6.4565967911897074E-2</v>
      </c>
      <c r="AL10">
        <f>'Electricity shares'!AL10*'Indirect NH3 demand sources'!AL$5*(1-SUM('Pre-allocation of NH3 in power'!AL10:AL80))+'Pre-allocation of NH3 in power'!AL10*'Indirect NH3 demand sources'!AL$5</f>
        <v>6.7109460725982548E-2</v>
      </c>
      <c r="AM10">
        <f>'Electricity shares'!AM10*'Indirect NH3 demand sources'!AM$5*(1-SUM('Pre-allocation of NH3 in power'!AM10:AM80))+'Pre-allocation of NH3 in power'!AM10*'Indirect NH3 demand sources'!AM$5</f>
        <v>6.9521574516443599E-2</v>
      </c>
      <c r="AN10">
        <f>'Electricity shares'!AN10*'Indirect NH3 demand sources'!AN$5*(1-SUM('Pre-allocation of NH3 in power'!AN10:AN80))+'Pre-allocation of NH3 in power'!AN10*'Indirect NH3 demand sources'!AN$5</f>
        <v>7.1821792701002016E-2</v>
      </c>
      <c r="AO10">
        <f>'Electricity shares'!AO10*'Indirect NH3 demand sources'!AO$5*(1-SUM('Pre-allocation of NH3 in power'!AO10:AO80))+'Pre-allocation of NH3 in power'!AO10*'Indirect NH3 demand sources'!AO$5</f>
        <v>7.4019646776077128E-2</v>
      </c>
      <c r="AP10">
        <f>'Electricity shares'!AP10*'Indirect NH3 demand sources'!AP$5*(1-SUM('Pre-allocation of NH3 in power'!AP10:AP80))+'Pre-allocation of NH3 in power'!AP10*'Indirect NH3 demand sources'!AP$5</f>
        <v>7.6117776062527245E-2</v>
      </c>
    </row>
    <row r="11" spans="1:42" x14ac:dyDescent="0.3">
      <c r="A11" t="s">
        <v>86</v>
      </c>
      <c r="B11">
        <f>'Electricity shares'!B11*'Indirect NH3 demand sources'!B$5*(1-SUM('Pre-allocation of NH3 in power'!B11:B81))+'Pre-allocation of NH3 in power'!B11*'Indirect NH3 demand sources'!B$5</f>
        <v>0</v>
      </c>
      <c r="C11">
        <f>'Electricity shares'!C11*'Indirect NH3 demand sources'!C$5*(1-SUM('Pre-allocation of NH3 in power'!C11:C81))+'Pre-allocation of NH3 in power'!C11*'Indirect NH3 demand sources'!C$5</f>
        <v>0</v>
      </c>
      <c r="D11">
        <f>'Electricity shares'!D11*'Indirect NH3 demand sources'!D$5*(1-SUM('Pre-allocation of NH3 in power'!D11:D81))+'Pre-allocation of NH3 in power'!D11*'Indirect NH3 demand sources'!D$5</f>
        <v>0</v>
      </c>
      <c r="E11">
        <f>'Electricity shares'!E11*'Indirect NH3 demand sources'!E$5*(1-SUM('Pre-allocation of NH3 in power'!E11:E81))+'Pre-allocation of NH3 in power'!E11*'Indirect NH3 demand sources'!E$5</f>
        <v>0</v>
      </c>
      <c r="F11">
        <f>'Electricity shares'!F11*'Indirect NH3 demand sources'!F$5*(1-SUM('Pre-allocation of NH3 in power'!F11:F81))+'Pre-allocation of NH3 in power'!F11*'Indirect NH3 demand sources'!F$5</f>
        <v>0</v>
      </c>
      <c r="G11">
        <f>'Electricity shares'!G11*'Indirect NH3 demand sources'!G$5*(1-SUM('Pre-allocation of NH3 in power'!G11:G81))+'Pre-allocation of NH3 in power'!G11*'Indirect NH3 demand sources'!G$5</f>
        <v>0</v>
      </c>
      <c r="H11">
        <f>'Electricity shares'!H11*'Indirect NH3 demand sources'!H$5*(1-SUM('Pre-allocation of NH3 in power'!H11:H81))+'Pre-allocation of NH3 in power'!H11*'Indirect NH3 demand sources'!H$5</f>
        <v>0</v>
      </c>
      <c r="I11">
        <f>'Electricity shares'!I11*'Indirect NH3 demand sources'!I$5*(1-SUM('Pre-allocation of NH3 in power'!I11:I81))+'Pre-allocation of NH3 in power'!I11*'Indirect NH3 demand sources'!I$5</f>
        <v>0</v>
      </c>
      <c r="J11">
        <f>'Electricity shares'!J11*'Indirect NH3 demand sources'!J$5*(1-SUM('Pre-allocation of NH3 in power'!J11:J81))+'Pre-allocation of NH3 in power'!J11*'Indirect NH3 demand sources'!J$5</f>
        <v>0</v>
      </c>
      <c r="K11">
        <f>'Electricity shares'!K11*'Indirect NH3 demand sources'!K$5*(1-SUM('Pre-allocation of NH3 in power'!K11:K81))+'Pre-allocation of NH3 in power'!K11*'Indirect NH3 demand sources'!K$5</f>
        <v>0</v>
      </c>
      <c r="L11">
        <f>'Electricity shares'!L11*'Indirect NH3 demand sources'!L$5*(1-SUM('Pre-allocation of NH3 in power'!L11:L81))+'Pre-allocation of NH3 in power'!L11*'Indirect NH3 demand sources'!L$5</f>
        <v>0</v>
      </c>
      <c r="M11">
        <f>'Electricity shares'!M11*'Indirect NH3 demand sources'!M$5*(1-SUM('Pre-allocation of NH3 in power'!M11:M81))+'Pre-allocation of NH3 in power'!M11*'Indirect NH3 demand sources'!M$5</f>
        <v>0</v>
      </c>
      <c r="N11">
        <f>'Electricity shares'!N11*'Indirect NH3 demand sources'!N$5*(1-SUM('Pre-allocation of NH3 in power'!N11:N81))+'Pre-allocation of NH3 in power'!N11*'Indirect NH3 demand sources'!N$5</f>
        <v>0</v>
      </c>
      <c r="O11">
        <f>'Electricity shares'!O11*'Indirect NH3 demand sources'!O$5*(1-SUM('Pre-allocation of NH3 in power'!O11:O81))+'Pre-allocation of NH3 in power'!O11*'Indirect NH3 demand sources'!O$5</f>
        <v>0</v>
      </c>
      <c r="P11">
        <f>'Electricity shares'!P11*'Indirect NH3 demand sources'!P$5*(1-SUM('Pre-allocation of NH3 in power'!P11:P81))+'Pre-allocation of NH3 in power'!P11*'Indirect NH3 demand sources'!P$5</f>
        <v>0</v>
      </c>
      <c r="Q11">
        <f>'Electricity shares'!Q11*'Indirect NH3 demand sources'!Q$5*(1-SUM('Pre-allocation of NH3 in power'!Q11:Q81))+'Pre-allocation of NH3 in power'!Q11*'Indirect NH3 demand sources'!Q$5</f>
        <v>0</v>
      </c>
      <c r="R11">
        <f>'Electricity shares'!R11*'Indirect NH3 demand sources'!R$5*(1-SUM('Pre-allocation of NH3 in power'!R11:R81))+'Pre-allocation of NH3 in power'!R11*'Indirect NH3 demand sources'!R$5</f>
        <v>1.2676845670251727E-5</v>
      </c>
      <c r="S11">
        <f>'Electricity shares'!S11*'Indirect NH3 demand sources'!S$5*(1-SUM('Pre-allocation of NH3 in power'!S11:S81))+'Pre-allocation of NH3 in power'!S11*'Indirect NH3 demand sources'!S$5</f>
        <v>2.5896542232217528E-5</v>
      </c>
      <c r="T11">
        <f>'Electricity shares'!T11*'Indirect NH3 demand sources'!T$5*(1-SUM('Pre-allocation of NH3 in power'!T11:T81))+'Pre-allocation of NH3 in power'!T11*'Indirect NH3 demand sources'!T$5</f>
        <v>3.9662059111726053E-5</v>
      </c>
      <c r="U11">
        <f>'Electricity shares'!U11*'Indirect NH3 demand sources'!U$5*(1-SUM('Pre-allocation of NH3 in power'!U11:U81))+'Pre-allocation of NH3 in power'!U11*'Indirect NH3 demand sources'!U$5</f>
        <v>5.4101170927115963E-5</v>
      </c>
      <c r="V11">
        <f>'Electricity shares'!V11*'Indirect NH3 demand sources'!V$5*(1-SUM('Pre-allocation of NH3 in power'!V11:V81))+'Pre-allocation of NH3 in power'!V11*'Indirect NH3 demand sources'!V$5</f>
        <v>6.9246087561682887E-5</v>
      </c>
      <c r="W11">
        <f>'Electricity shares'!W11*'Indirect NH3 demand sources'!W$5*(1-SUM('Pre-allocation of NH3 in power'!W11:W81))+'Pre-allocation of NH3 in power'!W11*'Indirect NH3 demand sources'!W$5</f>
        <v>1.0372226228837781E-4</v>
      </c>
      <c r="X11">
        <f>'Electricity shares'!X11*'Indirect NH3 demand sources'!X$5*(1-SUM('Pre-allocation of NH3 in power'!X11:X81))+'Pre-allocation of NH3 in power'!X11*'Indirect NH3 demand sources'!X$5</f>
        <v>1.3835970823971385E-4</v>
      </c>
      <c r="Y11">
        <f>'Electricity shares'!Y11*'Indirect NH3 demand sources'!Y$5*(1-SUM('Pre-allocation of NH3 in power'!Y11:Y81))+'Pre-allocation of NH3 in power'!Y11*'Indirect NH3 demand sources'!Y$5</f>
        <v>1.7345654563155882E-4</v>
      </c>
      <c r="Z11">
        <f>'Electricity shares'!Z11*'Indirect NH3 demand sources'!Z$5*(1-SUM('Pre-allocation of NH3 in power'!Z11:Z81))+'Pre-allocation of NH3 in power'!Z11*'Indirect NH3 demand sources'!Z$5</f>
        <v>2.0924706668418348E-4</v>
      </c>
      <c r="AA11">
        <f>'Electricity shares'!AA11*'Indirect NH3 demand sources'!AA$5*(1-SUM('Pre-allocation of NH3 in power'!AA11:AA81))+'Pre-allocation of NH3 in power'!AA11*'Indirect NH3 demand sources'!AA$5</f>
        <v>2.4615440107986388E-4</v>
      </c>
      <c r="AB11">
        <f>'Electricity shares'!AB11*'Indirect NH3 demand sources'!AB$5*(1-SUM('Pre-allocation of NH3 in power'!AB11:AB81))+'Pre-allocation of NH3 in power'!AB11*'Indirect NH3 demand sources'!AB$5</f>
        <v>2.8045279763051393E-4</v>
      </c>
      <c r="AC11">
        <f>'Electricity shares'!AC11*'Indirect NH3 demand sources'!AC$5*(1-SUM('Pre-allocation of NH3 in power'!AC11:AC81))+'Pre-allocation of NH3 in power'!AC11*'Indirect NH3 demand sources'!AC$5</f>
        <v>3.1588197454056712E-4</v>
      </c>
      <c r="AD11">
        <f>'Electricity shares'!AD11*'Indirect NH3 demand sources'!AD$5*(1-SUM('Pre-allocation of NH3 in power'!AD11:AD81))+'Pre-allocation of NH3 in power'!AD11*'Indirect NH3 demand sources'!AD$5</f>
        <v>3.5298043736832333E-4</v>
      </c>
      <c r="AE11">
        <f>'Electricity shares'!AE11*'Indirect NH3 demand sources'!AE$5*(1-SUM('Pre-allocation of NH3 in power'!AE11:AE81))+'Pre-allocation of NH3 in power'!AE11*'Indirect NH3 demand sources'!AE$5</f>
        <v>3.9254401808659254E-4</v>
      </c>
      <c r="AF11">
        <f>'Electricity shares'!AF11*'Indirect NH3 demand sources'!AF$5*(1-SUM('Pre-allocation of NH3 in power'!AF11:AF81))+'Pre-allocation of NH3 in power'!AF11*'Indirect NH3 demand sources'!AF$5</f>
        <v>4.3539035616330324E-4</v>
      </c>
      <c r="AG11">
        <f>'Electricity shares'!AG11*'Indirect NH3 demand sources'!AG$5*(1-SUM('Pre-allocation of NH3 in power'!AG11:AG81))+'Pre-allocation of NH3 in power'!AG11*'Indirect NH3 demand sources'!AG$5</f>
        <v>4.6966298430016267E-4</v>
      </c>
      <c r="AH11">
        <f>'Electricity shares'!AH11*'Indirect NH3 demand sources'!AH$5*(1-SUM('Pre-allocation of NH3 in power'!AH11:AH81))+'Pre-allocation of NH3 in power'!AH11*'Indirect NH3 demand sources'!AH$5</f>
        <v>5.0835790881570203E-4</v>
      </c>
      <c r="AI11">
        <f>'Electricity shares'!AI11*'Indirect NH3 demand sources'!AI$5*(1-SUM('Pre-allocation of NH3 in power'!AI11:AI81))+'Pre-allocation of NH3 in power'!AI11*'Indirect NH3 demand sources'!AI$5</f>
        <v>5.5205720317581233E-4</v>
      </c>
      <c r="AJ11">
        <f>'Electricity shares'!AJ11*'Indirect NH3 demand sources'!AJ$5*(1-SUM('Pre-allocation of NH3 in power'!AJ11:AJ81))+'Pre-allocation of NH3 in power'!AJ11*'Indirect NH3 demand sources'!AJ$5</f>
        <v>6.0139458837351961E-4</v>
      </c>
      <c r="AK11">
        <f>'Electricity shares'!AK11*'Indirect NH3 demand sources'!AK$5*(1-SUM('Pre-allocation of NH3 in power'!AK11:AK81))+'Pre-allocation of NH3 in power'!AK11*'Indirect NH3 demand sources'!AK$5</f>
        <v>6.567660338868531E-4</v>
      </c>
      <c r="AL11">
        <f>'Electricity shares'!AL11*'Indirect NH3 demand sources'!AL$5*(1-SUM('Pre-allocation of NH3 in power'!AL11:AL81))+'Pre-allocation of NH3 in power'!AL11*'Indirect NH3 demand sources'!AL$5</f>
        <v>7.2118373427535755E-4</v>
      </c>
      <c r="AM11">
        <f>'Electricity shares'!AM11*'Indirect NH3 demand sources'!AM$5*(1-SUM('Pre-allocation of NH3 in power'!AM11:AM81))+'Pre-allocation of NH3 in power'!AM11*'Indirect NH3 demand sources'!AM$5</f>
        <v>7.9079291088293799E-4</v>
      </c>
      <c r="AN11">
        <f>'Electricity shares'!AN11*'Indirect NH3 demand sources'!AN$5*(1-SUM('Pre-allocation of NH3 in power'!AN11:AN81))+'Pre-allocation of NH3 in power'!AN11*'Indirect NH3 demand sources'!AN$5</f>
        <v>8.6498051612192049E-4</v>
      </c>
      <c r="AO11">
        <f>'Electricity shares'!AO11*'Indirect NH3 demand sources'!AO$5*(1-SUM('Pre-allocation of NH3 in power'!AO11:AO81))+'Pre-allocation of NH3 in power'!AO11*'Indirect NH3 demand sources'!AO$5</f>
        <v>9.4222334609450641E-4</v>
      </c>
      <c r="AP11">
        <f>'Electricity shares'!AP11*'Indirect NH3 demand sources'!AP$5*(1-SUM('Pre-allocation of NH3 in power'!AP11:AP81))+'Pre-allocation of NH3 in power'!AP11*'Indirect NH3 demand sources'!AP$5</f>
        <v>1.0207078038963178E-3</v>
      </c>
    </row>
    <row r="12" spans="1:42" x14ac:dyDescent="0.3">
      <c r="A12" t="s">
        <v>87</v>
      </c>
      <c r="B12">
        <f>'Electricity shares'!B12*'Indirect NH3 demand sources'!B$5*(1-SUM('Pre-allocation of NH3 in power'!B12:B82))+'Pre-allocation of NH3 in power'!B12*'Indirect NH3 demand sources'!B$5</f>
        <v>0</v>
      </c>
      <c r="C12">
        <f>'Electricity shares'!C12*'Indirect NH3 demand sources'!C$5*(1-SUM('Pre-allocation of NH3 in power'!C12:C82))+'Pre-allocation of NH3 in power'!C12*'Indirect NH3 demand sources'!C$5</f>
        <v>0</v>
      </c>
      <c r="D12">
        <f>'Electricity shares'!D12*'Indirect NH3 demand sources'!D$5*(1-SUM('Pre-allocation of NH3 in power'!D12:D82))+'Pre-allocation of NH3 in power'!D12*'Indirect NH3 demand sources'!D$5</f>
        <v>0</v>
      </c>
      <c r="E12">
        <f>'Electricity shares'!E12*'Indirect NH3 demand sources'!E$5*(1-SUM('Pre-allocation of NH3 in power'!E12:E82))+'Pre-allocation of NH3 in power'!E12*'Indirect NH3 demand sources'!E$5</f>
        <v>0</v>
      </c>
      <c r="F12">
        <f>'Electricity shares'!F12*'Indirect NH3 demand sources'!F$5*(1-SUM('Pre-allocation of NH3 in power'!F12:F82))+'Pre-allocation of NH3 in power'!F12*'Indirect NH3 demand sources'!F$5</f>
        <v>0</v>
      </c>
      <c r="G12">
        <f>'Electricity shares'!G12*'Indirect NH3 demand sources'!G$5*(1-SUM('Pre-allocation of NH3 in power'!G12:G82))+'Pre-allocation of NH3 in power'!G12*'Indirect NH3 demand sources'!G$5</f>
        <v>0</v>
      </c>
      <c r="H12">
        <f>'Electricity shares'!H12*'Indirect NH3 demand sources'!H$5*(1-SUM('Pre-allocation of NH3 in power'!H12:H82))+'Pre-allocation of NH3 in power'!H12*'Indirect NH3 demand sources'!H$5</f>
        <v>0</v>
      </c>
      <c r="I12">
        <f>'Electricity shares'!I12*'Indirect NH3 demand sources'!I$5*(1-SUM('Pre-allocation of NH3 in power'!I12:I82))+'Pre-allocation of NH3 in power'!I12*'Indirect NH3 demand sources'!I$5</f>
        <v>0</v>
      </c>
      <c r="J12">
        <f>'Electricity shares'!J12*'Indirect NH3 demand sources'!J$5*(1-SUM('Pre-allocation of NH3 in power'!J12:J82))+'Pre-allocation of NH3 in power'!J12*'Indirect NH3 demand sources'!J$5</f>
        <v>0</v>
      </c>
      <c r="K12">
        <f>'Electricity shares'!K12*'Indirect NH3 demand sources'!K$5*(1-SUM('Pre-allocation of NH3 in power'!K12:K82))+'Pre-allocation of NH3 in power'!K12*'Indirect NH3 demand sources'!K$5</f>
        <v>0</v>
      </c>
      <c r="L12">
        <f>'Electricity shares'!L12*'Indirect NH3 demand sources'!L$5*(1-SUM('Pre-allocation of NH3 in power'!L12:L82))+'Pre-allocation of NH3 in power'!L12*'Indirect NH3 demand sources'!L$5</f>
        <v>0</v>
      </c>
      <c r="M12">
        <f>'Electricity shares'!M12*'Indirect NH3 demand sources'!M$5*(1-SUM('Pre-allocation of NH3 in power'!M12:M82))+'Pre-allocation of NH3 in power'!M12*'Indirect NH3 demand sources'!M$5</f>
        <v>0</v>
      </c>
      <c r="N12">
        <f>'Electricity shares'!N12*'Indirect NH3 demand sources'!N$5*(1-SUM('Pre-allocation of NH3 in power'!N12:N82))+'Pre-allocation of NH3 in power'!N12*'Indirect NH3 demand sources'!N$5</f>
        <v>0</v>
      </c>
      <c r="O12">
        <f>'Electricity shares'!O12*'Indirect NH3 demand sources'!O$5*(1-SUM('Pre-allocation of NH3 in power'!O12:O82))+'Pre-allocation of NH3 in power'!O12*'Indirect NH3 demand sources'!O$5</f>
        <v>0</v>
      </c>
      <c r="P12">
        <f>'Electricity shares'!P12*'Indirect NH3 demand sources'!P$5*(1-SUM('Pre-allocation of NH3 in power'!P12:P82))+'Pre-allocation of NH3 in power'!P12*'Indirect NH3 demand sources'!P$5</f>
        <v>0</v>
      </c>
      <c r="Q12">
        <f>'Electricity shares'!Q12*'Indirect NH3 demand sources'!Q$5*(1-SUM('Pre-allocation of NH3 in power'!Q12:Q82))+'Pre-allocation of NH3 in power'!Q12*'Indirect NH3 demand sources'!Q$5</f>
        <v>0</v>
      </c>
      <c r="R12">
        <f>'Electricity shares'!R12*'Indirect NH3 demand sources'!R$5*(1-SUM('Pre-allocation of NH3 in power'!R12:R82))+'Pre-allocation of NH3 in power'!R12*'Indirect NH3 demand sources'!R$5</f>
        <v>8.2373141007012398E-4</v>
      </c>
      <c r="S12">
        <f>'Electricity shares'!S12*'Indirect NH3 demand sources'!S$5*(1-SUM('Pre-allocation of NH3 in power'!S12:S82))+'Pre-allocation of NH3 in power'!S12*'Indirect NH3 demand sources'!S$5</f>
        <v>1.6493574568571642E-3</v>
      </c>
      <c r="T12">
        <f>'Electricity shares'!T12*'Indirect NH3 demand sources'!T$5*(1-SUM('Pre-allocation of NH3 in power'!T12:T82))+'Pre-allocation of NH3 in power'!T12*'Indirect NH3 demand sources'!T$5</f>
        <v>2.477524776089758E-3</v>
      </c>
      <c r="U12">
        <f>'Electricity shares'!U12*'Indirect NH3 demand sources'!U$5*(1-SUM('Pre-allocation of NH3 in power'!U12:U82))+'Pre-allocation of NH3 in power'!U12*'Indirect NH3 demand sources'!U$5</f>
        <v>3.3099041272701027E-3</v>
      </c>
      <c r="V12">
        <f>'Electricity shares'!V12*'Indirect NH3 demand sources'!V$5*(1-SUM('Pre-allocation of NH3 in power'!V12:V82))+'Pre-allocation of NH3 in power'!V12*'Indirect NH3 demand sources'!V$5</f>
        <v>4.1480971609399045E-3</v>
      </c>
      <c r="W12">
        <f>'Electricity shares'!W12*'Indirect NH3 demand sources'!W$5*(1-SUM('Pre-allocation of NH3 in power'!W12:W82))+'Pre-allocation of NH3 in power'!W12*'Indirect NH3 demand sources'!W$5</f>
        <v>6.1991209295031678E-3</v>
      </c>
      <c r="X12">
        <f>'Electricity shares'!X12*'Indirect NH3 demand sources'!X$5*(1-SUM('Pre-allocation of NH3 in power'!X12:X82))+'Pre-allocation of NH3 in power'!X12*'Indirect NH3 demand sources'!X$5</f>
        <v>8.2351041140384992E-3</v>
      </c>
      <c r="Y12">
        <f>'Electricity shares'!Y12*'Indirect NH3 demand sources'!Y$5*(1-SUM('Pre-allocation of NH3 in power'!Y12:Y82))+'Pre-allocation of NH3 in power'!Y12*'Indirect NH3 demand sources'!Y$5</f>
        <v>1.0253244530519599E-2</v>
      </c>
      <c r="Z12">
        <f>'Electricity shares'!Z12*'Indirect NH3 demand sources'!Z$5*(1-SUM('Pre-allocation of NH3 in power'!Z12:Z82))+'Pre-allocation of NH3 in power'!Z12*'Indirect NH3 demand sources'!Z$5</f>
        <v>1.2248508980578457E-2</v>
      </c>
      <c r="AA12">
        <f>'Electricity shares'!AA12*'Indirect NH3 demand sources'!AA$5*(1-SUM('Pre-allocation of NH3 in power'!AA12:AA82))+'Pre-allocation of NH3 in power'!AA12*'Indirect NH3 demand sources'!AA$5</f>
        <v>1.4217039076833669E-2</v>
      </c>
      <c r="AB12">
        <f>'Electricity shares'!AB12*'Indirect NH3 demand sources'!AB$5*(1-SUM('Pre-allocation of NH3 in power'!AB12:AB82))+'Pre-allocation of NH3 in power'!AB12*'Indirect NH3 demand sources'!AB$5</f>
        <v>1.6162434903053913E-2</v>
      </c>
      <c r="AC12">
        <f>'Electricity shares'!AC12*'Indirect NH3 demand sources'!AC$5*(1-SUM('Pre-allocation of NH3 in power'!AC12:AC82))+'Pre-allocation of NH3 in power'!AC12*'Indirect NH3 demand sources'!AC$5</f>
        <v>1.8072352006822112E-2</v>
      </c>
      <c r="AD12">
        <f>'Electricity shares'!AD12*'Indirect NH3 demand sources'!AD$5*(1-SUM('Pre-allocation of NH3 in power'!AD12:AD82))+'Pre-allocation of NH3 in power'!AD12*'Indirect NH3 demand sources'!AD$5</f>
        <v>1.9939468268723885E-2</v>
      </c>
      <c r="AE12">
        <f>'Electricity shares'!AE12*'Indirect NH3 demand sources'!AE$5*(1-SUM('Pre-allocation of NH3 in power'!AE12:AE82))+'Pre-allocation of NH3 in power'!AE12*'Indirect NH3 demand sources'!AE$5</f>
        <v>2.1757981677648287E-2</v>
      </c>
      <c r="AF12">
        <f>'Electricity shares'!AF12*'Indirect NH3 demand sources'!AF$5*(1-SUM('Pre-allocation of NH3 in power'!AF12:AF82))+'Pre-allocation of NH3 in power'!AF12*'Indirect NH3 demand sources'!AF$5</f>
        <v>2.3526169167246883E-2</v>
      </c>
      <c r="AG12">
        <f>'Electricity shares'!AG12*'Indirect NH3 demand sources'!AG$5*(1-SUM('Pre-allocation of NH3 in power'!AG12:AG82))+'Pre-allocation of NH3 in power'!AG12*'Indirect NH3 demand sources'!AG$5</f>
        <v>2.4942960415936164E-2</v>
      </c>
      <c r="AH12">
        <f>'Electricity shares'!AH12*'Indirect NH3 demand sources'!AH$5*(1-SUM('Pre-allocation of NH3 in power'!AH12:AH82))+'Pre-allocation of NH3 in power'!AH12*'Indirect NH3 demand sources'!AH$5</f>
        <v>2.6319548078771172E-2</v>
      </c>
      <c r="AI12">
        <f>'Electricity shares'!AI12*'Indirect NH3 demand sources'!AI$5*(1-SUM('Pre-allocation of NH3 in power'!AI12:AI82))+'Pre-allocation of NH3 in power'!AI12*'Indirect NH3 demand sources'!AI$5</f>
        <v>2.7658165723378602E-2</v>
      </c>
      <c r="AJ12">
        <f>'Electricity shares'!AJ12*'Indirect NH3 demand sources'!AJ$5*(1-SUM('Pre-allocation of NH3 in power'!AJ12:AJ82))+'Pre-allocation of NH3 in power'!AJ12*'Indirect NH3 demand sources'!AJ$5</f>
        <v>2.8956101062070808E-2</v>
      </c>
      <c r="AK12">
        <f>'Electricity shares'!AK12*'Indirect NH3 demand sources'!AK$5*(1-SUM('Pre-allocation of NH3 in power'!AK12:AK82))+'Pre-allocation of NH3 in power'!AK12*'Indirect NH3 demand sources'!AK$5</f>
        <v>3.0224348167977162E-2</v>
      </c>
      <c r="AL12">
        <f>'Electricity shares'!AL12*'Indirect NH3 demand sources'!AL$5*(1-SUM('Pre-allocation of NH3 in power'!AL12:AL82))+'Pre-allocation of NH3 in power'!AL12*'Indirect NH3 demand sources'!AL$5</f>
        <v>3.1712409809345664E-2</v>
      </c>
      <c r="AM12">
        <f>'Electricity shares'!AM12*'Indirect NH3 demand sources'!AM$5*(1-SUM('Pre-allocation of NH3 in power'!AM12:AM82))+'Pre-allocation of NH3 in power'!AM12*'Indirect NH3 demand sources'!AM$5</f>
        <v>3.3179986391264106E-2</v>
      </c>
      <c r="AN12">
        <f>'Electricity shares'!AN12*'Indirect NH3 demand sources'!AN$5*(1-SUM('Pre-allocation of NH3 in power'!AN12:AN82))+'Pre-allocation of NH3 in power'!AN12*'Indirect NH3 demand sources'!AN$5</f>
        <v>3.4643958900273303E-2</v>
      </c>
      <c r="AO12">
        <f>'Electricity shares'!AO12*'Indirect NH3 demand sources'!AO$5*(1-SUM('Pre-allocation of NH3 in power'!AO12:AO82))+'Pre-allocation of NH3 in power'!AO12*'Indirect NH3 demand sources'!AO$5</f>
        <v>3.6111778360209811E-2</v>
      </c>
      <c r="AP12">
        <f>'Electricity shares'!AP12*'Indirect NH3 demand sources'!AP$5*(1-SUM('Pre-allocation of NH3 in power'!AP12:AP82))+'Pre-allocation of NH3 in power'!AP12*'Indirect NH3 demand sources'!AP$5</f>
        <v>3.7583338918937677E-2</v>
      </c>
    </row>
    <row r="13" spans="1:42" x14ac:dyDescent="0.3">
      <c r="A13" t="s">
        <v>88</v>
      </c>
      <c r="B13">
        <f>'Electricity shares'!B13*'Indirect NH3 demand sources'!B$5*(1-SUM('Pre-allocation of NH3 in power'!B13:B83))+'Pre-allocation of NH3 in power'!B13*'Indirect NH3 demand sources'!B$5</f>
        <v>0</v>
      </c>
      <c r="C13">
        <f>'Electricity shares'!C13*'Indirect NH3 demand sources'!C$5*(1-SUM('Pre-allocation of NH3 in power'!C13:C83))+'Pre-allocation of NH3 in power'!C13*'Indirect NH3 demand sources'!C$5</f>
        <v>0</v>
      </c>
      <c r="D13">
        <f>'Electricity shares'!D13*'Indirect NH3 demand sources'!D$5*(1-SUM('Pre-allocation of NH3 in power'!D13:D83))+'Pre-allocation of NH3 in power'!D13*'Indirect NH3 demand sources'!D$5</f>
        <v>0</v>
      </c>
      <c r="E13">
        <f>'Electricity shares'!E13*'Indirect NH3 demand sources'!E$5*(1-SUM('Pre-allocation of NH3 in power'!E13:E83))+'Pre-allocation of NH3 in power'!E13*'Indirect NH3 demand sources'!E$5</f>
        <v>0</v>
      </c>
      <c r="F13">
        <f>'Electricity shares'!F13*'Indirect NH3 demand sources'!F$5*(1-SUM('Pre-allocation of NH3 in power'!F13:F83))+'Pre-allocation of NH3 in power'!F13*'Indirect NH3 demand sources'!F$5</f>
        <v>0</v>
      </c>
      <c r="G13">
        <f>'Electricity shares'!G13*'Indirect NH3 demand sources'!G$5*(1-SUM('Pre-allocation of NH3 in power'!G13:G83))+'Pre-allocation of NH3 in power'!G13*'Indirect NH3 demand sources'!G$5</f>
        <v>0</v>
      </c>
      <c r="H13">
        <f>'Electricity shares'!H13*'Indirect NH3 demand sources'!H$5*(1-SUM('Pre-allocation of NH3 in power'!H13:H83))+'Pre-allocation of NH3 in power'!H13*'Indirect NH3 demand sources'!H$5</f>
        <v>0</v>
      </c>
      <c r="I13">
        <f>'Electricity shares'!I13*'Indirect NH3 demand sources'!I$5*(1-SUM('Pre-allocation of NH3 in power'!I13:I83))+'Pre-allocation of NH3 in power'!I13*'Indirect NH3 demand sources'!I$5</f>
        <v>0</v>
      </c>
      <c r="J13">
        <f>'Electricity shares'!J13*'Indirect NH3 demand sources'!J$5*(1-SUM('Pre-allocation of NH3 in power'!J13:J83))+'Pre-allocation of NH3 in power'!J13*'Indirect NH3 demand sources'!J$5</f>
        <v>0</v>
      </c>
      <c r="K13">
        <f>'Electricity shares'!K13*'Indirect NH3 demand sources'!K$5*(1-SUM('Pre-allocation of NH3 in power'!K13:K83))+'Pre-allocation of NH3 in power'!K13*'Indirect NH3 demand sources'!K$5</f>
        <v>0</v>
      </c>
      <c r="L13">
        <f>'Electricity shares'!L13*'Indirect NH3 demand sources'!L$5*(1-SUM('Pre-allocation of NH3 in power'!L13:L83))+'Pre-allocation of NH3 in power'!L13*'Indirect NH3 demand sources'!L$5</f>
        <v>0</v>
      </c>
      <c r="M13">
        <f>'Electricity shares'!M13*'Indirect NH3 demand sources'!M$5*(1-SUM('Pre-allocation of NH3 in power'!M13:M83))+'Pre-allocation of NH3 in power'!M13*'Indirect NH3 demand sources'!M$5</f>
        <v>0</v>
      </c>
      <c r="N13">
        <f>'Electricity shares'!N13*'Indirect NH3 demand sources'!N$5*(1-SUM('Pre-allocation of NH3 in power'!N13:N83))+'Pre-allocation of NH3 in power'!N13*'Indirect NH3 demand sources'!N$5</f>
        <v>0</v>
      </c>
      <c r="O13">
        <f>'Electricity shares'!O13*'Indirect NH3 demand sources'!O$5*(1-SUM('Pre-allocation of NH3 in power'!O13:O83))+'Pre-allocation of NH3 in power'!O13*'Indirect NH3 demand sources'!O$5</f>
        <v>0</v>
      </c>
      <c r="P13">
        <f>'Electricity shares'!P13*'Indirect NH3 demand sources'!P$5*(1-SUM('Pre-allocation of NH3 in power'!P13:P83))+'Pre-allocation of NH3 in power'!P13*'Indirect NH3 demand sources'!P$5</f>
        <v>0</v>
      </c>
      <c r="Q13">
        <f>'Electricity shares'!Q13*'Indirect NH3 demand sources'!Q$5*(1-SUM('Pre-allocation of NH3 in power'!Q13:Q83))+'Pre-allocation of NH3 in power'!Q13*'Indirect NH3 demand sources'!Q$5</f>
        <v>0</v>
      </c>
      <c r="R13">
        <f>'Electricity shares'!R13*'Indirect NH3 demand sources'!R$5*(1-SUM('Pre-allocation of NH3 in power'!R13:R83))+'Pre-allocation of NH3 in power'!R13*'Indirect NH3 demand sources'!R$5</f>
        <v>4.4636078146266175E-4</v>
      </c>
      <c r="S13">
        <f>'Electricity shares'!S13*'Indirect NH3 demand sources'!S$5*(1-SUM('Pre-allocation of NH3 in power'!S13:S83))+'Pre-allocation of NH3 in power'!S13*'Indirect NH3 demand sources'!S$5</f>
        <v>8.8218804423252954E-4</v>
      </c>
      <c r="T13">
        <f>'Electricity shares'!T13*'Indirect NH3 demand sources'!T$5*(1-SUM('Pre-allocation of NH3 in power'!T13:T83))+'Pre-allocation of NH3 in power'!T13*'Indirect NH3 demand sources'!T$5</f>
        <v>1.3080436123729311E-3</v>
      </c>
      <c r="U13">
        <f>'Electricity shares'!U13*'Indirect NH3 demand sources'!U$5*(1-SUM('Pre-allocation of NH3 in power'!U13:U83))+'Pre-allocation of NH3 in power'!U13*'Indirect NH3 demand sources'!U$5</f>
        <v>1.7250071308394198E-3</v>
      </c>
      <c r="V13">
        <f>'Electricity shares'!V13*'Indirect NH3 demand sources'!V$5*(1-SUM('Pre-allocation of NH3 in power'!V13:V83))+'Pre-allocation of NH3 in power'!V13*'Indirect NH3 demand sources'!V$5</f>
        <v>2.1350878465404089E-3</v>
      </c>
      <c r="W13">
        <f>'Electricity shares'!W13*'Indirect NH3 demand sources'!W$5*(1-SUM('Pre-allocation of NH3 in power'!W13:W83))+'Pre-allocation of NH3 in power'!W13*'Indirect NH3 demand sources'!W$5</f>
        <v>3.1688540127222126E-3</v>
      </c>
      <c r="X13">
        <f>'Electricity shares'!X13*'Indirect NH3 demand sources'!X$5*(1-SUM('Pre-allocation of NH3 in power'!X13:X83))+'Pre-allocation of NH3 in power'!X13*'Indirect NH3 demand sources'!X$5</f>
        <v>4.1835137033069836E-3</v>
      </c>
      <c r="Y13">
        <f>'Electricity shares'!Y13*'Indirect NH3 demand sources'!Y$5*(1-SUM('Pre-allocation of NH3 in power'!Y13:Y83))+'Pre-allocation of NH3 in power'!Y13*'Indirect NH3 demand sources'!Y$5</f>
        <v>5.1817875812080662E-3</v>
      </c>
      <c r="Z13">
        <f>'Electricity shares'!Z13*'Indirect NH3 demand sources'!Z$5*(1-SUM('Pre-allocation of NH3 in power'!Z13:Z83))+'Pre-allocation of NH3 in power'!Z13*'Indirect NH3 demand sources'!Z$5</f>
        <v>6.1653254826722105E-3</v>
      </c>
      <c r="AA13">
        <f>'Electricity shares'!AA13*'Indirect NH3 demand sources'!AA$5*(1-SUM('Pre-allocation of NH3 in power'!AA13:AA83))+'Pre-allocation of NH3 in power'!AA13*'Indirect NH3 demand sources'!AA$5</f>
        <v>7.1342054320985776E-3</v>
      </c>
      <c r="AB13">
        <f>'Electricity shares'!AB13*'Indirect NH3 demand sources'!AB$5*(1-SUM('Pre-allocation of NH3 in power'!AB13:AB83))+'Pre-allocation of NH3 in power'!AB13*'Indirect NH3 demand sources'!AB$5</f>
        <v>8.1311086146588721E-3</v>
      </c>
      <c r="AC13">
        <f>'Electricity shares'!AC13*'Indirect NH3 demand sources'!AC$5*(1-SUM('Pre-allocation of NH3 in power'!AC13:AC83))+'Pre-allocation of NH3 in power'!AC13*'Indirect NH3 demand sources'!AC$5</f>
        <v>9.1196865993965568E-3</v>
      </c>
      <c r="AD13">
        <f>'Electricity shares'!AD13*'Indirect NH3 demand sources'!AD$5*(1-SUM('Pre-allocation of NH3 in power'!AD13:AD83))+'Pre-allocation of NH3 in power'!AD13*'Indirect NH3 demand sources'!AD$5</f>
        <v>1.009575910907827E-2</v>
      </c>
      <c r="AE13">
        <f>'Electricity shares'!AE13*'Indirect NH3 demand sources'!AE$5*(1-SUM('Pre-allocation of NH3 in power'!AE13:AE83))+'Pre-allocation of NH3 in power'!AE13*'Indirect NH3 demand sources'!AE$5</f>
        <v>1.105465973625753E-2</v>
      </c>
      <c r="AF13">
        <f>'Electricity shares'!AF13*'Indirect NH3 demand sources'!AF$5*(1-SUM('Pre-allocation of NH3 in power'!AF13:AF83))+'Pre-allocation of NH3 in power'!AF13*'Indirect NH3 demand sources'!AF$5</f>
        <v>1.1997640543029944E-2</v>
      </c>
      <c r="AG13">
        <f>'Electricity shares'!AG13*'Indirect NH3 demand sources'!AG$5*(1-SUM('Pre-allocation of NH3 in power'!AG13:AG83))+'Pre-allocation of NH3 in power'!AG13*'Indirect NH3 demand sources'!AG$5</f>
        <v>1.2731589672701205E-2</v>
      </c>
      <c r="AH13">
        <f>'Electricity shares'!AH13*'Indirect NH3 demand sources'!AH$5*(1-SUM('Pre-allocation of NH3 in power'!AH13:AH83))+'Pre-allocation of NH3 in power'!AH13*'Indirect NH3 demand sources'!AH$5</f>
        <v>1.3441889172064838E-2</v>
      </c>
      <c r="AI13">
        <f>'Electricity shares'!AI13*'Indirect NH3 demand sources'!AI$5*(1-SUM('Pre-allocation of NH3 in power'!AI13:AI83))+'Pre-allocation of NH3 in power'!AI13*'Indirect NH3 demand sources'!AI$5</f>
        <v>1.4113007915194053E-2</v>
      </c>
      <c r="AJ13">
        <f>'Electricity shares'!AJ13*'Indirect NH3 demand sources'!AJ$5*(1-SUM('Pre-allocation of NH3 in power'!AJ13:AJ83))+'Pre-allocation of NH3 in power'!AJ13*'Indirect NH3 demand sources'!AJ$5</f>
        <v>1.4753338487215172E-2</v>
      </c>
      <c r="AK13">
        <f>'Electricity shares'!AK13*'Indirect NH3 demand sources'!AK$5*(1-SUM('Pre-allocation of NH3 in power'!AK13:AK83))+'Pre-allocation of NH3 in power'!AK13*'Indirect NH3 demand sources'!AK$5</f>
        <v>1.5368810452269198E-2</v>
      </c>
      <c r="AL13">
        <f>'Electricity shares'!AL13*'Indirect NH3 demand sources'!AL$5*(1-SUM('Pre-allocation of NH3 in power'!AL13:AL83))+'Pre-allocation of NH3 in power'!AL13*'Indirect NH3 demand sources'!AL$5</f>
        <v>1.5943441430302869E-2</v>
      </c>
      <c r="AM13">
        <f>'Electricity shares'!AM13*'Indirect NH3 demand sources'!AM$5*(1-SUM('Pre-allocation of NH3 in power'!AM13:AM83))+'Pre-allocation of NH3 in power'!AM13*'Indirect NH3 demand sources'!AM$5</f>
        <v>1.6484586156309284E-2</v>
      </c>
      <c r="AN13">
        <f>'Electricity shares'!AN13*'Indirect NH3 demand sources'!AN$5*(1-SUM('Pre-allocation of NH3 in power'!AN13:AN83))+'Pre-allocation of NH3 in power'!AN13*'Indirect NH3 demand sources'!AN$5</f>
        <v>1.7000548292959994E-2</v>
      </c>
      <c r="AO13">
        <f>'Electricity shares'!AO13*'Indirect NH3 demand sources'!AO$5*(1-SUM('Pre-allocation of NH3 in power'!AO13:AO83))+'Pre-allocation of NH3 in power'!AO13*'Indirect NH3 demand sources'!AO$5</f>
        <v>1.7494353672381779E-2</v>
      </c>
      <c r="AP13">
        <f>'Electricity shares'!AP13*'Indirect NH3 demand sources'!AP$5*(1-SUM('Pre-allocation of NH3 in power'!AP13:AP83))+'Pre-allocation of NH3 in power'!AP13*'Indirect NH3 demand sources'!AP$5</f>
        <v>1.7964621120372493E-2</v>
      </c>
    </row>
    <row r="14" spans="1:42" x14ac:dyDescent="0.3">
      <c r="A14" t="s">
        <v>89</v>
      </c>
      <c r="B14">
        <f>'Electricity shares'!B14*'Indirect NH3 demand sources'!B$5*(1-SUM('Pre-allocation of NH3 in power'!B14:B84))+'Pre-allocation of NH3 in power'!B14*'Indirect NH3 demand sources'!B$5</f>
        <v>0</v>
      </c>
      <c r="C14">
        <f>'Electricity shares'!C14*'Indirect NH3 demand sources'!C$5*(1-SUM('Pre-allocation of NH3 in power'!C14:C84))+'Pre-allocation of NH3 in power'!C14*'Indirect NH3 demand sources'!C$5</f>
        <v>0</v>
      </c>
      <c r="D14">
        <f>'Electricity shares'!D14*'Indirect NH3 demand sources'!D$5*(1-SUM('Pre-allocation of NH3 in power'!D14:D84))+'Pre-allocation of NH3 in power'!D14*'Indirect NH3 demand sources'!D$5</f>
        <v>0</v>
      </c>
      <c r="E14">
        <f>'Electricity shares'!E14*'Indirect NH3 demand sources'!E$5*(1-SUM('Pre-allocation of NH3 in power'!E14:E84))+'Pre-allocation of NH3 in power'!E14*'Indirect NH3 demand sources'!E$5</f>
        <v>0</v>
      </c>
      <c r="F14">
        <f>'Electricity shares'!F14*'Indirect NH3 demand sources'!F$5*(1-SUM('Pre-allocation of NH3 in power'!F14:F84))+'Pre-allocation of NH3 in power'!F14*'Indirect NH3 demand sources'!F$5</f>
        <v>0</v>
      </c>
      <c r="G14">
        <f>'Electricity shares'!G14*'Indirect NH3 demand sources'!G$5*(1-SUM('Pre-allocation of NH3 in power'!G14:G84))+'Pre-allocation of NH3 in power'!G14*'Indirect NH3 demand sources'!G$5</f>
        <v>0</v>
      </c>
      <c r="H14">
        <f>'Electricity shares'!H14*'Indirect NH3 demand sources'!H$5*(1-SUM('Pre-allocation of NH3 in power'!H14:H84))+'Pre-allocation of NH3 in power'!H14*'Indirect NH3 demand sources'!H$5</f>
        <v>0</v>
      </c>
      <c r="I14">
        <f>'Electricity shares'!I14*'Indirect NH3 demand sources'!I$5*(1-SUM('Pre-allocation of NH3 in power'!I14:I84))+'Pre-allocation of NH3 in power'!I14*'Indirect NH3 demand sources'!I$5</f>
        <v>0</v>
      </c>
      <c r="J14">
        <f>'Electricity shares'!J14*'Indirect NH3 demand sources'!J$5*(1-SUM('Pre-allocation of NH3 in power'!J14:J84))+'Pre-allocation of NH3 in power'!J14*'Indirect NH3 demand sources'!J$5</f>
        <v>0</v>
      </c>
      <c r="K14">
        <f>'Electricity shares'!K14*'Indirect NH3 demand sources'!K$5*(1-SUM('Pre-allocation of NH3 in power'!K14:K84))+'Pre-allocation of NH3 in power'!K14*'Indirect NH3 demand sources'!K$5</f>
        <v>0</v>
      </c>
      <c r="L14">
        <f>'Electricity shares'!L14*'Indirect NH3 demand sources'!L$5*(1-SUM('Pre-allocation of NH3 in power'!L14:L84))+'Pre-allocation of NH3 in power'!L14*'Indirect NH3 demand sources'!L$5</f>
        <v>0</v>
      </c>
      <c r="M14">
        <f>'Electricity shares'!M14*'Indirect NH3 demand sources'!M$5*(1-SUM('Pre-allocation of NH3 in power'!M14:M84))+'Pre-allocation of NH3 in power'!M14*'Indirect NH3 demand sources'!M$5</f>
        <v>0</v>
      </c>
      <c r="N14">
        <f>'Electricity shares'!N14*'Indirect NH3 demand sources'!N$5*(1-SUM('Pre-allocation of NH3 in power'!N14:N84))+'Pre-allocation of NH3 in power'!N14*'Indirect NH3 demand sources'!N$5</f>
        <v>0</v>
      </c>
      <c r="O14">
        <f>'Electricity shares'!O14*'Indirect NH3 demand sources'!O$5*(1-SUM('Pre-allocation of NH3 in power'!O14:O84))+'Pre-allocation of NH3 in power'!O14*'Indirect NH3 demand sources'!O$5</f>
        <v>0</v>
      </c>
      <c r="P14">
        <f>'Electricity shares'!P14*'Indirect NH3 demand sources'!P$5*(1-SUM('Pre-allocation of NH3 in power'!P14:P84))+'Pre-allocation of NH3 in power'!P14*'Indirect NH3 demand sources'!P$5</f>
        <v>0</v>
      </c>
      <c r="Q14">
        <f>'Electricity shares'!Q14*'Indirect NH3 demand sources'!Q$5*(1-SUM('Pre-allocation of NH3 in power'!Q14:Q84))+'Pre-allocation of NH3 in power'!Q14*'Indirect NH3 demand sources'!Q$5</f>
        <v>0</v>
      </c>
      <c r="R14">
        <f>'Electricity shares'!R14*'Indirect NH3 demand sources'!R$5*(1-SUM('Pre-allocation of NH3 in power'!R14:R84))+'Pre-allocation of NH3 in power'!R14*'Indirect NH3 demand sources'!R$5</f>
        <v>3.2274968564981291E-4</v>
      </c>
      <c r="S14">
        <f>'Electricity shares'!S14*'Indirect NH3 demand sources'!S$5*(1-SUM('Pre-allocation of NH3 in power'!S14:S84))+'Pre-allocation of NH3 in power'!S14*'Indirect NH3 demand sources'!S$5</f>
        <v>6.336263043279696E-4</v>
      </c>
      <c r="T14">
        <f>'Electricity shares'!T14*'Indirect NH3 demand sources'!T$5*(1-SUM('Pre-allocation of NH3 in power'!T14:T84))+'Pre-allocation of NH3 in power'!T14*'Indirect NH3 demand sources'!T$5</f>
        <v>9.325821019216076E-4</v>
      </c>
      <c r="U14">
        <f>'Electricity shares'!U14*'Indirect NH3 demand sources'!U$5*(1-SUM('Pre-allocation of NH3 in power'!U14:U84))+'Pre-allocation of NH3 in power'!U14*'Indirect NH3 demand sources'!U$5</f>
        <v>1.2199544238690944E-3</v>
      </c>
      <c r="V14">
        <f>'Electricity shares'!V14*'Indirect NH3 demand sources'!V$5*(1-SUM('Pre-allocation of NH3 in power'!V14:V84))+'Pre-allocation of NH3 in power'!V14*'Indirect NH3 demand sources'!V$5</f>
        <v>1.4970286449461476E-3</v>
      </c>
      <c r="W14">
        <f>'Electricity shares'!W14*'Indirect NH3 demand sources'!W$5*(1-SUM('Pre-allocation of NH3 in power'!W14:W84))+'Pre-allocation of NH3 in power'!W14*'Indirect NH3 demand sources'!W$5</f>
        <v>2.234356553964951E-3</v>
      </c>
      <c r="X14">
        <f>'Electricity shares'!X14*'Indirect NH3 demand sources'!X$5*(1-SUM('Pre-allocation of NH3 in power'!X14:X84))+'Pre-allocation of NH3 in power'!X14*'Indirect NH3 demand sources'!X$5</f>
        <v>2.964746548370454E-3</v>
      </c>
      <c r="Y14">
        <f>'Electricity shares'!Y14*'Indirect NH3 demand sources'!Y$5*(1-SUM('Pre-allocation of NH3 in power'!Y14:Y84))+'Pre-allocation of NH3 in power'!Y14*'Indirect NH3 demand sources'!Y$5</f>
        <v>3.6884659213685836E-3</v>
      </c>
      <c r="Z14">
        <f>'Electricity shares'!Z14*'Indirect NH3 demand sources'!Z$5*(1-SUM('Pre-allocation of NH3 in power'!Z14:Z84))+'Pre-allocation of NH3 in power'!Z14*'Indirect NH3 demand sources'!Z$5</f>
        <v>4.406828904534919E-3</v>
      </c>
      <c r="AA14">
        <f>'Electricity shares'!AA14*'Indirect NH3 demand sources'!AA$5*(1-SUM('Pre-allocation of NH3 in power'!AA14:AA84))+'Pre-allocation of NH3 in power'!AA14*'Indirect NH3 demand sources'!AA$5</f>
        <v>5.1177363692160955E-3</v>
      </c>
      <c r="AB14">
        <f>'Electricity shares'!AB14*'Indirect NH3 demand sources'!AB$5*(1-SUM('Pre-allocation of NH3 in power'!AB14:AB84))+'Pre-allocation of NH3 in power'!AB14*'Indirect NH3 demand sources'!AB$5</f>
        <v>5.8094900072276729E-3</v>
      </c>
      <c r="AC14">
        <f>'Electricity shares'!AC14*'Indirect NH3 demand sources'!AC$5*(1-SUM('Pre-allocation of NH3 in power'!AC14:AC84))+'Pre-allocation of NH3 in power'!AC14*'Indirect NH3 demand sources'!AC$5</f>
        <v>6.4892252060076419E-3</v>
      </c>
      <c r="AD14">
        <f>'Electricity shares'!AD14*'Indirect NH3 demand sources'!AD$5*(1-SUM('Pre-allocation of NH3 in power'!AD14:AD84))+'Pre-allocation of NH3 in power'!AD14*'Indirect NH3 demand sources'!AD$5</f>
        <v>7.153645061918153E-3</v>
      </c>
      <c r="AE14">
        <f>'Electricity shares'!AE14*'Indirect NH3 demand sources'!AE$5*(1-SUM('Pre-allocation of NH3 in power'!AE14:AE84))+'Pre-allocation of NH3 in power'!AE14*'Indirect NH3 demand sources'!AE$5</f>
        <v>7.8014252788462107E-3</v>
      </c>
      <c r="AF14">
        <f>'Electricity shares'!AF14*'Indirect NH3 demand sources'!AF$5*(1-SUM('Pre-allocation of NH3 in power'!AF14:AF84))+'Pre-allocation of NH3 in power'!AF14*'Indirect NH3 demand sources'!AF$5</f>
        <v>8.4270573783045838E-3</v>
      </c>
      <c r="AG14">
        <f>'Electricity shares'!AG14*'Indirect NH3 demand sources'!AG$5*(1-SUM('Pre-allocation of NH3 in power'!AG14:AG84))+'Pre-allocation of NH3 in power'!AG14*'Indirect NH3 demand sources'!AG$5</f>
        <v>8.9208333871956189E-3</v>
      </c>
      <c r="AH14">
        <f>'Electricity shares'!AH14*'Indirect NH3 demand sources'!AH$5*(1-SUM('Pre-allocation of NH3 in power'!AH14:AH84))+'Pre-allocation of NH3 in power'!AH14*'Indirect NH3 demand sources'!AH$5</f>
        <v>9.3965774130947161E-3</v>
      </c>
      <c r="AI14">
        <f>'Electricity shares'!AI14*'Indirect NH3 demand sources'!AI$5*(1-SUM('Pre-allocation of NH3 in power'!AI14:AI84))+'Pre-allocation of NH3 in power'!AI14*'Indirect NH3 demand sources'!AI$5</f>
        <v>9.8530075050641125E-3</v>
      </c>
      <c r="AJ14">
        <f>'Electricity shares'!AJ14*'Indirect NH3 demand sources'!AJ$5*(1-SUM('Pre-allocation of NH3 in power'!AJ14:AJ84))+'Pre-allocation of NH3 in power'!AJ14*'Indirect NH3 demand sources'!AJ$5</f>
        <v>1.02896053331451E-2</v>
      </c>
      <c r="AK14">
        <f>'Electricity shares'!AK14*'Indirect NH3 demand sources'!AK$5*(1-SUM('Pre-allocation of NH3 in power'!AK14:AK84))+'Pre-allocation of NH3 in power'!AK14*'Indirect NH3 demand sources'!AK$5</f>
        <v>1.0707339504834372E-2</v>
      </c>
      <c r="AL14">
        <f>'Electricity shares'!AL14*'Indirect NH3 demand sources'!AL$5*(1-SUM('Pre-allocation of NH3 in power'!AL14:AL84))+'Pre-allocation of NH3 in power'!AL14*'Indirect NH3 demand sources'!AL$5</f>
        <v>1.1050868608087891E-2</v>
      </c>
      <c r="AM14">
        <f>'Electricity shares'!AM14*'Indirect NH3 demand sources'!AM$5*(1-SUM('Pre-allocation of NH3 in power'!AM14:AM84))+'Pre-allocation of NH3 in power'!AM14*'Indirect NH3 demand sources'!AM$5</f>
        <v>1.1367491812452304E-2</v>
      </c>
      <c r="AN14">
        <f>'Electricity shares'!AN14*'Indirect NH3 demand sources'!AN$5*(1-SUM('Pre-allocation of NH3 in power'!AN14:AN84))+'Pre-allocation of NH3 in power'!AN14*'Indirect NH3 demand sources'!AN$5</f>
        <v>1.1662265920422922E-2</v>
      </c>
      <c r="AO14">
        <f>'Electricity shares'!AO14*'Indirect NH3 demand sources'!AO$5*(1-SUM('Pre-allocation of NH3 in power'!AO14:AO84))+'Pre-allocation of NH3 in power'!AO14*'Indirect NH3 demand sources'!AO$5</f>
        <v>1.1939702952680637E-2</v>
      </c>
      <c r="AP14">
        <f>'Electricity shares'!AP14*'Indirect NH3 demand sources'!AP$5*(1-SUM('Pre-allocation of NH3 in power'!AP14:AP84))+'Pre-allocation of NH3 in power'!AP14*'Indirect NH3 demand sources'!AP$5</f>
        <v>1.2200056996485308E-2</v>
      </c>
    </row>
    <row r="15" spans="1:42" x14ac:dyDescent="0.3">
      <c r="A15" t="s">
        <v>90</v>
      </c>
      <c r="B15">
        <f>'Electricity shares'!B15*'Indirect NH3 demand sources'!B$5*(1-SUM('Pre-allocation of NH3 in power'!B15:B85))+'Pre-allocation of NH3 in power'!B15*'Indirect NH3 demand sources'!B$5</f>
        <v>0</v>
      </c>
      <c r="C15">
        <f>'Electricity shares'!C15*'Indirect NH3 demand sources'!C$5*(1-SUM('Pre-allocation of NH3 in power'!C15:C85))+'Pre-allocation of NH3 in power'!C15*'Indirect NH3 demand sources'!C$5</f>
        <v>0</v>
      </c>
      <c r="D15">
        <f>'Electricity shares'!D15*'Indirect NH3 demand sources'!D$5*(1-SUM('Pre-allocation of NH3 in power'!D15:D85))+'Pre-allocation of NH3 in power'!D15*'Indirect NH3 demand sources'!D$5</f>
        <v>0</v>
      </c>
      <c r="E15">
        <f>'Electricity shares'!E15*'Indirect NH3 demand sources'!E$5*(1-SUM('Pre-allocation of NH3 in power'!E15:E85))+'Pre-allocation of NH3 in power'!E15*'Indirect NH3 demand sources'!E$5</f>
        <v>0</v>
      </c>
      <c r="F15">
        <f>'Electricity shares'!F15*'Indirect NH3 demand sources'!F$5*(1-SUM('Pre-allocation of NH3 in power'!F15:F85))+'Pre-allocation of NH3 in power'!F15*'Indirect NH3 demand sources'!F$5</f>
        <v>0</v>
      </c>
      <c r="G15">
        <f>'Electricity shares'!G15*'Indirect NH3 demand sources'!G$5*(1-SUM('Pre-allocation of NH3 in power'!G15:G85))+'Pre-allocation of NH3 in power'!G15*'Indirect NH3 demand sources'!G$5</f>
        <v>0</v>
      </c>
      <c r="H15">
        <f>'Electricity shares'!H15*'Indirect NH3 demand sources'!H$5*(1-SUM('Pre-allocation of NH3 in power'!H15:H85))+'Pre-allocation of NH3 in power'!H15*'Indirect NH3 demand sources'!H$5</f>
        <v>0</v>
      </c>
      <c r="I15">
        <f>'Electricity shares'!I15*'Indirect NH3 demand sources'!I$5*(1-SUM('Pre-allocation of NH3 in power'!I15:I85))+'Pre-allocation of NH3 in power'!I15*'Indirect NH3 demand sources'!I$5</f>
        <v>0</v>
      </c>
      <c r="J15">
        <f>'Electricity shares'!J15*'Indirect NH3 demand sources'!J$5*(1-SUM('Pre-allocation of NH3 in power'!J15:J85))+'Pre-allocation of NH3 in power'!J15*'Indirect NH3 demand sources'!J$5</f>
        <v>0</v>
      </c>
      <c r="K15">
        <f>'Electricity shares'!K15*'Indirect NH3 demand sources'!K$5*(1-SUM('Pre-allocation of NH3 in power'!K15:K85))+'Pre-allocation of NH3 in power'!K15*'Indirect NH3 demand sources'!K$5</f>
        <v>0</v>
      </c>
      <c r="L15">
        <f>'Electricity shares'!L15*'Indirect NH3 demand sources'!L$5*(1-SUM('Pre-allocation of NH3 in power'!L15:L85))+'Pre-allocation of NH3 in power'!L15*'Indirect NH3 demand sources'!L$5</f>
        <v>0</v>
      </c>
      <c r="M15">
        <f>'Electricity shares'!M15*'Indirect NH3 demand sources'!M$5*(1-SUM('Pre-allocation of NH3 in power'!M15:M85))+'Pre-allocation of NH3 in power'!M15*'Indirect NH3 demand sources'!M$5</f>
        <v>0</v>
      </c>
      <c r="N15">
        <f>'Electricity shares'!N15*'Indirect NH3 demand sources'!N$5*(1-SUM('Pre-allocation of NH3 in power'!N15:N85))+'Pre-allocation of NH3 in power'!N15*'Indirect NH3 demand sources'!N$5</f>
        <v>0</v>
      </c>
      <c r="O15">
        <f>'Electricity shares'!O15*'Indirect NH3 demand sources'!O$5*(1-SUM('Pre-allocation of NH3 in power'!O15:O85))+'Pre-allocation of NH3 in power'!O15*'Indirect NH3 demand sources'!O$5</f>
        <v>0</v>
      </c>
      <c r="P15">
        <f>'Electricity shares'!P15*'Indirect NH3 demand sources'!P$5*(1-SUM('Pre-allocation of NH3 in power'!P15:P85))+'Pre-allocation of NH3 in power'!P15*'Indirect NH3 demand sources'!P$5</f>
        <v>0</v>
      </c>
      <c r="Q15">
        <f>'Electricity shares'!Q15*'Indirect NH3 demand sources'!Q$5*(1-SUM('Pre-allocation of NH3 in power'!Q15:Q85))+'Pre-allocation of NH3 in power'!Q15*'Indirect NH3 demand sources'!Q$5</f>
        <v>0</v>
      </c>
      <c r="R15">
        <f>'Electricity shares'!R15*'Indirect NH3 demand sources'!R$5*(1-SUM('Pre-allocation of NH3 in power'!R15:R85))+'Pre-allocation of NH3 in power'!R15*'Indirect NH3 demand sources'!R$5</f>
        <v>4.5796846092026301E-4</v>
      </c>
      <c r="S15">
        <f>'Electricity shares'!S15*'Indirect NH3 demand sources'!S$5*(1-SUM('Pre-allocation of NH3 in power'!S15:S85))+'Pre-allocation of NH3 in power'!S15*'Indirect NH3 demand sources'!S$5</f>
        <v>9.0138093908571351E-4</v>
      </c>
      <c r="T15">
        <f>'Electricity shares'!T15*'Indirect NH3 demand sources'!T$5*(1-SUM('Pre-allocation of NH3 in power'!T15:T85))+'Pre-allocation of NH3 in power'!T15*'Indirect NH3 demand sources'!T$5</f>
        <v>1.3314348645923966E-3</v>
      </c>
      <c r="U15">
        <f>'Electricity shares'!U15*'Indirect NH3 demand sources'!U$5*(1-SUM('Pre-allocation of NH3 in power'!U15:U85))+'Pre-allocation of NH3 in power'!U15*'Indirect NH3 demand sources'!U$5</f>
        <v>1.750302045096735E-3</v>
      </c>
      <c r="V15">
        <f>'Electricity shares'!V15*'Indirect NH3 demand sources'!V$5*(1-SUM('Pre-allocation of NH3 in power'!V15:V85))+'Pre-allocation of NH3 in power'!V15*'Indirect NH3 demand sources'!V$5</f>
        <v>2.1589965850942732E-3</v>
      </c>
      <c r="W15">
        <f>'Electricity shares'!W15*'Indirect NH3 demand sources'!W$5*(1-SUM('Pre-allocation of NH3 in power'!W15:W85))+'Pre-allocation of NH3 in power'!W15*'Indirect NH3 demand sources'!W$5</f>
        <v>3.1683810999547091E-3</v>
      </c>
      <c r="X15">
        <f>'Electricity shares'!X15*'Indirect NH3 demand sources'!X$5*(1-SUM('Pre-allocation of NH3 in power'!X15:X85))+'Pre-allocation of NH3 in power'!X15*'Indirect NH3 demand sources'!X$5</f>
        <v>4.1320489449361043E-3</v>
      </c>
      <c r="Y15">
        <f>'Electricity shares'!Y15*'Indirect NH3 demand sources'!Y$5*(1-SUM('Pre-allocation of NH3 in power'!Y15:Y85))+'Pre-allocation of NH3 in power'!Y15*'Indirect NH3 demand sources'!Y$5</f>
        <v>5.0528131569774247E-3</v>
      </c>
      <c r="Z15">
        <f>'Electricity shares'!Z15*'Indirect NH3 demand sources'!Z$5*(1-SUM('Pre-allocation of NH3 in power'!Z15:Z85))+'Pre-allocation of NH3 in power'!Z15*'Indirect NH3 demand sources'!Z$5</f>
        <v>5.9330045128803298E-3</v>
      </c>
      <c r="AA15">
        <f>'Electricity shares'!AA15*'Indirect NH3 demand sources'!AA$5*(1-SUM('Pre-allocation of NH3 in power'!AA15:AA85))+'Pre-allocation of NH3 in power'!AA15*'Indirect NH3 demand sources'!AA$5</f>
        <v>6.7703945250914598E-3</v>
      </c>
      <c r="AB15">
        <f>'Electricity shares'!AB15*'Indirect NH3 demand sources'!AB$5*(1-SUM('Pre-allocation of NH3 in power'!AB15:AB85))+'Pre-allocation of NH3 in power'!AB15*'Indirect NH3 demand sources'!AB$5</f>
        <v>7.6586372328647971E-3</v>
      </c>
      <c r="AC15">
        <f>'Electricity shares'!AC15*'Indirect NH3 demand sources'!AC$5*(1-SUM('Pre-allocation of NH3 in power'!AC15:AC85))+'Pre-allocation of NH3 in power'!AC15*'Indirect NH3 demand sources'!AC$5</f>
        <v>8.5268493238416232E-3</v>
      </c>
      <c r="AD15">
        <f>'Electricity shares'!AD15*'Indirect NH3 demand sources'!AD$5*(1-SUM('Pre-allocation of NH3 in power'!AD15:AD85))+'Pre-allocation of NH3 in power'!AD15*'Indirect NH3 demand sources'!AD$5</f>
        <v>9.3731948074786964E-3</v>
      </c>
      <c r="AE15">
        <f>'Electricity shares'!AE15*'Indirect NH3 demand sources'!AE$5*(1-SUM('Pre-allocation of NH3 in power'!AE15:AE85))+'Pre-allocation of NH3 in power'!AE15*'Indirect NH3 demand sources'!AE$5</f>
        <v>1.0196916787181418E-2</v>
      </c>
      <c r="AF15">
        <f>'Electricity shares'!AF15*'Indirect NH3 demand sources'!AF$5*(1-SUM('Pre-allocation of NH3 in power'!AF15:AF85))+'Pre-allocation of NH3 in power'!AF15*'Indirect NH3 demand sources'!AF$5</f>
        <v>1.0997109000006918E-2</v>
      </c>
      <c r="AG15">
        <f>'Electricity shares'!AG15*'Indirect NH3 demand sources'!AG$5*(1-SUM('Pre-allocation of NH3 in power'!AG15:AG85))+'Pre-allocation of NH3 in power'!AG15*'Indirect NH3 demand sources'!AG$5</f>
        <v>1.1556304436828655E-2</v>
      </c>
      <c r="AH15">
        <f>'Electricity shares'!AH15*'Indirect NH3 demand sources'!AH$5*(1-SUM('Pre-allocation of NH3 in power'!AH15:AH85))+'Pre-allocation of NH3 in power'!AH15*'Indirect NH3 demand sources'!AH$5</f>
        <v>1.2092987184499989E-2</v>
      </c>
      <c r="AI15">
        <f>'Electricity shares'!AI15*'Indirect NH3 demand sources'!AI$5*(1-SUM('Pre-allocation of NH3 in power'!AI15:AI85))+'Pre-allocation of NH3 in power'!AI15*'Indirect NH3 demand sources'!AI$5</f>
        <v>1.2607596666833079E-2</v>
      </c>
      <c r="AJ15">
        <f>'Electricity shares'!AJ15*'Indirect NH3 demand sources'!AJ$5*(1-SUM('Pre-allocation of NH3 in power'!AJ15:AJ85))+'Pre-allocation of NH3 in power'!AJ15*'Indirect NH3 demand sources'!AJ$5</f>
        <v>1.3099481000335244E-2</v>
      </c>
      <c r="AK15">
        <f>'Electricity shares'!AK15*'Indirect NH3 demand sources'!AK$5*(1-SUM('Pre-allocation of NH3 in power'!AK15:AK85))+'Pre-allocation of NH3 in power'!AK15*'Indirect NH3 demand sources'!AK$5</f>
        <v>1.3573248448970976E-2</v>
      </c>
      <c r="AL15">
        <f>'Electricity shares'!AL15*'Indirect NH3 demand sources'!AL$5*(1-SUM('Pre-allocation of NH3 in power'!AL15:AL85))+'Pre-allocation of NH3 in power'!AL15*'Indirect NH3 demand sources'!AL$5</f>
        <v>1.4101709914960202E-2</v>
      </c>
      <c r="AM15">
        <f>'Electricity shares'!AM15*'Indirect NH3 demand sources'!AM$5*(1-SUM('Pre-allocation of NH3 in power'!AM15:AM85))+'Pre-allocation of NH3 in power'!AM15*'Indirect NH3 demand sources'!AM$5</f>
        <v>1.4614713377906206E-2</v>
      </c>
      <c r="AN15">
        <f>'Electricity shares'!AN15*'Indirect NH3 demand sources'!AN$5*(1-SUM('Pre-allocation of NH3 in power'!AN15:AN85))+'Pre-allocation of NH3 in power'!AN15*'Indirect NH3 demand sources'!AN$5</f>
        <v>1.5117093677779565E-2</v>
      </c>
      <c r="AO15">
        <f>'Electricity shares'!AO15*'Indirect NH3 demand sources'!AO$5*(1-SUM('Pre-allocation of NH3 in power'!AO15:AO85))+'Pre-allocation of NH3 in power'!AO15*'Indirect NH3 demand sources'!AO$5</f>
        <v>1.5611580205575527E-2</v>
      </c>
      <c r="AP15">
        <f>'Electricity shares'!AP15*'Indirect NH3 demand sources'!AP$5*(1-SUM('Pre-allocation of NH3 in power'!AP15:AP85))+'Pre-allocation of NH3 in power'!AP15*'Indirect NH3 demand sources'!AP$5</f>
        <v>1.6095088601894642E-2</v>
      </c>
    </row>
    <row r="16" spans="1:42" x14ac:dyDescent="0.3">
      <c r="A16" t="s">
        <v>91</v>
      </c>
      <c r="B16">
        <f>'Electricity shares'!B16*'Indirect NH3 demand sources'!B$5*(1-SUM('Pre-allocation of NH3 in power'!B16:B86))+'Pre-allocation of NH3 in power'!B16*'Indirect NH3 demand sources'!B$5</f>
        <v>0</v>
      </c>
      <c r="C16">
        <f>'Electricity shares'!C16*'Indirect NH3 demand sources'!C$5*(1-SUM('Pre-allocation of NH3 in power'!C16:C86))+'Pre-allocation of NH3 in power'!C16*'Indirect NH3 demand sources'!C$5</f>
        <v>0</v>
      </c>
      <c r="D16">
        <f>'Electricity shares'!D16*'Indirect NH3 demand sources'!D$5*(1-SUM('Pre-allocation of NH3 in power'!D16:D86))+'Pre-allocation of NH3 in power'!D16*'Indirect NH3 demand sources'!D$5</f>
        <v>0</v>
      </c>
      <c r="E16">
        <f>'Electricity shares'!E16*'Indirect NH3 demand sources'!E$5*(1-SUM('Pre-allocation of NH3 in power'!E16:E86))+'Pre-allocation of NH3 in power'!E16*'Indirect NH3 demand sources'!E$5</f>
        <v>0</v>
      </c>
      <c r="F16">
        <f>'Electricity shares'!F16*'Indirect NH3 demand sources'!F$5*(1-SUM('Pre-allocation of NH3 in power'!F16:F86))+'Pre-allocation of NH3 in power'!F16*'Indirect NH3 demand sources'!F$5</f>
        <v>0</v>
      </c>
      <c r="G16">
        <f>'Electricity shares'!G16*'Indirect NH3 demand sources'!G$5*(1-SUM('Pre-allocation of NH3 in power'!G16:G86))+'Pre-allocation of NH3 in power'!G16*'Indirect NH3 demand sources'!G$5</f>
        <v>0</v>
      </c>
      <c r="H16">
        <f>'Electricity shares'!H16*'Indirect NH3 demand sources'!H$5*(1-SUM('Pre-allocation of NH3 in power'!H16:H86))+'Pre-allocation of NH3 in power'!H16*'Indirect NH3 demand sources'!H$5</f>
        <v>0</v>
      </c>
      <c r="I16">
        <f>'Electricity shares'!I16*'Indirect NH3 demand sources'!I$5*(1-SUM('Pre-allocation of NH3 in power'!I16:I86))+'Pre-allocation of NH3 in power'!I16*'Indirect NH3 demand sources'!I$5</f>
        <v>0</v>
      </c>
      <c r="J16">
        <f>'Electricity shares'!J16*'Indirect NH3 demand sources'!J$5*(1-SUM('Pre-allocation of NH3 in power'!J16:J86))+'Pre-allocation of NH3 in power'!J16*'Indirect NH3 demand sources'!J$5</f>
        <v>0</v>
      </c>
      <c r="K16">
        <f>'Electricity shares'!K16*'Indirect NH3 demand sources'!K$5*(1-SUM('Pre-allocation of NH3 in power'!K16:K86))+'Pre-allocation of NH3 in power'!K16*'Indirect NH3 demand sources'!K$5</f>
        <v>0</v>
      </c>
      <c r="L16">
        <f>'Electricity shares'!L16*'Indirect NH3 demand sources'!L$5*(1-SUM('Pre-allocation of NH3 in power'!L16:L86))+'Pre-allocation of NH3 in power'!L16*'Indirect NH3 demand sources'!L$5</f>
        <v>0</v>
      </c>
      <c r="M16">
        <f>'Electricity shares'!M16*'Indirect NH3 demand sources'!M$5*(1-SUM('Pre-allocation of NH3 in power'!M16:M86))+'Pre-allocation of NH3 in power'!M16*'Indirect NH3 demand sources'!M$5</f>
        <v>0</v>
      </c>
      <c r="N16">
        <f>'Electricity shares'!N16*'Indirect NH3 demand sources'!N$5*(1-SUM('Pre-allocation of NH3 in power'!N16:N86))+'Pre-allocation of NH3 in power'!N16*'Indirect NH3 demand sources'!N$5</f>
        <v>0</v>
      </c>
      <c r="O16">
        <f>'Electricity shares'!O16*'Indirect NH3 demand sources'!O$5*(1-SUM('Pre-allocation of NH3 in power'!O16:O86))+'Pre-allocation of NH3 in power'!O16*'Indirect NH3 demand sources'!O$5</f>
        <v>0</v>
      </c>
      <c r="P16">
        <f>'Electricity shares'!P16*'Indirect NH3 demand sources'!P$5*(1-SUM('Pre-allocation of NH3 in power'!P16:P86))+'Pre-allocation of NH3 in power'!P16*'Indirect NH3 demand sources'!P$5</f>
        <v>0</v>
      </c>
      <c r="Q16">
        <f>'Electricity shares'!Q16*'Indirect NH3 demand sources'!Q$5*(1-SUM('Pre-allocation of NH3 in power'!Q16:Q86))+'Pre-allocation of NH3 in power'!Q16*'Indirect NH3 demand sources'!Q$5</f>
        <v>0</v>
      </c>
      <c r="R16">
        <f>'Electricity shares'!R16*'Indirect NH3 demand sources'!R$5*(1-SUM('Pre-allocation of NH3 in power'!R16:R86))+'Pre-allocation of NH3 in power'!R16*'Indirect NH3 demand sources'!R$5</f>
        <v>1.0875625465115932E-3</v>
      </c>
      <c r="S16">
        <f>'Electricity shares'!S16*'Indirect NH3 demand sources'!S$5*(1-SUM('Pre-allocation of NH3 in power'!S16:S86))+'Pre-allocation of NH3 in power'!S16*'Indirect NH3 demand sources'!S$5</f>
        <v>2.1422223947827699E-3</v>
      </c>
      <c r="T16">
        <f>'Electricity shares'!T16*'Indirect NH3 demand sources'!T$5*(1-SUM('Pre-allocation of NH3 in power'!T16:T86))+'Pre-allocation of NH3 in power'!T16*'Indirect NH3 demand sources'!T$5</f>
        <v>3.165231086802737E-3</v>
      </c>
      <c r="U16">
        <f>'Electricity shares'!U16*'Indirect NH3 demand sources'!U$5*(1-SUM('Pre-allocation of NH3 in power'!U16:U86))+'Pre-allocation of NH3 in power'!U16*'Indirect NH3 demand sources'!U$5</f>
        <v>4.1574499433018495E-3</v>
      </c>
      <c r="V16">
        <f>'Electricity shares'!V16*'Indirect NH3 demand sources'!V$5*(1-SUM('Pre-allocation of NH3 in power'!V16:V86))+'Pre-allocation of NH3 in power'!V16*'Indirect NH3 demand sources'!V$5</f>
        <v>5.1214699652085104E-3</v>
      </c>
      <c r="W16">
        <f>'Electricity shares'!W16*'Indirect NH3 demand sources'!W$5*(1-SUM('Pre-allocation of NH3 in power'!W16:W86))+'Pre-allocation of NH3 in power'!W16*'Indirect NH3 demand sources'!W$5</f>
        <v>7.5667796539460831E-3</v>
      </c>
      <c r="X16">
        <f>'Electricity shares'!X16*'Indirect NH3 demand sources'!X$5*(1-SUM('Pre-allocation of NH3 in power'!X16:X86))+'Pre-allocation of NH3 in power'!X16*'Indirect NH3 demand sources'!X$5</f>
        <v>9.9356498323259108E-3</v>
      </c>
      <c r="Y16">
        <f>'Electricity shares'!Y16*'Indirect NH3 demand sources'!Y$5*(1-SUM('Pre-allocation of NH3 in power'!Y16:Y86))+'Pre-allocation of NH3 in power'!Y16*'Indirect NH3 demand sources'!Y$5</f>
        <v>1.2227472320312195E-2</v>
      </c>
      <c r="Z16">
        <f>'Electricity shares'!Z16*'Indirect NH3 demand sources'!Z$5*(1-SUM('Pre-allocation of NH3 in power'!Z16:Z86))+'Pre-allocation of NH3 in power'!Z16*'Indirect NH3 demand sources'!Z$5</f>
        <v>1.4440582680313181E-2</v>
      </c>
      <c r="AA16">
        <f>'Electricity shares'!AA16*'Indirect NH3 demand sources'!AA$5*(1-SUM('Pre-allocation of NH3 in power'!AA16:AA86))+'Pre-allocation of NH3 in power'!AA16*'Indirect NH3 demand sources'!AA$5</f>
        <v>1.657229330396217E-2</v>
      </c>
      <c r="AB16">
        <f>'Electricity shares'!AB16*'Indirect NH3 demand sources'!AB$5*(1-SUM('Pre-allocation of NH3 in power'!AB16:AB86))+'Pre-allocation of NH3 in power'!AB16*'Indirect NH3 demand sources'!AB$5</f>
        <v>1.8669999122585514E-2</v>
      </c>
      <c r="AC16">
        <f>'Electricity shares'!AC16*'Indirect NH3 demand sources'!AC$5*(1-SUM('Pre-allocation of NH3 in power'!AC16:AC86))+'Pre-allocation of NH3 in power'!AC16*'Indirect NH3 demand sources'!AC$5</f>
        <v>2.0694888592175331E-2</v>
      </c>
      <c r="AD16">
        <f>'Electricity shares'!AD16*'Indirect NH3 demand sources'!AD$5*(1-SUM('Pre-allocation of NH3 in power'!AD16:AD86))+'Pre-allocation of NH3 in power'!AD16*'Indirect NH3 demand sources'!AD$5</f>
        <v>2.2645376578842018E-2</v>
      </c>
      <c r="AE16">
        <f>'Electricity shares'!AE16*'Indirect NH3 demand sources'!AE$5*(1-SUM('Pre-allocation of NH3 in power'!AE16:AE86))+'Pre-allocation of NH3 in power'!AE16*'Indirect NH3 demand sources'!AE$5</f>
        <v>2.4519523397607594E-2</v>
      </c>
      <c r="AF16">
        <f>'Electricity shares'!AF16*'Indirect NH3 demand sources'!AF$5*(1-SUM('Pre-allocation of NH3 in power'!AF16:AF86))+'Pre-allocation of NH3 in power'!AF16*'Indirect NH3 demand sources'!AF$5</f>
        <v>2.6315298540097141E-2</v>
      </c>
      <c r="AG16">
        <f>'Electricity shares'!AG16*'Indirect NH3 demand sources'!AG$5*(1-SUM('Pre-allocation of NH3 in power'!AG16:AG86))+'Pre-allocation of NH3 in power'!AG16*'Indirect NH3 demand sources'!AG$5</f>
        <v>2.7614969089949468E-2</v>
      </c>
      <c r="AH16">
        <f>'Electricity shares'!AH16*'Indirect NH3 demand sources'!AH$5*(1-SUM('Pre-allocation of NH3 in power'!AH16:AH86))+'Pre-allocation of NH3 in power'!AH16*'Indirect NH3 demand sources'!AH$5</f>
        <v>2.8857959804103432E-2</v>
      </c>
      <c r="AI16">
        <f>'Electricity shares'!AI16*'Indirect NH3 demand sources'!AI$5*(1-SUM('Pre-allocation of NH3 in power'!AI16:AI86))+'Pre-allocation of NH3 in power'!AI16*'Indirect NH3 demand sources'!AI$5</f>
        <v>3.0043408404728533E-2</v>
      </c>
      <c r="AJ16">
        <f>'Electricity shares'!AJ16*'Indirect NH3 demand sources'!AJ$5*(1-SUM('Pre-allocation of NH3 in power'!AJ16:AJ86))+'Pre-allocation of NH3 in power'!AJ16*'Indirect NH3 demand sources'!AJ$5</f>
        <v>3.1169560180080221E-2</v>
      </c>
      <c r="AK16">
        <f>'Electricity shares'!AK16*'Indirect NH3 demand sources'!AK$5*(1-SUM('Pre-allocation of NH3 in power'!AK16:AK86))+'Pre-allocation of NH3 in power'!AK16*'Indirect NH3 demand sources'!AK$5</f>
        <v>3.224816507461796E-2</v>
      </c>
      <c r="AL16">
        <f>'Electricity shares'!AL16*'Indirect NH3 demand sources'!AL$5*(1-SUM('Pre-allocation of NH3 in power'!AL16:AL86))+'Pre-allocation of NH3 in power'!AL16*'Indirect NH3 demand sources'!AL$5</f>
        <v>3.3277782334231461E-2</v>
      </c>
      <c r="AM16">
        <f>'Electricity shares'!AM16*'Indirect NH3 demand sources'!AM$5*(1-SUM('Pre-allocation of NH3 in power'!AM16:AM86))+'Pre-allocation of NH3 in power'!AM16*'Indirect NH3 demand sources'!AM$5</f>
        <v>3.4255223203524927E-2</v>
      </c>
      <c r="AN16">
        <f>'Electricity shares'!AN16*'Indirect NH3 demand sources'!AN$5*(1-SUM('Pre-allocation of NH3 in power'!AN16:AN86))+'Pre-allocation of NH3 in power'!AN16*'Indirect NH3 demand sources'!AN$5</f>
        <v>3.519046756573755E-2</v>
      </c>
      <c r="AO16">
        <f>'Electricity shares'!AO16*'Indirect NH3 demand sources'!AO$5*(1-SUM('Pre-allocation of NH3 in power'!AO16:AO86))+'Pre-allocation of NH3 in power'!AO16*'Indirect NH3 demand sources'!AO$5</f>
        <v>3.6089883424216859E-2</v>
      </c>
      <c r="AP16">
        <f>'Electricity shares'!AP16*'Indirect NH3 demand sources'!AP$5*(1-SUM('Pre-allocation of NH3 in power'!AP16:AP86))+'Pre-allocation of NH3 in power'!AP16*'Indirect NH3 demand sources'!AP$5</f>
        <v>3.6950065943137669E-2</v>
      </c>
    </row>
    <row r="17" spans="1:42" x14ac:dyDescent="0.3">
      <c r="A17" t="s">
        <v>92</v>
      </c>
      <c r="B17">
        <f>'Electricity shares'!B17*'Indirect NH3 demand sources'!B$5*(1-SUM('Pre-allocation of NH3 in power'!B17:B87))+'Pre-allocation of NH3 in power'!B17*'Indirect NH3 demand sources'!B$5</f>
        <v>0</v>
      </c>
      <c r="C17">
        <f>'Electricity shares'!C17*'Indirect NH3 demand sources'!C$5*(1-SUM('Pre-allocation of NH3 in power'!C17:C87))+'Pre-allocation of NH3 in power'!C17*'Indirect NH3 demand sources'!C$5</f>
        <v>0</v>
      </c>
      <c r="D17">
        <f>'Electricity shares'!D17*'Indirect NH3 demand sources'!D$5*(1-SUM('Pre-allocation of NH3 in power'!D17:D87))+'Pre-allocation of NH3 in power'!D17*'Indirect NH3 demand sources'!D$5</f>
        <v>0</v>
      </c>
      <c r="E17">
        <f>'Electricity shares'!E17*'Indirect NH3 demand sources'!E$5*(1-SUM('Pre-allocation of NH3 in power'!E17:E87))+'Pre-allocation of NH3 in power'!E17*'Indirect NH3 demand sources'!E$5</f>
        <v>0</v>
      </c>
      <c r="F17">
        <f>'Electricity shares'!F17*'Indirect NH3 demand sources'!F$5*(1-SUM('Pre-allocation of NH3 in power'!F17:F87))+'Pre-allocation of NH3 in power'!F17*'Indirect NH3 demand sources'!F$5</f>
        <v>0</v>
      </c>
      <c r="G17">
        <f>'Electricity shares'!G17*'Indirect NH3 demand sources'!G$5*(1-SUM('Pre-allocation of NH3 in power'!G17:G87))+'Pre-allocation of NH3 in power'!G17*'Indirect NH3 demand sources'!G$5</f>
        <v>0</v>
      </c>
      <c r="H17">
        <f>'Electricity shares'!H17*'Indirect NH3 demand sources'!H$5*(1-SUM('Pre-allocation of NH3 in power'!H17:H87))+'Pre-allocation of NH3 in power'!H17*'Indirect NH3 demand sources'!H$5</f>
        <v>0</v>
      </c>
      <c r="I17">
        <f>'Electricity shares'!I17*'Indirect NH3 demand sources'!I$5*(1-SUM('Pre-allocation of NH3 in power'!I17:I87))+'Pre-allocation of NH3 in power'!I17*'Indirect NH3 demand sources'!I$5</f>
        <v>0</v>
      </c>
      <c r="J17">
        <f>'Electricity shares'!J17*'Indirect NH3 demand sources'!J$5*(1-SUM('Pre-allocation of NH3 in power'!J17:J87))+'Pre-allocation of NH3 in power'!J17*'Indirect NH3 demand sources'!J$5</f>
        <v>0</v>
      </c>
      <c r="K17">
        <f>'Electricity shares'!K17*'Indirect NH3 demand sources'!K$5*(1-SUM('Pre-allocation of NH3 in power'!K17:K87))+'Pre-allocation of NH3 in power'!K17*'Indirect NH3 demand sources'!K$5</f>
        <v>0</v>
      </c>
      <c r="L17">
        <f>'Electricity shares'!L17*'Indirect NH3 demand sources'!L$5*(1-SUM('Pre-allocation of NH3 in power'!L17:L87))+'Pre-allocation of NH3 in power'!L17*'Indirect NH3 demand sources'!L$5</f>
        <v>0</v>
      </c>
      <c r="M17">
        <f>'Electricity shares'!M17*'Indirect NH3 demand sources'!M$5*(1-SUM('Pre-allocation of NH3 in power'!M17:M87))+'Pre-allocation of NH3 in power'!M17*'Indirect NH3 demand sources'!M$5</f>
        <v>0</v>
      </c>
      <c r="N17">
        <f>'Electricity shares'!N17*'Indirect NH3 demand sources'!N$5*(1-SUM('Pre-allocation of NH3 in power'!N17:N87))+'Pre-allocation of NH3 in power'!N17*'Indirect NH3 demand sources'!N$5</f>
        <v>0</v>
      </c>
      <c r="O17">
        <f>'Electricity shares'!O17*'Indirect NH3 demand sources'!O$5*(1-SUM('Pre-allocation of NH3 in power'!O17:O87))+'Pre-allocation of NH3 in power'!O17*'Indirect NH3 demand sources'!O$5</f>
        <v>0</v>
      </c>
      <c r="P17">
        <f>'Electricity shares'!P17*'Indirect NH3 demand sources'!P$5*(1-SUM('Pre-allocation of NH3 in power'!P17:P87))+'Pre-allocation of NH3 in power'!P17*'Indirect NH3 demand sources'!P$5</f>
        <v>0</v>
      </c>
      <c r="Q17">
        <f>'Electricity shares'!Q17*'Indirect NH3 demand sources'!Q$5*(1-SUM('Pre-allocation of NH3 in power'!Q17:Q87))+'Pre-allocation of NH3 in power'!Q17*'Indirect NH3 demand sources'!Q$5</f>
        <v>0</v>
      </c>
      <c r="R17">
        <f>'Electricity shares'!R17*'Indirect NH3 demand sources'!R$5*(1-SUM('Pre-allocation of NH3 in power'!R17:R87))+'Pre-allocation of NH3 in power'!R17*'Indirect NH3 demand sources'!R$5</f>
        <v>2.1291092647121638E-3</v>
      </c>
      <c r="S17">
        <f>'Electricity shares'!S17*'Indirect NH3 demand sources'!S$5*(1-SUM('Pre-allocation of NH3 in power'!S17:S87))+'Pre-allocation of NH3 in power'!S17*'Indirect NH3 demand sources'!S$5</f>
        <v>4.2142455335321899E-3</v>
      </c>
      <c r="T17">
        <f>'Electricity shares'!T17*'Indirect NH3 demand sources'!T$5*(1-SUM('Pre-allocation of NH3 in power'!T17:T87))+'Pre-allocation of NH3 in power'!T17*'Indirect NH3 demand sources'!T$5</f>
        <v>6.2606594204615285E-3</v>
      </c>
      <c r="U17">
        <f>'Electricity shares'!U17*'Indirect NH3 demand sources'!U$5*(1-SUM('Pre-allocation of NH3 in power'!U17:U87))+'Pre-allocation of NH3 in power'!U17*'Indirect NH3 demand sources'!U$5</f>
        <v>8.2729420481974913E-3</v>
      </c>
      <c r="V17">
        <f>'Electricity shares'!V17*'Indirect NH3 demand sources'!V$5*(1-SUM('Pre-allocation of NH3 in power'!V17:V87))+'Pre-allocation of NH3 in power'!V17*'Indirect NH3 demand sources'!V$5</f>
        <v>1.0260823255697072E-2</v>
      </c>
      <c r="W17">
        <f>'Electricity shares'!W17*'Indirect NH3 demand sources'!W$5*(1-SUM('Pre-allocation of NH3 in power'!W17:W87))+'Pre-allocation of NH3 in power'!W17*'Indirect NH3 demand sources'!W$5</f>
        <v>1.5342993128142204E-2</v>
      </c>
      <c r="X17">
        <f>'Electricity shares'!X17*'Indirect NH3 demand sources'!X$5*(1-SUM('Pre-allocation of NH3 in power'!X17:X87))+'Pre-allocation of NH3 in power'!X17*'Indirect NH3 demand sources'!X$5</f>
        <v>2.0408815360408197E-2</v>
      </c>
      <c r="Y17">
        <f>'Electricity shares'!Y17*'Indirect NH3 demand sources'!Y$5*(1-SUM('Pre-allocation of NH3 in power'!Y17:Y87))+'Pre-allocation of NH3 in power'!Y17*'Indirect NH3 demand sources'!Y$5</f>
        <v>2.5465646053087397E-2</v>
      </c>
      <c r="Z17">
        <f>'Electricity shares'!Z17*'Indirect NH3 demand sources'!Z$5*(1-SUM('Pre-allocation of NH3 in power'!Z17:Z87))+'Pre-allocation of NH3 in power'!Z17*'Indirect NH3 demand sources'!Z$5</f>
        <v>3.0513750394134818E-2</v>
      </c>
      <c r="AA17">
        <f>'Electricity shares'!AA17*'Indirect NH3 demand sources'!AA$5*(1-SUM('Pre-allocation of NH3 in power'!AA17:AA87))+'Pre-allocation of NH3 in power'!AA17*'Indirect NH3 demand sources'!AA$5</f>
        <v>3.5545172215294442E-2</v>
      </c>
      <c r="AB17">
        <f>'Electricity shares'!AB17*'Indirect NH3 demand sources'!AB$5*(1-SUM('Pre-allocation of NH3 in power'!AB17:AB87))+'Pre-allocation of NH3 in power'!AB17*'Indirect NH3 demand sources'!AB$5</f>
        <v>4.0567061537994213E-2</v>
      </c>
      <c r="AC17">
        <f>'Electricity shares'!AC17*'Indirect NH3 demand sources'!AC$5*(1-SUM('Pre-allocation of NH3 in power'!AC17:AC87))+'Pre-allocation of NH3 in power'!AC17*'Indirect NH3 demand sources'!AC$5</f>
        <v>4.5546907702963019E-2</v>
      </c>
      <c r="AD17">
        <f>'Electricity shares'!AD17*'Indirect NH3 demand sources'!AD$5*(1-SUM('Pre-allocation of NH3 in power'!AD17:AD87))+'Pre-allocation of NH3 in power'!AD17*'Indirect NH3 demand sources'!AD$5</f>
        <v>5.0456665357788942E-2</v>
      </c>
      <c r="AE17">
        <f>'Electricity shares'!AE17*'Indirect NH3 demand sources'!AE$5*(1-SUM('Pre-allocation of NH3 in power'!AE17:AE87))+'Pre-allocation of NH3 in power'!AE17*'Indirect NH3 demand sources'!AE$5</f>
        <v>5.5263512878434201E-2</v>
      </c>
      <c r="AF17">
        <f>'Electricity shares'!AF17*'Indirect NH3 demand sources'!AF$5*(1-SUM('Pre-allocation of NH3 in power'!AF17:AF87))+'Pre-allocation of NH3 in power'!AF17*'Indirect NH3 demand sources'!AF$5</f>
        <v>5.9958561500247747E-2</v>
      </c>
      <c r="AG17">
        <f>'Electricity shares'!AG17*'Indirect NH3 demand sources'!AG$5*(1-SUM('Pre-allocation of NH3 in power'!AG17:AG87))+'Pre-allocation of NH3 in power'!AG17*'Indirect NH3 demand sources'!AG$5</f>
        <v>6.3656315569200025E-2</v>
      </c>
      <c r="AH17">
        <f>'Electricity shares'!AH17*'Indirect NH3 demand sources'!AH$5*(1-SUM('Pre-allocation of NH3 in power'!AH17:AH87))+'Pre-allocation of NH3 in power'!AH17*'Indirect NH3 demand sources'!AH$5</f>
        <v>6.724584384356419E-2</v>
      </c>
      <c r="AI17">
        <f>'Electricity shares'!AI17*'Indirect NH3 demand sources'!AI$5*(1-SUM('Pre-allocation of NH3 in power'!AI17:AI87))+'Pre-allocation of NH3 in power'!AI17*'Indirect NH3 demand sources'!AI$5</f>
        <v>7.0721440215807493E-2</v>
      </c>
      <c r="AJ17">
        <f>'Electricity shares'!AJ17*'Indirect NH3 demand sources'!AJ$5*(1-SUM('Pre-allocation of NH3 in power'!AJ17:AJ87))+'Pre-allocation of NH3 in power'!AJ17*'Indirect NH3 demand sources'!AJ$5</f>
        <v>7.4076783003277302E-2</v>
      </c>
      <c r="AK17">
        <f>'Electricity shares'!AK17*'Indirect NH3 demand sources'!AK$5*(1-SUM('Pre-allocation of NH3 in power'!AK17:AK87))+'Pre-allocation of NH3 in power'!AK17*'Indirect NH3 demand sources'!AK$5</f>
        <v>7.7340031531193967E-2</v>
      </c>
      <c r="AL17">
        <f>'Electricity shares'!AL17*'Indirect NH3 demand sources'!AL$5*(1-SUM('Pre-allocation of NH3 in power'!AL17:AL87))+'Pre-allocation of NH3 in power'!AL17*'Indirect NH3 demand sources'!AL$5</f>
        <v>8.0857966384231386E-2</v>
      </c>
      <c r="AM17">
        <f>'Electricity shares'!AM17*'Indirect NH3 demand sources'!AM$5*(1-SUM('Pre-allocation of NH3 in power'!AM17:AM87))+'Pre-allocation of NH3 in power'!AM17*'Indirect NH3 demand sources'!AM$5</f>
        <v>8.4312080866165803E-2</v>
      </c>
      <c r="AN17">
        <f>'Electricity shares'!AN17*'Indirect NH3 demand sources'!AN$5*(1-SUM('Pre-allocation of NH3 in power'!AN17:AN87))+'Pre-allocation of NH3 in power'!AN17*'Indirect NH3 demand sources'!AN$5</f>
        <v>8.7714232398338768E-2</v>
      </c>
      <c r="AO17">
        <f>'Electricity shares'!AO17*'Indirect NH3 demand sources'!AO$5*(1-SUM('Pre-allocation of NH3 in power'!AO17:AO87))+'Pre-allocation of NH3 in power'!AO17*'Indirect NH3 demand sources'!AO$5</f>
        <v>9.1082665141718394E-2</v>
      </c>
      <c r="AP17">
        <f>'Electricity shares'!AP17*'Indirect NH3 demand sources'!AP$5*(1-SUM('Pre-allocation of NH3 in power'!AP17:AP87))+'Pre-allocation of NH3 in power'!AP17*'Indirect NH3 demand sources'!AP$5</f>
        <v>9.4423491632779161E-2</v>
      </c>
    </row>
    <row r="18" spans="1:42" x14ac:dyDescent="0.3">
      <c r="A18" t="s">
        <v>93</v>
      </c>
      <c r="B18">
        <f>'Electricity shares'!B18*'Indirect NH3 demand sources'!B$5*(1-SUM('Pre-allocation of NH3 in power'!B18:B88))+'Pre-allocation of NH3 in power'!B18*'Indirect NH3 demand sources'!B$5</f>
        <v>0</v>
      </c>
      <c r="C18">
        <f>'Electricity shares'!C18*'Indirect NH3 demand sources'!C$5*(1-SUM('Pre-allocation of NH3 in power'!C18:C88))+'Pre-allocation of NH3 in power'!C18*'Indirect NH3 demand sources'!C$5</f>
        <v>0</v>
      </c>
      <c r="D18">
        <f>'Electricity shares'!D18*'Indirect NH3 demand sources'!D$5*(1-SUM('Pre-allocation of NH3 in power'!D18:D88))+'Pre-allocation of NH3 in power'!D18*'Indirect NH3 demand sources'!D$5</f>
        <v>0</v>
      </c>
      <c r="E18">
        <f>'Electricity shares'!E18*'Indirect NH3 demand sources'!E$5*(1-SUM('Pre-allocation of NH3 in power'!E18:E88))+'Pre-allocation of NH3 in power'!E18*'Indirect NH3 demand sources'!E$5</f>
        <v>0</v>
      </c>
      <c r="F18">
        <f>'Electricity shares'!F18*'Indirect NH3 demand sources'!F$5*(1-SUM('Pre-allocation of NH3 in power'!F18:F88))+'Pre-allocation of NH3 in power'!F18*'Indirect NH3 demand sources'!F$5</f>
        <v>0</v>
      </c>
      <c r="G18">
        <f>'Electricity shares'!G18*'Indirect NH3 demand sources'!G$5*(1-SUM('Pre-allocation of NH3 in power'!G18:G88))+'Pre-allocation of NH3 in power'!G18*'Indirect NH3 demand sources'!G$5</f>
        <v>0</v>
      </c>
      <c r="H18">
        <f>'Electricity shares'!H18*'Indirect NH3 demand sources'!H$5*(1-SUM('Pre-allocation of NH3 in power'!H18:H88))+'Pre-allocation of NH3 in power'!H18*'Indirect NH3 demand sources'!H$5</f>
        <v>0</v>
      </c>
      <c r="I18">
        <f>'Electricity shares'!I18*'Indirect NH3 demand sources'!I$5*(1-SUM('Pre-allocation of NH3 in power'!I18:I88))+'Pre-allocation of NH3 in power'!I18*'Indirect NH3 demand sources'!I$5</f>
        <v>0</v>
      </c>
      <c r="J18">
        <f>'Electricity shares'!J18*'Indirect NH3 demand sources'!J$5*(1-SUM('Pre-allocation of NH3 in power'!J18:J88))+'Pre-allocation of NH3 in power'!J18*'Indirect NH3 demand sources'!J$5</f>
        <v>0</v>
      </c>
      <c r="K18">
        <f>'Electricity shares'!K18*'Indirect NH3 demand sources'!K$5*(1-SUM('Pre-allocation of NH3 in power'!K18:K88))+'Pre-allocation of NH3 in power'!K18*'Indirect NH3 demand sources'!K$5</f>
        <v>0</v>
      </c>
      <c r="L18">
        <f>'Electricity shares'!L18*'Indirect NH3 demand sources'!L$5*(1-SUM('Pre-allocation of NH3 in power'!L18:L88))+'Pre-allocation of NH3 in power'!L18*'Indirect NH3 demand sources'!L$5</f>
        <v>0</v>
      </c>
      <c r="M18">
        <f>'Electricity shares'!M18*'Indirect NH3 demand sources'!M$5*(1-SUM('Pre-allocation of NH3 in power'!M18:M88))+'Pre-allocation of NH3 in power'!M18*'Indirect NH3 demand sources'!M$5</f>
        <v>0</v>
      </c>
      <c r="N18">
        <f>'Electricity shares'!N18*'Indirect NH3 demand sources'!N$5*(1-SUM('Pre-allocation of NH3 in power'!N18:N88))+'Pre-allocation of NH3 in power'!N18*'Indirect NH3 demand sources'!N$5</f>
        <v>0</v>
      </c>
      <c r="O18">
        <f>'Electricity shares'!O18*'Indirect NH3 demand sources'!O$5*(1-SUM('Pre-allocation of NH3 in power'!O18:O88))+'Pre-allocation of NH3 in power'!O18*'Indirect NH3 demand sources'!O$5</f>
        <v>0</v>
      </c>
      <c r="P18">
        <f>'Electricity shares'!P18*'Indirect NH3 demand sources'!P$5*(1-SUM('Pre-allocation of NH3 in power'!P18:P88))+'Pre-allocation of NH3 in power'!P18*'Indirect NH3 demand sources'!P$5</f>
        <v>0</v>
      </c>
      <c r="Q18">
        <f>'Electricity shares'!Q18*'Indirect NH3 demand sources'!Q$5*(1-SUM('Pre-allocation of NH3 in power'!Q18:Q88))+'Pre-allocation of NH3 in power'!Q18*'Indirect NH3 demand sources'!Q$5</f>
        <v>0</v>
      </c>
      <c r="R18">
        <f>'Electricity shares'!R18*'Indirect NH3 demand sources'!R$5*(1-SUM('Pre-allocation of NH3 in power'!R18:R88))+'Pre-allocation of NH3 in power'!R18*'Indirect NH3 demand sources'!R$5</f>
        <v>5.4919080205212141E-4</v>
      </c>
      <c r="S18">
        <f>'Electricity shares'!S18*'Indirect NH3 demand sources'!S$5*(1-SUM('Pre-allocation of NH3 in power'!S18:S88))+'Pre-allocation of NH3 in power'!S18*'Indirect NH3 demand sources'!S$5</f>
        <v>1.0925699009344055E-3</v>
      </c>
      <c r="T18">
        <f>'Electricity shares'!T18*'Indirect NH3 demand sources'!T$5*(1-SUM('Pre-allocation of NH3 in power'!T18:T88))+'Pre-allocation of NH3 in power'!T18*'Indirect NH3 demand sources'!T$5</f>
        <v>1.630219142443895E-3</v>
      </c>
      <c r="U18">
        <f>'Electricity shares'!U18*'Indirect NH3 demand sources'!U$5*(1-SUM('Pre-allocation of NH3 in power'!U18:U88))+'Pre-allocation of NH3 in power'!U18*'Indirect NH3 demand sources'!U$5</f>
        <v>2.1627995182225963E-3</v>
      </c>
      <c r="V18">
        <f>'Electricity shares'!V18*'Indirect NH3 demand sources'!V$5*(1-SUM('Pre-allocation of NH3 in power'!V18:V88))+'Pre-allocation of NH3 in power'!V18*'Indirect NH3 demand sources'!V$5</f>
        <v>2.691914639343949E-3</v>
      </c>
      <c r="W18">
        <f>'Electricity shares'!W18*'Indirect NH3 demand sources'!W$5*(1-SUM('Pre-allocation of NH3 in power'!W18:W88))+'Pre-allocation of NH3 in power'!W18*'Indirect NH3 demand sources'!W$5</f>
        <v>3.9849597332464763E-3</v>
      </c>
      <c r="X18">
        <f>'Electricity shares'!X18*'Indirect NH3 demand sources'!X$5*(1-SUM('Pre-allocation of NH3 in power'!X18:X88))+'Pre-allocation of NH3 in power'!X18*'Indirect NH3 demand sources'!X$5</f>
        <v>5.2425380879943312E-3</v>
      </c>
      <c r="Y18">
        <f>'Electricity shares'!Y18*'Indirect NH3 demand sources'!Y$5*(1-SUM('Pre-allocation of NH3 in power'!Y18:Y88))+'Pre-allocation of NH3 in power'!Y18*'Indirect NH3 demand sources'!Y$5</f>
        <v>6.4649843919466227E-3</v>
      </c>
      <c r="Z18">
        <f>'Electricity shares'!Z18*'Indirect NH3 demand sources'!Z$5*(1-SUM('Pre-allocation of NH3 in power'!Z18:Z88))+'Pre-allocation of NH3 in power'!Z18*'Indirect NH3 demand sources'!Z$5</f>
        <v>7.6516025584323754E-3</v>
      </c>
      <c r="AA18">
        <f>'Electricity shares'!AA18*'Indirect NH3 demand sources'!AA$5*(1-SUM('Pre-allocation of NH3 in power'!AA18:AA88))+'Pre-allocation of NH3 in power'!AA18*'Indirect NH3 demand sources'!AA$5</f>
        <v>8.8043224095224176E-3</v>
      </c>
      <c r="AB18">
        <f>'Electricity shares'!AB18*'Indirect NH3 demand sources'!AB$5*(1-SUM('Pre-allocation of NH3 in power'!AB18:AB88))+'Pre-allocation of NH3 in power'!AB18*'Indirect NH3 demand sources'!AB$5</f>
        <v>9.938423381375747E-3</v>
      </c>
      <c r="AC18">
        <f>'Electricity shares'!AC18*'Indirect NH3 demand sources'!AC$5*(1-SUM('Pre-allocation of NH3 in power'!AC18:AC88))+'Pre-allocation of NH3 in power'!AC18*'Indirect NH3 demand sources'!AC$5</f>
        <v>1.1042386579728102E-2</v>
      </c>
      <c r="AD18">
        <f>'Electricity shares'!AD18*'Indirect NH3 demand sources'!AD$5*(1-SUM('Pre-allocation of NH3 in power'!AD18:AD88))+'Pre-allocation of NH3 in power'!AD18*'Indirect NH3 demand sources'!AD$5</f>
        <v>1.2117016775422479E-2</v>
      </c>
      <c r="AE18">
        <f>'Electricity shares'!AE18*'Indirect NH3 demand sources'!AE$5*(1-SUM('Pre-allocation of NH3 in power'!AE18:AE88))+'Pre-allocation of NH3 in power'!AE18*'Indirect NH3 demand sources'!AE$5</f>
        <v>1.3162017104785729E-2</v>
      </c>
      <c r="AF18">
        <f>'Electricity shares'!AF18*'Indirect NH3 demand sources'!AF$5*(1-SUM('Pre-allocation of NH3 in power'!AF18:AF88))+'Pre-allocation of NH3 in power'!AF18*'Indirect NH3 demand sources'!AF$5</f>
        <v>1.4184052540417907E-2</v>
      </c>
      <c r="AG18">
        <f>'Electricity shares'!AG18*'Indirect NH3 demand sources'!AG$5*(1-SUM('Pre-allocation of NH3 in power'!AG18:AG88))+'Pre-allocation of NH3 in power'!AG18*'Indirect NH3 demand sources'!AG$5</f>
        <v>1.4952820995439924E-2</v>
      </c>
      <c r="AH18">
        <f>'Electricity shares'!AH18*'Indirect NH3 demand sources'!AH$5*(1-SUM('Pre-allocation of NH3 in power'!AH18:AH88))+'Pre-allocation of NH3 in power'!AH18*'Indirect NH3 demand sources'!AH$5</f>
        <v>1.5705256213549078E-2</v>
      </c>
      <c r="AI18">
        <f>'Electricity shares'!AI18*'Indirect NH3 demand sources'!AI$5*(1-SUM('Pre-allocation of NH3 in power'!AI18:AI88))+'Pre-allocation of NH3 in power'!AI18*'Indirect NH3 demand sources'!AI$5</f>
        <v>1.6442031436154574E-2</v>
      </c>
      <c r="AJ18">
        <f>'Electricity shares'!AJ18*'Indirect NH3 demand sources'!AJ$5*(1-SUM('Pre-allocation of NH3 in power'!AJ18:AJ88))+'Pre-allocation of NH3 in power'!AJ18*'Indirect NH3 demand sources'!AJ$5</f>
        <v>1.7163768439227633E-2</v>
      </c>
      <c r="AK18">
        <f>'Electricity shares'!AK18*'Indirect NH3 demand sources'!AK$5*(1-SUM('Pre-allocation of NH3 in power'!AK18:AK88))+'Pre-allocation of NH3 in power'!AK18*'Indirect NH3 demand sources'!AK$5</f>
        <v>1.7875999237376795E-2</v>
      </c>
      <c r="AL18">
        <f>'Electricity shares'!AL18*'Indirect NH3 demand sources'!AL$5*(1-SUM('Pre-allocation of NH3 in power'!AL18:AL88))+'Pre-allocation of NH3 in power'!AL18*'Indirect NH3 demand sources'!AL$5</f>
        <v>1.8563129383071336E-2</v>
      </c>
      <c r="AM18">
        <f>'Electricity shares'!AM18*'Indirect NH3 demand sources'!AM$5*(1-SUM('Pre-allocation of NH3 in power'!AM18:AM88))+'Pre-allocation of NH3 in power'!AM18*'Indirect NH3 demand sources'!AM$5</f>
        <v>1.9231408530447067E-2</v>
      </c>
      <c r="AN18">
        <f>'Electricity shares'!AN18*'Indirect NH3 demand sources'!AN$5*(1-SUM('Pre-allocation of NH3 in power'!AN18:AN88))+'Pre-allocation of NH3 in power'!AN18*'Indirect NH3 demand sources'!AN$5</f>
        <v>1.9886332708431907E-2</v>
      </c>
      <c r="AO18">
        <f>'Electricity shares'!AO18*'Indirect NH3 demand sources'!AO$5*(1-SUM('Pre-allocation of NH3 in power'!AO18:AO88))+'Pre-allocation of NH3 in power'!AO18*'Indirect NH3 demand sources'!AO$5</f>
        <v>2.0525891859775384E-2</v>
      </c>
      <c r="AP18">
        <f>'Electricity shares'!AP18*'Indirect NH3 demand sources'!AP$5*(1-SUM('Pre-allocation of NH3 in power'!AP18:AP88))+'Pre-allocation of NH3 in power'!AP18*'Indirect NH3 demand sources'!AP$5</f>
        <v>2.1147328556309193E-2</v>
      </c>
    </row>
    <row r="19" spans="1:42" x14ac:dyDescent="0.3">
      <c r="A19" t="s">
        <v>94</v>
      </c>
      <c r="B19">
        <f>'Electricity shares'!B19*'Indirect NH3 demand sources'!B$5*(1-SUM('Pre-allocation of NH3 in power'!B19:B89))+'Pre-allocation of NH3 in power'!B19*'Indirect NH3 demand sources'!B$5</f>
        <v>0</v>
      </c>
      <c r="C19">
        <f>'Electricity shares'!C19*'Indirect NH3 demand sources'!C$5*(1-SUM('Pre-allocation of NH3 in power'!C19:C89))+'Pre-allocation of NH3 in power'!C19*'Indirect NH3 demand sources'!C$5</f>
        <v>0</v>
      </c>
      <c r="D19">
        <f>'Electricity shares'!D19*'Indirect NH3 demand sources'!D$5*(1-SUM('Pre-allocation of NH3 in power'!D19:D89))+'Pre-allocation of NH3 in power'!D19*'Indirect NH3 demand sources'!D$5</f>
        <v>0</v>
      </c>
      <c r="E19">
        <f>'Electricity shares'!E19*'Indirect NH3 demand sources'!E$5*(1-SUM('Pre-allocation of NH3 in power'!E19:E89))+'Pre-allocation of NH3 in power'!E19*'Indirect NH3 demand sources'!E$5</f>
        <v>0</v>
      </c>
      <c r="F19">
        <f>'Electricity shares'!F19*'Indirect NH3 demand sources'!F$5*(1-SUM('Pre-allocation of NH3 in power'!F19:F89))+'Pre-allocation of NH3 in power'!F19*'Indirect NH3 demand sources'!F$5</f>
        <v>0</v>
      </c>
      <c r="G19">
        <f>'Electricity shares'!G19*'Indirect NH3 demand sources'!G$5*(1-SUM('Pre-allocation of NH3 in power'!G19:G89))+'Pre-allocation of NH3 in power'!G19*'Indirect NH3 demand sources'!G$5</f>
        <v>0</v>
      </c>
      <c r="H19">
        <f>'Electricity shares'!H19*'Indirect NH3 demand sources'!H$5*(1-SUM('Pre-allocation of NH3 in power'!H19:H89))+'Pre-allocation of NH3 in power'!H19*'Indirect NH3 demand sources'!H$5</f>
        <v>0</v>
      </c>
      <c r="I19">
        <f>'Electricity shares'!I19*'Indirect NH3 demand sources'!I$5*(1-SUM('Pre-allocation of NH3 in power'!I19:I89))+'Pre-allocation of NH3 in power'!I19*'Indirect NH3 demand sources'!I$5</f>
        <v>0</v>
      </c>
      <c r="J19">
        <f>'Electricity shares'!J19*'Indirect NH3 demand sources'!J$5*(1-SUM('Pre-allocation of NH3 in power'!J19:J89))+'Pre-allocation of NH3 in power'!J19*'Indirect NH3 demand sources'!J$5</f>
        <v>0</v>
      </c>
      <c r="K19">
        <f>'Electricity shares'!K19*'Indirect NH3 demand sources'!K$5*(1-SUM('Pre-allocation of NH3 in power'!K19:K89))+'Pre-allocation of NH3 in power'!K19*'Indirect NH3 demand sources'!K$5</f>
        <v>0</v>
      </c>
      <c r="L19">
        <f>'Electricity shares'!L19*'Indirect NH3 demand sources'!L$5*(1-SUM('Pre-allocation of NH3 in power'!L19:L89))+'Pre-allocation of NH3 in power'!L19*'Indirect NH3 demand sources'!L$5</f>
        <v>0</v>
      </c>
      <c r="M19">
        <f>'Electricity shares'!M19*'Indirect NH3 demand sources'!M$5*(1-SUM('Pre-allocation of NH3 in power'!M19:M89))+'Pre-allocation of NH3 in power'!M19*'Indirect NH3 demand sources'!M$5</f>
        <v>0</v>
      </c>
      <c r="N19">
        <f>'Electricity shares'!N19*'Indirect NH3 demand sources'!N$5*(1-SUM('Pre-allocation of NH3 in power'!N19:N89))+'Pre-allocation of NH3 in power'!N19*'Indirect NH3 demand sources'!N$5</f>
        <v>0</v>
      </c>
      <c r="O19">
        <f>'Electricity shares'!O19*'Indirect NH3 demand sources'!O$5*(1-SUM('Pre-allocation of NH3 in power'!O19:O89))+'Pre-allocation of NH3 in power'!O19*'Indirect NH3 demand sources'!O$5</f>
        <v>0</v>
      </c>
      <c r="P19">
        <f>'Electricity shares'!P19*'Indirect NH3 demand sources'!P$5*(1-SUM('Pre-allocation of NH3 in power'!P19:P89))+'Pre-allocation of NH3 in power'!P19*'Indirect NH3 demand sources'!P$5</f>
        <v>0</v>
      </c>
      <c r="Q19">
        <f>'Electricity shares'!Q19*'Indirect NH3 demand sources'!Q$5*(1-SUM('Pre-allocation of NH3 in power'!Q19:Q89))+'Pre-allocation of NH3 in power'!Q19*'Indirect NH3 demand sources'!Q$5</f>
        <v>0</v>
      </c>
      <c r="R19">
        <f>'Electricity shares'!R19*'Indirect NH3 demand sources'!R$5*(1-SUM('Pre-allocation of NH3 in power'!R19:R89))+'Pre-allocation of NH3 in power'!R19*'Indirect NH3 demand sources'!R$5</f>
        <v>5.8288067118517966E-5</v>
      </c>
      <c r="S19">
        <f>'Electricity shares'!S19*'Indirect NH3 demand sources'!S$5*(1-SUM('Pre-allocation of NH3 in power'!S19:S89))+'Pre-allocation of NH3 in power'!S19*'Indirect NH3 demand sources'!S$5</f>
        <v>1.1545380052279773E-4</v>
      </c>
      <c r="T19">
        <f>'Electricity shares'!T19*'Indirect NH3 demand sources'!T$5*(1-SUM('Pre-allocation of NH3 in power'!T19:T89))+'Pre-allocation of NH3 in power'!T19*'Indirect NH3 demand sources'!T$5</f>
        <v>1.7142022338221592E-4</v>
      </c>
      <c r="U19">
        <f>'Electricity shares'!U19*'Indirect NH3 demand sources'!U$5*(1-SUM('Pre-allocation of NH3 in power'!U19:U89))+'Pre-allocation of NH3 in power'!U19*'Indirect NH3 demand sources'!U$5</f>
        <v>2.261481254171888E-4</v>
      </c>
      <c r="V19">
        <f>'Electricity shares'!V19*'Indirect NH3 demand sources'!V$5*(1-SUM('Pre-allocation of NH3 in power'!V19:V89))+'Pre-allocation of NH3 in power'!V19*'Indirect NH3 demand sources'!V$5</f>
        <v>2.7977455537218709E-4</v>
      </c>
      <c r="W19">
        <f>'Electricity shares'!W19*'Indirect NH3 demand sources'!W$5*(1-SUM('Pre-allocation of NH3 in power'!W19:W89))+'Pre-allocation of NH3 in power'!W19*'Indirect NH3 demand sources'!W$5</f>
        <v>4.1522525776292404E-4</v>
      </c>
      <c r="X19">
        <f>'Electricity shares'!X19*'Indirect NH3 demand sources'!X$5*(1-SUM('Pre-allocation of NH3 in power'!X19:X89))+'Pre-allocation of NH3 in power'!X19*'Indirect NH3 demand sources'!X$5</f>
        <v>5.4764046156801748E-4</v>
      </c>
      <c r="Y19">
        <f>'Electricity shares'!Y19*'Indirect NH3 demand sources'!Y$5*(1-SUM('Pre-allocation of NH3 in power'!Y19:Y89))+'Pre-allocation of NH3 in power'!Y19*'Indirect NH3 demand sources'!Y$5</f>
        <v>6.769383434029843E-4</v>
      </c>
      <c r="Z19">
        <f>'Electricity shares'!Z19*'Indirect NH3 demand sources'!Z$5*(1-SUM('Pre-allocation of NH3 in power'!Z19:Z89))+'Pre-allocation of NH3 in power'!Z19*'Indirect NH3 demand sources'!Z$5</f>
        <v>8.0311265984060666E-4</v>
      </c>
      <c r="AA19">
        <f>'Electricity shares'!AA19*'Indirect NH3 demand sources'!AA$5*(1-SUM('Pre-allocation of NH3 in power'!AA19:AA89))+'Pre-allocation of NH3 in power'!AA19*'Indirect NH3 demand sources'!AA$5</f>
        <v>9.2649283875068881E-4</v>
      </c>
      <c r="AB19">
        <f>'Electricity shares'!AB19*'Indirect NH3 demand sources'!AB$5*(1-SUM('Pre-allocation of NH3 in power'!AB19:AB89))+'Pre-allocation of NH3 in power'!AB19*'Indirect NH3 demand sources'!AB$5</f>
        <v>1.0488007933135732E-3</v>
      </c>
      <c r="AC19">
        <f>'Electricity shares'!AC19*'Indirect NH3 demand sources'!AC$5*(1-SUM('Pre-allocation of NH3 in power'!AC19:AC89))+'Pre-allocation of NH3 in power'!AC19*'Indirect NH3 demand sources'!AC$5</f>
        <v>1.1686796100811876E-3</v>
      </c>
      <c r="AD19">
        <f>'Electricity shares'!AD19*'Indirect NH3 demand sources'!AD$5*(1-SUM('Pre-allocation of NH3 in power'!AD19:AD89))+'Pre-allocation of NH3 in power'!AD19*'Indirect NH3 demand sources'!AD$5</f>
        <v>1.2861398874545456E-3</v>
      </c>
      <c r="AE19">
        <f>'Electricity shares'!AE19*'Indirect NH3 demand sources'!AE$5*(1-SUM('Pre-allocation of NH3 in power'!AE19:AE89))+'Pre-allocation of NH3 in power'!AE19*'Indirect NH3 demand sources'!AE$5</f>
        <v>1.4014568751090149E-3</v>
      </c>
      <c r="AF19">
        <f>'Electricity shares'!AF19*'Indirect NH3 demand sources'!AF$5*(1-SUM('Pre-allocation of NH3 in power'!AF19:AF89))+'Pre-allocation of NH3 in power'!AF19*'Indirect NH3 demand sources'!AF$5</f>
        <v>1.5146893626157719E-3</v>
      </c>
      <c r="AG19">
        <f>'Electricity shares'!AG19*'Indirect NH3 demand sources'!AG$5*(1-SUM('Pre-allocation of NH3 in power'!AG19:AG89))+'Pre-allocation of NH3 in power'!AG19*'Indirect NH3 demand sources'!AG$5</f>
        <v>1.6024858548592828E-3</v>
      </c>
      <c r="AH19">
        <f>'Electricity shares'!AH19*'Indirect NH3 demand sources'!AH$5*(1-SUM('Pre-allocation of NH3 in power'!AH19:AH89))+'Pre-allocation of NH3 in power'!AH19*'Indirect NH3 demand sources'!AH$5</f>
        <v>1.6894280731896277E-3</v>
      </c>
      <c r="AI19">
        <f>'Electricity shares'!AI19*'Indirect NH3 demand sources'!AI$5*(1-SUM('Pre-allocation of NH3 in power'!AI19:AI89))+'Pre-allocation of NH3 in power'!AI19*'Indirect NH3 demand sources'!AI$5</f>
        <v>1.7752671687564878E-3</v>
      </c>
      <c r="AJ19">
        <f>'Electricity shares'!AJ19*'Indirect NH3 demand sources'!AJ$5*(1-SUM('Pre-allocation of NH3 in power'!AJ19:AJ89))+'Pre-allocation of NH3 in power'!AJ19*'Indirect NH3 demand sources'!AJ$5</f>
        <v>1.8599710291724515E-3</v>
      </c>
      <c r="AK19">
        <f>'Electricity shares'!AK19*'Indirect NH3 demand sources'!AK$5*(1-SUM('Pre-allocation of NH3 in power'!AK19:AK89))+'Pre-allocation of NH3 in power'!AK19*'Indirect NH3 demand sources'!AK$5</f>
        <v>1.9440353489017801E-3</v>
      </c>
      <c r="AL19">
        <f>'Electricity shares'!AL19*'Indirect NH3 demand sources'!AL$5*(1-SUM('Pre-allocation of NH3 in power'!AL19:AL89))+'Pre-allocation of NH3 in power'!AL19*'Indirect NH3 demand sources'!AL$5</f>
        <v>2.028041189818545E-3</v>
      </c>
      <c r="AM19">
        <f>'Electricity shares'!AM19*'Indirect NH3 demand sources'!AM$5*(1-SUM('Pre-allocation of NH3 in power'!AM19:AM89))+'Pre-allocation of NH3 in power'!AM19*'Indirect NH3 demand sources'!AM$5</f>
        <v>2.1122470689132955E-3</v>
      </c>
      <c r="AN19">
        <f>'Electricity shares'!AN19*'Indirect NH3 demand sources'!AN$5*(1-SUM('Pre-allocation of NH3 in power'!AN19:AN89))+'Pre-allocation of NH3 in power'!AN19*'Indirect NH3 demand sources'!AN$5</f>
        <v>2.19474954128607E-3</v>
      </c>
      <c r="AO19">
        <f>'Electricity shares'!AO19*'Indirect NH3 demand sources'!AO$5*(1-SUM('Pre-allocation of NH3 in power'!AO19:AO89))+'Pre-allocation of NH3 in power'!AO19*'Indirect NH3 demand sources'!AO$5</f>
        <v>2.2755458160462119E-3</v>
      </c>
      <c r="AP19">
        <f>'Electricity shares'!AP19*'Indirect NH3 demand sources'!AP$5*(1-SUM('Pre-allocation of NH3 in power'!AP19:AP89))+'Pre-allocation of NH3 in power'!AP19*'Indirect NH3 demand sources'!AP$5</f>
        <v>2.3534397912527653E-3</v>
      </c>
    </row>
    <row r="20" spans="1:42" x14ac:dyDescent="0.3">
      <c r="A20" t="s">
        <v>95</v>
      </c>
      <c r="B20">
        <f>'Electricity shares'!B20*'Indirect NH3 demand sources'!B$5*(1-SUM('Pre-allocation of NH3 in power'!B20:B90))+'Pre-allocation of NH3 in power'!B20*'Indirect NH3 demand sources'!B$5</f>
        <v>0</v>
      </c>
      <c r="C20">
        <f>'Electricity shares'!C20*'Indirect NH3 demand sources'!C$5*(1-SUM('Pre-allocation of NH3 in power'!C20:C90))+'Pre-allocation of NH3 in power'!C20*'Indirect NH3 demand sources'!C$5</f>
        <v>0</v>
      </c>
      <c r="D20">
        <f>'Electricity shares'!D20*'Indirect NH3 demand sources'!D$5*(1-SUM('Pre-allocation of NH3 in power'!D20:D90))+'Pre-allocation of NH3 in power'!D20*'Indirect NH3 demand sources'!D$5</f>
        <v>0</v>
      </c>
      <c r="E20">
        <f>'Electricity shares'!E20*'Indirect NH3 demand sources'!E$5*(1-SUM('Pre-allocation of NH3 in power'!E20:E90))+'Pre-allocation of NH3 in power'!E20*'Indirect NH3 demand sources'!E$5</f>
        <v>0</v>
      </c>
      <c r="F20">
        <f>'Electricity shares'!F20*'Indirect NH3 demand sources'!F$5*(1-SUM('Pre-allocation of NH3 in power'!F20:F90))+'Pre-allocation of NH3 in power'!F20*'Indirect NH3 demand sources'!F$5</f>
        <v>0</v>
      </c>
      <c r="G20">
        <f>'Electricity shares'!G20*'Indirect NH3 demand sources'!G$5*(1-SUM('Pre-allocation of NH3 in power'!G20:G90))+'Pre-allocation of NH3 in power'!G20*'Indirect NH3 demand sources'!G$5</f>
        <v>0</v>
      </c>
      <c r="H20">
        <f>'Electricity shares'!H20*'Indirect NH3 demand sources'!H$5*(1-SUM('Pre-allocation of NH3 in power'!H20:H90))+'Pre-allocation of NH3 in power'!H20*'Indirect NH3 demand sources'!H$5</f>
        <v>0</v>
      </c>
      <c r="I20">
        <f>'Electricity shares'!I20*'Indirect NH3 demand sources'!I$5*(1-SUM('Pre-allocation of NH3 in power'!I20:I90))+'Pre-allocation of NH3 in power'!I20*'Indirect NH3 demand sources'!I$5</f>
        <v>0</v>
      </c>
      <c r="J20">
        <f>'Electricity shares'!J20*'Indirect NH3 demand sources'!J$5*(1-SUM('Pre-allocation of NH3 in power'!J20:J90))+'Pre-allocation of NH3 in power'!J20*'Indirect NH3 demand sources'!J$5</f>
        <v>0</v>
      </c>
      <c r="K20">
        <f>'Electricity shares'!K20*'Indirect NH3 demand sources'!K$5*(1-SUM('Pre-allocation of NH3 in power'!K20:K90))+'Pre-allocation of NH3 in power'!K20*'Indirect NH3 demand sources'!K$5</f>
        <v>0</v>
      </c>
      <c r="L20">
        <f>'Electricity shares'!L20*'Indirect NH3 demand sources'!L$5*(1-SUM('Pre-allocation of NH3 in power'!L20:L90))+'Pre-allocation of NH3 in power'!L20*'Indirect NH3 demand sources'!L$5</f>
        <v>0</v>
      </c>
      <c r="M20">
        <f>'Electricity shares'!M20*'Indirect NH3 demand sources'!M$5*(1-SUM('Pre-allocation of NH3 in power'!M20:M90))+'Pre-allocation of NH3 in power'!M20*'Indirect NH3 demand sources'!M$5</f>
        <v>0</v>
      </c>
      <c r="N20">
        <f>'Electricity shares'!N20*'Indirect NH3 demand sources'!N$5*(1-SUM('Pre-allocation of NH3 in power'!N20:N90))+'Pre-allocation of NH3 in power'!N20*'Indirect NH3 demand sources'!N$5</f>
        <v>0</v>
      </c>
      <c r="O20">
        <f>'Electricity shares'!O20*'Indirect NH3 demand sources'!O$5*(1-SUM('Pre-allocation of NH3 in power'!O20:O90))+'Pre-allocation of NH3 in power'!O20*'Indirect NH3 demand sources'!O$5</f>
        <v>0</v>
      </c>
      <c r="P20">
        <f>'Electricity shares'!P20*'Indirect NH3 demand sources'!P$5*(1-SUM('Pre-allocation of NH3 in power'!P20:P90))+'Pre-allocation of NH3 in power'!P20*'Indirect NH3 demand sources'!P$5</f>
        <v>0</v>
      </c>
      <c r="Q20">
        <f>'Electricity shares'!Q20*'Indirect NH3 demand sources'!Q$5*(1-SUM('Pre-allocation of NH3 in power'!Q20:Q90))+'Pre-allocation of NH3 in power'!Q20*'Indirect NH3 demand sources'!Q$5</f>
        <v>0</v>
      </c>
      <c r="R20">
        <f>'Electricity shares'!R20*'Indirect NH3 demand sources'!R$5*(1-SUM('Pre-allocation of NH3 in power'!R20:R90))+'Pre-allocation of NH3 in power'!R20*'Indirect NH3 demand sources'!R$5</f>
        <v>3.959089855010679E-5</v>
      </c>
      <c r="S20">
        <f>'Electricity shares'!S20*'Indirect NH3 demand sources'!S$5*(1-SUM('Pre-allocation of NH3 in power'!S20:S90))+'Pre-allocation of NH3 in power'!S20*'Indirect NH3 demand sources'!S$5</f>
        <v>7.8732646551475977E-5</v>
      </c>
      <c r="T20">
        <f>'Electricity shares'!T20*'Indirect NH3 demand sources'!T$5*(1-SUM('Pre-allocation of NH3 in power'!T20:T90))+'Pre-allocation of NH3 in power'!T20*'Indirect NH3 demand sources'!T$5</f>
        <v>1.173507467226715E-4</v>
      </c>
      <c r="U20">
        <f>'Electricity shares'!U20*'Indirect NH3 demand sources'!U$5*(1-SUM('Pre-allocation of NH3 in power'!U20:U90))+'Pre-allocation of NH3 in power'!U20*'Indirect NH3 demand sources'!U$5</f>
        <v>1.5541727966494946E-4</v>
      </c>
      <c r="V20">
        <f>'Electricity shares'!V20*'Indirect NH3 demand sources'!V$5*(1-SUM('Pre-allocation of NH3 in power'!V20:V90))+'Pre-allocation of NH3 in power'!V20*'Indirect NH3 demand sources'!V$5</f>
        <v>1.9299674329312873E-4</v>
      </c>
      <c r="W20">
        <f>'Electricity shares'!W20*'Indirect NH3 demand sources'!W$5*(1-SUM('Pre-allocation of NH3 in power'!W20:W90))+'Pre-allocation of NH3 in power'!W20*'Indirect NH3 demand sources'!W$5</f>
        <v>2.8751055468878258E-4</v>
      </c>
      <c r="X20">
        <f>'Electricity shares'!X20*'Indirect NH3 demand sources'!X$5*(1-SUM('Pre-allocation of NH3 in power'!X20:X90))+'Pre-allocation of NH3 in power'!X20*'Indirect NH3 demand sources'!X$5</f>
        <v>3.8072410049405615E-4</v>
      </c>
      <c r="Y20">
        <f>'Electricity shares'!Y20*'Indirect NH3 demand sources'!Y$5*(1-SUM('Pre-allocation of NH3 in power'!Y20:Y90))+'Pre-allocation of NH3 in power'!Y20*'Indirect NH3 demand sources'!Y$5</f>
        <v>4.7265477137762923E-4</v>
      </c>
      <c r="Z20">
        <f>'Electricity shares'!Z20*'Indirect NH3 demand sources'!Z$5*(1-SUM('Pre-allocation of NH3 in power'!Z20:Z90))+'Pre-allocation of NH3 in power'!Z20*'Indirect NH3 demand sources'!Z$5</f>
        <v>5.6353906295837403E-4</v>
      </c>
      <c r="AA20">
        <f>'Electricity shares'!AA20*'Indirect NH3 demand sources'!AA$5*(1-SUM('Pre-allocation of NH3 in power'!AA20:AA90))+'Pre-allocation of NH3 in power'!AA20*'Indirect NH3 demand sources'!AA$5</f>
        <v>6.5388819263523376E-4</v>
      </c>
      <c r="AB20">
        <f>'Electricity shares'!AB20*'Indirect NH3 demand sources'!AB$5*(1-SUM('Pre-allocation of NH3 in power'!AB20:AB90))+'Pre-allocation of NH3 in power'!AB20*'Indirect NH3 demand sources'!AB$5</f>
        <v>7.3905329359560718E-4</v>
      </c>
      <c r="AC20">
        <f>'Electricity shares'!AC20*'Indirect NH3 demand sources'!AC$5*(1-SUM('Pre-allocation of NH3 in power'!AC20:AC90))+'Pre-allocation of NH3 in power'!AC20*'Indirect NH3 demand sources'!AC$5</f>
        <v>8.2206215034527673E-4</v>
      </c>
      <c r="AD20">
        <f>'Electricity shares'!AD20*'Indirect NH3 demand sources'!AD$5*(1-SUM('Pre-allocation of NH3 in power'!AD20:AD90))+'Pre-allocation of NH3 in power'!AD20*'Indirect NH3 demand sources'!AD$5</f>
        <v>9.0295368525346699E-4</v>
      </c>
      <c r="AE20">
        <f>'Electricity shares'!AE20*'Indirect NH3 demand sources'!AE$5*(1-SUM('Pre-allocation of NH3 in power'!AE20:AE90))+'Pre-allocation of NH3 in power'!AE20*'Indirect NH3 demand sources'!AE$5</f>
        <v>9.8153236919057245E-4</v>
      </c>
      <c r="AF20">
        <f>'Electricity shares'!AF20*'Indirect NH3 demand sources'!AF$5*(1-SUM('Pre-allocation of NH3 in power'!AF20:AF90))+'Pre-allocation of NH3 in power'!AF20*'Indirect NH3 demand sources'!AF$5</f>
        <v>1.057905423074014E-3</v>
      </c>
      <c r="AG20">
        <f>'Electricity shares'!AG20*'Indirect NH3 demand sources'!AG$5*(1-SUM('Pre-allocation of NH3 in power'!AG20:AG90))+'Pre-allocation of NH3 in power'!AG20*'Indirect NH3 demand sources'!AG$5</f>
        <v>1.1164029220928379E-3</v>
      </c>
      <c r="AH20">
        <f>'Electricity shares'!AH20*'Indirect NH3 demand sources'!AH$5*(1-SUM('Pre-allocation of NH3 in power'!AH20:AH90))+'Pre-allocation of NH3 in power'!AH20*'Indirect NH3 demand sources'!AH$5</f>
        <v>1.1735947070798264E-3</v>
      </c>
      <c r="AI20">
        <f>'Electricity shares'!AI20*'Indirect NH3 demand sources'!AI$5*(1-SUM('Pre-allocation of NH3 in power'!AI20:AI90))+'Pre-allocation of NH3 in power'!AI20*'Indirect NH3 demand sources'!AI$5</f>
        <v>1.2295772061323524E-3</v>
      </c>
      <c r="AJ20">
        <f>'Electricity shares'!AJ20*'Indirect NH3 demand sources'!AJ$5*(1-SUM('Pre-allocation of NH3 in power'!AJ20:AJ90))+'Pre-allocation of NH3 in power'!AJ20*'Indirect NH3 demand sources'!AJ$5</f>
        <v>1.2845950845314855E-3</v>
      </c>
      <c r="AK20">
        <f>'Electricity shares'!AK20*'Indirect NH3 demand sources'!AK$5*(1-SUM('Pre-allocation of NH3 in power'!AK20:AK90))+'Pre-allocation of NH3 in power'!AK20*'Indirect NH3 demand sources'!AK$5</f>
        <v>1.3393998548815863E-3</v>
      </c>
      <c r="AL20">
        <f>'Electricity shares'!AL20*'Indirect NH3 demand sources'!AL$5*(1-SUM('Pre-allocation of NH3 in power'!AL20:AL90))+'Pre-allocation of NH3 in power'!AL20*'Indirect NH3 demand sources'!AL$5</f>
        <v>1.3926736261458371E-3</v>
      </c>
      <c r="AM20">
        <f>'Electricity shares'!AM20*'Indirect NH3 demand sources'!AM$5*(1-SUM('Pre-allocation of NH3 in power'!AM20:AM90))+'Pre-allocation of NH3 in power'!AM20*'Indirect NH3 demand sources'!AM$5</f>
        <v>1.446304077275832E-3</v>
      </c>
      <c r="AN20">
        <f>'Electricity shares'!AN20*'Indirect NH3 demand sources'!AN$5*(1-SUM('Pre-allocation of NH3 in power'!AN20:AN90))+'Pre-allocation of NH3 in power'!AN20*'Indirect NH3 demand sources'!AN$5</f>
        <v>1.5005171926641492E-3</v>
      </c>
      <c r="AO20">
        <f>'Electricity shares'!AO20*'Indirect NH3 demand sources'!AO$5*(1-SUM('Pre-allocation of NH3 in power'!AO20:AO90))+'Pre-allocation of NH3 in power'!AO20*'Indirect NH3 demand sources'!AO$5</f>
        <v>1.5558788310503855E-3</v>
      </c>
      <c r="AP20">
        <f>'Electricity shares'!AP20*'Indirect NH3 demand sources'!AP$5*(1-SUM('Pre-allocation of NH3 in power'!AP20:AP90))+'Pre-allocation of NH3 in power'!AP20*'Indirect NH3 demand sources'!AP$5</f>
        <v>1.6121339302361871E-3</v>
      </c>
    </row>
    <row r="21" spans="1:42" x14ac:dyDescent="0.3">
      <c r="A21" t="s">
        <v>96</v>
      </c>
      <c r="B21">
        <f>'Electricity shares'!B21*'Indirect NH3 demand sources'!B$5*(1-SUM('Pre-allocation of NH3 in power'!B21:B91))+'Pre-allocation of NH3 in power'!B21*'Indirect NH3 demand sources'!B$5</f>
        <v>0</v>
      </c>
      <c r="C21">
        <f>'Electricity shares'!C21*'Indirect NH3 demand sources'!C$5*(1-SUM('Pre-allocation of NH3 in power'!C21:C91))+'Pre-allocation of NH3 in power'!C21*'Indirect NH3 demand sources'!C$5</f>
        <v>0</v>
      </c>
      <c r="D21">
        <f>'Electricity shares'!D21*'Indirect NH3 demand sources'!D$5*(1-SUM('Pre-allocation of NH3 in power'!D21:D91))+'Pre-allocation of NH3 in power'!D21*'Indirect NH3 demand sources'!D$5</f>
        <v>0</v>
      </c>
      <c r="E21">
        <f>'Electricity shares'!E21*'Indirect NH3 demand sources'!E$5*(1-SUM('Pre-allocation of NH3 in power'!E21:E91))+'Pre-allocation of NH3 in power'!E21*'Indirect NH3 demand sources'!E$5</f>
        <v>0</v>
      </c>
      <c r="F21">
        <f>'Electricity shares'!F21*'Indirect NH3 demand sources'!F$5*(1-SUM('Pre-allocation of NH3 in power'!F21:F91))+'Pre-allocation of NH3 in power'!F21*'Indirect NH3 demand sources'!F$5</f>
        <v>0</v>
      </c>
      <c r="G21">
        <f>'Electricity shares'!G21*'Indirect NH3 demand sources'!G$5*(1-SUM('Pre-allocation of NH3 in power'!G21:G91))+'Pre-allocation of NH3 in power'!G21*'Indirect NH3 demand sources'!G$5</f>
        <v>0</v>
      </c>
      <c r="H21">
        <f>'Electricity shares'!H21*'Indirect NH3 demand sources'!H$5*(1-SUM('Pre-allocation of NH3 in power'!H21:H91))+'Pre-allocation of NH3 in power'!H21*'Indirect NH3 demand sources'!H$5</f>
        <v>0</v>
      </c>
      <c r="I21">
        <f>'Electricity shares'!I21*'Indirect NH3 demand sources'!I$5*(1-SUM('Pre-allocation of NH3 in power'!I21:I91))+'Pre-allocation of NH3 in power'!I21*'Indirect NH3 demand sources'!I$5</f>
        <v>0</v>
      </c>
      <c r="J21">
        <f>'Electricity shares'!J21*'Indirect NH3 demand sources'!J$5*(1-SUM('Pre-allocation of NH3 in power'!J21:J91))+'Pre-allocation of NH3 in power'!J21*'Indirect NH3 demand sources'!J$5</f>
        <v>0</v>
      </c>
      <c r="K21">
        <f>'Electricity shares'!K21*'Indirect NH3 demand sources'!K$5*(1-SUM('Pre-allocation of NH3 in power'!K21:K91))+'Pre-allocation of NH3 in power'!K21*'Indirect NH3 demand sources'!K$5</f>
        <v>0</v>
      </c>
      <c r="L21">
        <f>'Electricity shares'!L21*'Indirect NH3 demand sources'!L$5*(1-SUM('Pre-allocation of NH3 in power'!L21:L91))+'Pre-allocation of NH3 in power'!L21*'Indirect NH3 demand sources'!L$5</f>
        <v>0</v>
      </c>
      <c r="M21">
        <f>'Electricity shares'!M21*'Indirect NH3 demand sources'!M$5*(1-SUM('Pre-allocation of NH3 in power'!M21:M91))+'Pre-allocation of NH3 in power'!M21*'Indirect NH3 demand sources'!M$5</f>
        <v>0</v>
      </c>
      <c r="N21">
        <f>'Electricity shares'!N21*'Indirect NH3 demand sources'!N$5*(1-SUM('Pre-allocation of NH3 in power'!N21:N91))+'Pre-allocation of NH3 in power'!N21*'Indirect NH3 demand sources'!N$5</f>
        <v>0</v>
      </c>
      <c r="O21">
        <f>'Electricity shares'!O21*'Indirect NH3 demand sources'!O$5*(1-SUM('Pre-allocation of NH3 in power'!O21:O91))+'Pre-allocation of NH3 in power'!O21*'Indirect NH3 demand sources'!O$5</f>
        <v>0</v>
      </c>
      <c r="P21">
        <f>'Electricity shares'!P21*'Indirect NH3 demand sources'!P$5*(1-SUM('Pre-allocation of NH3 in power'!P21:P91))+'Pre-allocation of NH3 in power'!P21*'Indirect NH3 demand sources'!P$5</f>
        <v>0</v>
      </c>
      <c r="Q21">
        <f>'Electricity shares'!Q21*'Indirect NH3 demand sources'!Q$5*(1-SUM('Pre-allocation of NH3 in power'!Q21:Q91))+'Pre-allocation of NH3 in power'!Q21*'Indirect NH3 demand sources'!Q$5</f>
        <v>0</v>
      </c>
      <c r="R21">
        <f>'Electricity shares'!R21*'Indirect NH3 demand sources'!R$5*(1-SUM('Pre-allocation of NH3 in power'!R21:R91))+'Pre-allocation of NH3 in power'!R21*'Indirect NH3 demand sources'!R$5</f>
        <v>4.075464080549492E-5</v>
      </c>
      <c r="S21">
        <f>'Electricity shares'!S21*'Indirect NH3 demand sources'!S$5*(1-SUM('Pre-allocation of NH3 in power'!S21:S91))+'Pre-allocation of NH3 in power'!S21*'Indirect NH3 demand sources'!S$5</f>
        <v>8.0044010242962574E-5</v>
      </c>
      <c r="T21">
        <f>'Electricity shares'!T21*'Indirect NH3 demand sources'!T$5*(1-SUM('Pre-allocation of NH3 in power'!T21:T91))+'Pre-allocation of NH3 in power'!T21*'Indirect NH3 demand sources'!T$5</f>
        <v>1.1788940963211803E-4</v>
      </c>
      <c r="U21">
        <f>'Electricity shares'!U21*'Indirect NH3 demand sources'!U$5*(1-SUM('Pre-allocation of NH3 in power'!U21:U91))+'Pre-allocation of NH3 in power'!U21*'Indirect NH3 demand sources'!U$5</f>
        <v>1.5431587769947896E-4</v>
      </c>
      <c r="V21">
        <f>'Electricity shares'!V21*'Indirect NH3 demand sources'!V$5*(1-SUM('Pre-allocation of NH3 in power'!V21:V91))+'Pre-allocation of NH3 in power'!V21*'Indirect NH3 demand sources'!V$5</f>
        <v>1.8939715941201804E-4</v>
      </c>
      <c r="W21">
        <f>'Electricity shares'!W21*'Indirect NH3 demand sources'!W$5*(1-SUM('Pre-allocation of NH3 in power'!W21:W91))+'Pre-allocation of NH3 in power'!W21*'Indirect NH3 demand sources'!W$5</f>
        <v>2.8257186851820767E-4</v>
      </c>
      <c r="X21">
        <f>'Electricity shares'!X21*'Indirect NH3 demand sources'!X$5*(1-SUM('Pre-allocation of NH3 in power'!X21:X91))+'Pre-allocation of NH3 in power'!X21*'Indirect NH3 demand sources'!X$5</f>
        <v>3.7459530590455773E-4</v>
      </c>
      <c r="Y21">
        <f>'Electricity shares'!Y21*'Indirect NH3 demand sources'!Y$5*(1-SUM('Pre-allocation of NH3 in power'!Y21:Y91))+'Pre-allocation of NH3 in power'!Y21*'Indirect NH3 demand sources'!Y$5</f>
        <v>4.6540882124378771E-4</v>
      </c>
      <c r="Z21">
        <f>'Electricity shares'!Z21*'Indirect NH3 demand sources'!Z$5*(1-SUM('Pre-allocation of NH3 in power'!Z21:Z91))+'Pre-allocation of NH3 in power'!Z21*'Indirect NH3 demand sources'!Z$5</f>
        <v>5.5510731234019992E-4</v>
      </c>
      <c r="AA21">
        <f>'Electricity shares'!AA21*'Indirect NH3 demand sources'!AA$5*(1-SUM('Pre-allocation of NH3 in power'!AA21:AA91))+'Pre-allocation of NH3 in power'!AA21*'Indirect NH3 demand sources'!AA$5</f>
        <v>6.4355914384577886E-4</v>
      </c>
      <c r="AB21">
        <f>'Electricity shares'!AB21*'Indirect NH3 demand sources'!AB$5*(1-SUM('Pre-allocation of NH3 in power'!AB21:AB91))+'Pre-allocation of NH3 in power'!AB21*'Indirect NH3 demand sources'!AB$5</f>
        <v>7.2848950349841866E-4</v>
      </c>
      <c r="AC21">
        <f>'Electricity shares'!AC21*'Indirect NH3 demand sources'!AC$5*(1-SUM('Pre-allocation of NH3 in power'!AC21:AC91))+'Pre-allocation of NH3 in power'!AC21*'Indirect NH3 demand sources'!AC$5</f>
        <v>8.1172299366851863E-4</v>
      </c>
      <c r="AD21">
        <f>'Electricity shares'!AD21*'Indirect NH3 demand sources'!AD$5*(1-SUM('Pre-allocation of NH3 in power'!AD21:AD91))+'Pre-allocation of NH3 in power'!AD21*'Indirect NH3 demand sources'!AD$5</f>
        <v>8.9324597224600113E-4</v>
      </c>
      <c r="AE21">
        <f>'Electricity shares'!AE21*'Indirect NH3 demand sources'!AE$5*(1-SUM('Pre-allocation of NH3 in power'!AE21:AE91))+'Pre-allocation of NH3 in power'!AE21*'Indirect NH3 demand sources'!AE$5</f>
        <v>9.7319150255593034E-4</v>
      </c>
      <c r="AF21">
        <f>'Electricity shares'!AF21*'Indirect NH3 demand sources'!AF$5*(1-SUM('Pre-allocation of NH3 in power'!AF21:AF91))+'Pre-allocation of NH3 in power'!AF21*'Indirect NH3 demand sources'!AF$5</f>
        <v>1.051652988555487E-3</v>
      </c>
      <c r="AG21">
        <f>'Electricity shares'!AG21*'Indirect NH3 demand sources'!AG$5*(1-SUM('Pre-allocation of NH3 in power'!AG21:AG91))+'Pre-allocation of NH3 in power'!AG21*'Indirect NH3 demand sources'!AG$5</f>
        <v>1.1078921203465746E-3</v>
      </c>
      <c r="AH21">
        <f>'Electricity shares'!AH21*'Indirect NH3 demand sources'!AH$5*(1-SUM('Pre-allocation of NH3 in power'!AH21:AH91))+'Pre-allocation of NH3 in power'!AH21*'Indirect NH3 demand sources'!AH$5</f>
        <v>1.1631675649899247E-3</v>
      </c>
      <c r="AI21">
        <f>'Electricity shares'!AI21*'Indirect NH3 demand sources'!AI$5*(1-SUM('Pre-allocation of NH3 in power'!AI21:AI91))+'Pre-allocation of NH3 in power'!AI21*'Indirect NH3 demand sources'!AI$5</f>
        <v>1.2175504057400678E-3</v>
      </c>
      <c r="AJ21">
        <f>'Electricity shares'!AJ21*'Indirect NH3 demand sources'!AJ$5*(1-SUM('Pre-allocation of NH3 in power'!AJ21:AJ91))+'Pre-allocation of NH3 in power'!AJ21*'Indirect NH3 demand sources'!AJ$5</f>
        <v>1.271074762381834E-3</v>
      </c>
      <c r="AK21">
        <f>'Electricity shares'!AK21*'Indirect NH3 demand sources'!AK$5*(1-SUM('Pre-allocation of NH3 in power'!AK21:AK91))+'Pre-allocation of NH3 in power'!AK21*'Indirect NH3 demand sources'!AK$5</f>
        <v>1.3243996467841455E-3</v>
      </c>
      <c r="AL21">
        <f>'Electricity shares'!AL21*'Indirect NH3 demand sources'!AL$5*(1-SUM('Pre-allocation of NH3 in power'!AL21:AL91))+'Pre-allocation of NH3 in power'!AL21*'Indirect NH3 demand sources'!AL$5</f>
        <v>1.3714605972765638E-3</v>
      </c>
      <c r="AM21">
        <f>'Electricity shares'!AM21*'Indirect NH3 demand sources'!AM$5*(1-SUM('Pre-allocation of NH3 in power'!AM21:AM91))+'Pre-allocation of NH3 in power'!AM21*'Indirect NH3 demand sources'!AM$5</f>
        <v>1.4186660942630211E-3</v>
      </c>
      <c r="AN21">
        <f>'Electricity shares'!AN21*'Indirect NH3 demand sources'!AN$5*(1-SUM('Pre-allocation of NH3 in power'!AN21:AN91))+'Pre-allocation of NH3 in power'!AN21*'Indirect NH3 demand sources'!AN$5</f>
        <v>1.4651256482897687E-3</v>
      </c>
      <c r="AO21">
        <f>'Electricity shares'!AO21*'Indirect NH3 demand sources'!AO$5*(1-SUM('Pre-allocation of NH3 in power'!AO21:AO91))+'Pre-allocation of NH3 in power'!AO21*'Indirect NH3 demand sources'!AO$5</f>
        <v>1.5107594751771179E-3</v>
      </c>
      <c r="AP21">
        <f>'Electricity shares'!AP21*'Indirect NH3 demand sources'!AP$5*(1-SUM('Pre-allocation of NH3 in power'!AP21:AP91))+'Pre-allocation of NH3 in power'!AP21*'Indirect NH3 demand sources'!AP$5</f>
        <v>1.554510750365355E-3</v>
      </c>
    </row>
    <row r="22" spans="1:42" x14ac:dyDescent="0.3">
      <c r="A22" t="s">
        <v>97</v>
      </c>
      <c r="B22">
        <f>'Electricity shares'!B22*'Indirect NH3 demand sources'!B$5*(1-SUM('Pre-allocation of NH3 in power'!B22:B92))+'Pre-allocation of NH3 in power'!B22*'Indirect NH3 demand sources'!B$5</f>
        <v>0</v>
      </c>
      <c r="C22">
        <f>'Electricity shares'!C22*'Indirect NH3 demand sources'!C$5*(1-SUM('Pre-allocation of NH3 in power'!C22:C92))+'Pre-allocation of NH3 in power'!C22*'Indirect NH3 demand sources'!C$5</f>
        <v>0</v>
      </c>
      <c r="D22">
        <f>'Electricity shares'!D22*'Indirect NH3 demand sources'!D$5*(1-SUM('Pre-allocation of NH3 in power'!D22:D92))+'Pre-allocation of NH3 in power'!D22*'Indirect NH3 demand sources'!D$5</f>
        <v>0</v>
      </c>
      <c r="E22">
        <f>'Electricity shares'!E22*'Indirect NH3 demand sources'!E$5*(1-SUM('Pre-allocation of NH3 in power'!E22:E92))+'Pre-allocation of NH3 in power'!E22*'Indirect NH3 demand sources'!E$5</f>
        <v>0</v>
      </c>
      <c r="F22">
        <f>'Electricity shares'!F22*'Indirect NH3 demand sources'!F$5*(1-SUM('Pre-allocation of NH3 in power'!F22:F92))+'Pre-allocation of NH3 in power'!F22*'Indirect NH3 demand sources'!F$5</f>
        <v>0</v>
      </c>
      <c r="G22">
        <f>'Electricity shares'!G22*'Indirect NH3 demand sources'!G$5*(1-SUM('Pre-allocation of NH3 in power'!G22:G92))+'Pre-allocation of NH3 in power'!G22*'Indirect NH3 demand sources'!G$5</f>
        <v>0</v>
      </c>
      <c r="H22">
        <f>'Electricity shares'!H22*'Indirect NH3 demand sources'!H$5*(1-SUM('Pre-allocation of NH3 in power'!H22:H92))+'Pre-allocation of NH3 in power'!H22*'Indirect NH3 demand sources'!H$5</f>
        <v>0</v>
      </c>
      <c r="I22">
        <f>'Electricity shares'!I22*'Indirect NH3 demand sources'!I$5*(1-SUM('Pre-allocation of NH3 in power'!I22:I92))+'Pre-allocation of NH3 in power'!I22*'Indirect NH3 demand sources'!I$5</f>
        <v>0</v>
      </c>
      <c r="J22">
        <f>'Electricity shares'!J22*'Indirect NH3 demand sources'!J$5*(1-SUM('Pre-allocation of NH3 in power'!J22:J92))+'Pre-allocation of NH3 in power'!J22*'Indirect NH3 demand sources'!J$5</f>
        <v>0</v>
      </c>
      <c r="K22">
        <f>'Electricity shares'!K22*'Indirect NH3 demand sources'!K$5*(1-SUM('Pre-allocation of NH3 in power'!K22:K92))+'Pre-allocation of NH3 in power'!K22*'Indirect NH3 demand sources'!K$5</f>
        <v>0</v>
      </c>
      <c r="L22">
        <f>'Electricity shares'!L22*'Indirect NH3 demand sources'!L$5*(1-SUM('Pre-allocation of NH3 in power'!L22:L92))+'Pre-allocation of NH3 in power'!L22*'Indirect NH3 demand sources'!L$5</f>
        <v>0</v>
      </c>
      <c r="M22">
        <f>'Electricity shares'!M22*'Indirect NH3 demand sources'!M$5*(1-SUM('Pre-allocation of NH3 in power'!M22:M92))+'Pre-allocation of NH3 in power'!M22*'Indirect NH3 demand sources'!M$5</f>
        <v>0</v>
      </c>
      <c r="N22">
        <f>'Electricity shares'!N22*'Indirect NH3 demand sources'!N$5*(1-SUM('Pre-allocation of NH3 in power'!N22:N92))+'Pre-allocation of NH3 in power'!N22*'Indirect NH3 demand sources'!N$5</f>
        <v>0</v>
      </c>
      <c r="O22">
        <f>'Electricity shares'!O22*'Indirect NH3 demand sources'!O$5*(1-SUM('Pre-allocation of NH3 in power'!O22:O92))+'Pre-allocation of NH3 in power'!O22*'Indirect NH3 demand sources'!O$5</f>
        <v>0</v>
      </c>
      <c r="P22">
        <f>'Electricity shares'!P22*'Indirect NH3 demand sources'!P$5*(1-SUM('Pre-allocation of NH3 in power'!P22:P92))+'Pre-allocation of NH3 in power'!P22*'Indirect NH3 demand sources'!P$5</f>
        <v>0</v>
      </c>
      <c r="Q22">
        <f>'Electricity shares'!Q22*'Indirect NH3 demand sources'!Q$5*(1-SUM('Pre-allocation of NH3 in power'!Q22:Q92))+'Pre-allocation of NH3 in power'!Q22*'Indirect NH3 demand sources'!Q$5</f>
        <v>0</v>
      </c>
      <c r="R22">
        <f>'Electricity shares'!R22*'Indirect NH3 demand sources'!R$5*(1-SUM('Pre-allocation of NH3 in power'!R22:R92))+'Pre-allocation of NH3 in power'!R22*'Indirect NH3 demand sources'!R$5</f>
        <v>4.3192442647469245E-5</v>
      </c>
      <c r="S22">
        <f>'Electricity shares'!S22*'Indirect NH3 demand sources'!S$5*(1-SUM('Pre-allocation of NH3 in power'!S22:S92))+'Pre-allocation of NH3 in power'!S22*'Indirect NH3 demand sources'!S$5</f>
        <v>8.3576153163278475E-5</v>
      </c>
      <c r="T22">
        <f>'Electricity shares'!T22*'Indirect NH3 demand sources'!T$5*(1-SUM('Pre-allocation of NH3 in power'!T22:T92))+'Pre-allocation of NH3 in power'!T22*'Indirect NH3 demand sources'!T$5</f>
        <v>1.2132496426324214E-4</v>
      </c>
      <c r="U22">
        <f>'Electricity shares'!U22*'Indirect NH3 demand sources'!U$5*(1-SUM('Pre-allocation of NH3 in power'!U22:U92))+'Pre-allocation of NH3 in power'!U22*'Indirect NH3 demand sources'!U$5</f>
        <v>1.5649238152222667E-4</v>
      </c>
      <c r="V22">
        <f>'Electricity shares'!V22*'Indirect NH3 demand sources'!V$5*(1-SUM('Pre-allocation of NH3 in power'!V22:V92))+'Pre-allocation of NH3 in power'!V22*'Indirect NH3 demand sources'!V$5</f>
        <v>1.8936952050132289E-4</v>
      </c>
      <c r="W22">
        <f>'Electricity shares'!W22*'Indirect NH3 demand sources'!W$5*(1-SUM('Pre-allocation of NH3 in power'!W22:W92))+'Pre-allocation of NH3 in power'!W22*'Indirect NH3 demand sources'!W$5</f>
        <v>2.8044002560361582E-4</v>
      </c>
      <c r="X22">
        <f>'Electricity shares'!X22*'Indirect NH3 demand sources'!X$5*(1-SUM('Pre-allocation of NH3 in power'!X22:X92))+'Pre-allocation of NH3 in power'!X22*'Indirect NH3 demand sources'!X$5</f>
        <v>3.6923787843994954E-4</v>
      </c>
      <c r="Y22">
        <f>'Electricity shares'!Y22*'Indirect NH3 demand sources'!Y$5*(1-SUM('Pre-allocation of NH3 in power'!Y22:Y92))+'Pre-allocation of NH3 in power'!Y22*'Indirect NH3 demand sources'!Y$5</f>
        <v>4.5573311797648979E-4</v>
      </c>
      <c r="Z22">
        <f>'Electricity shares'!Z22*'Indirect NH3 demand sources'!Z$5*(1-SUM('Pre-allocation of NH3 in power'!Z22:Z92))+'Pre-allocation of NH3 in power'!Z22*'Indirect NH3 demand sources'!Z$5</f>
        <v>5.4009426895676275E-4</v>
      </c>
      <c r="AA22">
        <f>'Electricity shares'!AA22*'Indirect NH3 demand sources'!AA$5*(1-SUM('Pre-allocation of NH3 in power'!AA22:AA92))+'Pre-allocation of NH3 in power'!AA22*'Indirect NH3 demand sources'!AA$5</f>
        <v>6.2231326345602315E-4</v>
      </c>
      <c r="AB22">
        <f>'Electricity shares'!AB22*'Indirect NH3 demand sources'!AB$5*(1-SUM('Pre-allocation of NH3 in power'!AB22:AB92))+'Pre-allocation of NH3 in power'!AB22*'Indirect NH3 demand sources'!AB$5</f>
        <v>7.0331044795499001E-4</v>
      </c>
      <c r="AC22">
        <f>'Electricity shares'!AC22*'Indirect NH3 demand sources'!AC$5*(1-SUM('Pre-allocation of NH3 in power'!AC22:AC92))+'Pre-allocation of NH3 in power'!AC22*'Indirect NH3 demand sources'!AC$5</f>
        <v>7.8251656951695207E-4</v>
      </c>
      <c r="AD22">
        <f>'Electricity shares'!AD22*'Indirect NH3 demand sources'!AD$5*(1-SUM('Pre-allocation of NH3 in power'!AD22:AD92))+'Pre-allocation of NH3 in power'!AD22*'Indirect NH3 demand sources'!AD$5</f>
        <v>8.6016151711860859E-4</v>
      </c>
      <c r="AE22">
        <f>'Electricity shares'!AE22*'Indirect NH3 demand sources'!AE$5*(1-SUM('Pre-allocation of NH3 in power'!AE22:AE92))+'Pre-allocation of NH3 in power'!AE22*'Indirect NH3 demand sources'!AE$5</f>
        <v>9.3629512779318811E-4</v>
      </c>
      <c r="AF22">
        <f>'Electricity shares'!AF22*'Indirect NH3 demand sources'!AF$5*(1-SUM('Pre-allocation of NH3 in power'!AF22:AF92))+'Pre-allocation of NH3 in power'!AF22*'Indirect NH3 demand sources'!AF$5</f>
        <v>1.0102438322033547E-3</v>
      </c>
      <c r="AG22">
        <f>'Electricity shares'!AG22*'Indirect NH3 demand sources'!AG$5*(1-SUM('Pre-allocation of NH3 in power'!AG22:AG92))+'Pre-allocation of NH3 in power'!AG22*'Indirect NH3 demand sources'!AG$5</f>
        <v>1.0770487708979383E-3</v>
      </c>
      <c r="AH22">
        <f>'Electricity shares'!AH22*'Indirect NH3 demand sources'!AH$5*(1-SUM('Pre-allocation of NH3 in power'!AH22:AH92))+'Pre-allocation of NH3 in power'!AH22*'Indirect NH3 demand sources'!AH$5</f>
        <v>1.1432689561282005E-3</v>
      </c>
      <c r="AI22">
        <f>'Electricity shares'!AI22*'Indirect NH3 demand sources'!AI$5*(1-SUM('Pre-allocation of NH3 in power'!AI22:AI92))+'Pre-allocation of NH3 in power'!AI22*'Indirect NH3 demand sources'!AI$5</f>
        <v>1.2088679941637513E-3</v>
      </c>
      <c r="AJ22">
        <f>'Electricity shares'!AJ22*'Indirect NH3 demand sources'!AJ$5*(1-SUM('Pre-allocation of NH3 in power'!AJ22:AJ92))+'Pre-allocation of NH3 in power'!AJ22*'Indirect NH3 demand sources'!AJ$5</f>
        <v>1.2736336416261252E-3</v>
      </c>
      <c r="AK22">
        <f>'Electricity shares'!AK22*'Indirect NH3 demand sources'!AK$5*(1-SUM('Pre-allocation of NH3 in power'!AK22:AK92))+'Pre-allocation of NH3 in power'!AK22*'Indirect NH3 demand sources'!AK$5</f>
        <v>1.3378027251699824E-3</v>
      </c>
      <c r="AL22">
        <f>'Electricity shares'!AL22*'Indirect NH3 demand sources'!AL$5*(1-SUM('Pre-allocation of NH3 in power'!AL22:AL92))+'Pre-allocation of NH3 in power'!AL22*'Indirect NH3 demand sources'!AL$5</f>
        <v>1.3957389007858711E-3</v>
      </c>
      <c r="AM22">
        <f>'Electricity shares'!AM22*'Indirect NH3 demand sources'!AM$5*(1-SUM('Pre-allocation of NH3 in power'!AM22:AM92))+'Pre-allocation of NH3 in power'!AM22*'Indirect NH3 demand sources'!AM$5</f>
        <v>1.4505828872612568E-3</v>
      </c>
      <c r="AN22">
        <f>'Electricity shares'!AN22*'Indirect NH3 demand sources'!AN$5*(1-SUM('Pre-allocation of NH3 in power'!AN22:AN92))+'Pre-allocation of NH3 in power'!AN22*'Indirect NH3 demand sources'!AN$5</f>
        <v>1.5038507258885322E-3</v>
      </c>
      <c r="AO22">
        <f>'Electricity shares'!AO22*'Indirect NH3 demand sources'!AO$5*(1-SUM('Pre-allocation of NH3 in power'!AO22:AO92))+'Pre-allocation of NH3 in power'!AO22*'Indirect NH3 demand sources'!AO$5</f>
        <v>1.5557400717980253E-3</v>
      </c>
      <c r="AP22">
        <f>'Electricity shares'!AP22*'Indirect NH3 demand sources'!AP$5*(1-SUM('Pre-allocation of NH3 in power'!AP22:AP92))+'Pre-allocation of NH3 in power'!AP22*'Indirect NH3 demand sources'!AP$5</f>
        <v>1.6063118748968286E-3</v>
      </c>
    </row>
    <row r="23" spans="1:42" x14ac:dyDescent="0.3">
      <c r="A23" t="s">
        <v>98</v>
      </c>
      <c r="B23">
        <f>'Electricity shares'!B23*'Indirect NH3 demand sources'!B$5*(1-SUM('Pre-allocation of NH3 in power'!B23:B93))+'Pre-allocation of NH3 in power'!B23*'Indirect NH3 demand sources'!B$5</f>
        <v>0</v>
      </c>
      <c r="C23">
        <f>'Electricity shares'!C23*'Indirect NH3 demand sources'!C$5*(1-SUM('Pre-allocation of NH3 in power'!C23:C93))+'Pre-allocation of NH3 in power'!C23*'Indirect NH3 demand sources'!C$5</f>
        <v>0</v>
      </c>
      <c r="D23">
        <f>'Electricity shares'!D23*'Indirect NH3 demand sources'!D$5*(1-SUM('Pre-allocation of NH3 in power'!D23:D93))+'Pre-allocation of NH3 in power'!D23*'Indirect NH3 demand sources'!D$5</f>
        <v>0</v>
      </c>
      <c r="E23">
        <f>'Electricity shares'!E23*'Indirect NH3 demand sources'!E$5*(1-SUM('Pre-allocation of NH3 in power'!E23:E93))+'Pre-allocation of NH3 in power'!E23*'Indirect NH3 demand sources'!E$5</f>
        <v>0</v>
      </c>
      <c r="F23">
        <f>'Electricity shares'!F23*'Indirect NH3 demand sources'!F$5*(1-SUM('Pre-allocation of NH3 in power'!F23:F93))+'Pre-allocation of NH3 in power'!F23*'Indirect NH3 demand sources'!F$5</f>
        <v>0</v>
      </c>
      <c r="G23">
        <f>'Electricity shares'!G23*'Indirect NH3 demand sources'!G$5*(1-SUM('Pre-allocation of NH3 in power'!G23:G93))+'Pre-allocation of NH3 in power'!G23*'Indirect NH3 demand sources'!G$5</f>
        <v>0</v>
      </c>
      <c r="H23">
        <f>'Electricity shares'!H23*'Indirect NH3 demand sources'!H$5*(1-SUM('Pre-allocation of NH3 in power'!H23:H93))+'Pre-allocation of NH3 in power'!H23*'Indirect NH3 demand sources'!H$5</f>
        <v>0</v>
      </c>
      <c r="I23">
        <f>'Electricity shares'!I23*'Indirect NH3 demand sources'!I$5*(1-SUM('Pre-allocation of NH3 in power'!I23:I93))+'Pre-allocation of NH3 in power'!I23*'Indirect NH3 demand sources'!I$5</f>
        <v>0</v>
      </c>
      <c r="J23">
        <f>'Electricity shares'!J23*'Indirect NH3 demand sources'!J$5*(1-SUM('Pre-allocation of NH3 in power'!J23:J93))+'Pre-allocation of NH3 in power'!J23*'Indirect NH3 demand sources'!J$5</f>
        <v>0</v>
      </c>
      <c r="K23">
        <f>'Electricity shares'!K23*'Indirect NH3 demand sources'!K$5*(1-SUM('Pre-allocation of NH3 in power'!K23:K93))+'Pre-allocation of NH3 in power'!K23*'Indirect NH3 demand sources'!K$5</f>
        <v>0</v>
      </c>
      <c r="L23">
        <f>'Electricity shares'!L23*'Indirect NH3 demand sources'!L$5*(1-SUM('Pre-allocation of NH3 in power'!L23:L93))+'Pre-allocation of NH3 in power'!L23*'Indirect NH3 demand sources'!L$5</f>
        <v>0</v>
      </c>
      <c r="M23">
        <f>'Electricity shares'!M23*'Indirect NH3 demand sources'!M$5*(1-SUM('Pre-allocation of NH3 in power'!M23:M93))+'Pre-allocation of NH3 in power'!M23*'Indirect NH3 demand sources'!M$5</f>
        <v>0</v>
      </c>
      <c r="N23">
        <f>'Electricity shares'!N23*'Indirect NH3 demand sources'!N$5*(1-SUM('Pre-allocation of NH3 in power'!N23:N93))+'Pre-allocation of NH3 in power'!N23*'Indirect NH3 demand sources'!N$5</f>
        <v>0</v>
      </c>
      <c r="O23">
        <f>'Electricity shares'!O23*'Indirect NH3 demand sources'!O$5*(1-SUM('Pre-allocation of NH3 in power'!O23:O93))+'Pre-allocation of NH3 in power'!O23*'Indirect NH3 demand sources'!O$5</f>
        <v>0</v>
      </c>
      <c r="P23">
        <f>'Electricity shares'!P23*'Indirect NH3 demand sources'!P$5*(1-SUM('Pre-allocation of NH3 in power'!P23:P93))+'Pre-allocation of NH3 in power'!P23*'Indirect NH3 demand sources'!P$5</f>
        <v>0</v>
      </c>
      <c r="Q23">
        <f>'Electricity shares'!Q23*'Indirect NH3 demand sources'!Q$5*(1-SUM('Pre-allocation of NH3 in power'!Q23:Q93))+'Pre-allocation of NH3 in power'!Q23*'Indirect NH3 demand sources'!Q$5</f>
        <v>0</v>
      </c>
      <c r="R23">
        <f>'Electricity shares'!R23*'Indirect NH3 demand sources'!R$5*(1-SUM('Pre-allocation of NH3 in power'!R23:R93))+'Pre-allocation of NH3 in power'!R23*'Indirect NH3 demand sources'!R$5</f>
        <v>2.4779324693836305E-4</v>
      </c>
      <c r="S23">
        <f>'Electricity shares'!S23*'Indirect NH3 demand sources'!S$5*(1-SUM('Pre-allocation of NH3 in power'!S23:S93))+'Pre-allocation of NH3 in power'!S23*'Indirect NH3 demand sources'!S$5</f>
        <v>4.9938550180812118E-4</v>
      </c>
      <c r="T23">
        <f>'Electricity shares'!T23*'Indirect NH3 demand sources'!T$5*(1-SUM('Pre-allocation of NH3 in power'!T23:T93))+'Pre-allocation of NH3 in power'!T23*'Indirect NH3 demand sources'!T$5</f>
        <v>7.5520461976639206E-4</v>
      </c>
      <c r="U23">
        <f>'Electricity shares'!U23*'Indirect NH3 demand sources'!U$5*(1-SUM('Pre-allocation of NH3 in power'!U23:U93))+'Pre-allocation of NH3 in power'!U23*'Indirect NH3 demand sources'!U$5</f>
        <v>1.0156844770364195E-3</v>
      </c>
      <c r="V23">
        <f>'Electricity shares'!V23*'Indirect NH3 demand sources'!V$5*(1-SUM('Pre-allocation of NH3 in power'!V23:V93))+'Pre-allocation of NH3 in power'!V23*'Indirect NH3 demand sources'!V$5</f>
        <v>1.2816064687387577E-3</v>
      </c>
      <c r="W23">
        <f>'Electricity shares'!W23*'Indirect NH3 demand sources'!W$5*(1-SUM('Pre-allocation of NH3 in power'!W23:W93))+'Pre-allocation of NH3 in power'!W23*'Indirect NH3 demand sources'!W$5</f>
        <v>1.9055663041562289E-3</v>
      </c>
      <c r="X23">
        <f>'Electricity shares'!X23*'Indirect NH3 demand sources'!X$5*(1-SUM('Pre-allocation of NH3 in power'!X23:X93))+'Pre-allocation of NH3 in power'!X23*'Indirect NH3 demand sources'!X$5</f>
        <v>2.5196347428790952E-3</v>
      </c>
      <c r="Y23">
        <f>'Electricity shares'!Y23*'Indirect NH3 demand sources'!Y$5*(1-SUM('Pre-allocation of NH3 in power'!Y23:Y93))+'Pre-allocation of NH3 in power'!Y23*'Indirect NH3 demand sources'!Y$5</f>
        <v>3.1238157611675399E-3</v>
      </c>
      <c r="Z23">
        <f>'Electricity shares'!Z23*'Indirect NH3 demand sources'!Z$5*(1-SUM('Pre-allocation of NH3 in power'!Z23:Z93))+'Pre-allocation of NH3 in power'!Z23*'Indirect NH3 demand sources'!Z$5</f>
        <v>3.7193361446210774E-3</v>
      </c>
      <c r="AA23">
        <f>'Electricity shares'!AA23*'Indirect NH3 demand sources'!AA$5*(1-SUM('Pre-allocation of NH3 in power'!AA23:AA93))+'Pre-allocation of NH3 in power'!AA23*'Indirect NH3 demand sources'!AA$5</f>
        <v>4.3070340547992809E-3</v>
      </c>
      <c r="AB23">
        <f>'Electricity shares'!AB23*'Indirect NH3 demand sources'!AB$5*(1-SUM('Pre-allocation of NH3 in power'!AB23:AB93))+'Pre-allocation of NH3 in power'!AB23*'Indirect NH3 demand sources'!AB$5</f>
        <v>4.9017038121351884E-3</v>
      </c>
      <c r="AC23">
        <f>'Electricity shares'!AC23*'Indirect NH3 demand sources'!AC$5*(1-SUM('Pre-allocation of NH3 in power'!AC23:AC93))+'Pre-allocation of NH3 in power'!AC23*'Indirect NH3 demand sources'!AC$5</f>
        <v>5.498894890899937E-3</v>
      </c>
      <c r="AD23">
        <f>'Electricity shares'!AD23*'Indirect NH3 demand sources'!AD$5*(1-SUM('Pre-allocation of NH3 in power'!AD23:AD93))+'Pre-allocation of NH3 in power'!AD23*'Indirect NH3 demand sources'!AD$5</f>
        <v>6.0968247034862214E-3</v>
      </c>
      <c r="AE23">
        <f>'Electricity shares'!AE23*'Indirect NH3 demand sources'!AE$5*(1-SUM('Pre-allocation of NH3 in power'!AE23:AE93))+'Pre-allocation of NH3 in power'!AE23*'Indirect NH3 demand sources'!AE$5</f>
        <v>6.6880778804900469E-3</v>
      </c>
      <c r="AF23">
        <f>'Electricity shares'!AF23*'Indirect NH3 demand sources'!AF$5*(1-SUM('Pre-allocation of NH3 in power'!AF23:AF93))+'Pre-allocation of NH3 in power'!AF23*'Indirect NH3 demand sources'!AF$5</f>
        <v>7.2798196779834488E-3</v>
      </c>
      <c r="AG23">
        <f>'Electricity shares'!AG23*'Indirect NH3 demand sources'!AG$5*(1-SUM('Pre-allocation of NH3 in power'!AG23:AG93))+'Pre-allocation of NH3 in power'!AG23*'Indirect NH3 demand sources'!AG$5</f>
        <v>7.7731364550743219E-3</v>
      </c>
      <c r="AH23">
        <f>'Electricity shares'!AH23*'Indirect NH3 demand sources'!AH$5*(1-SUM('Pre-allocation of NH3 in power'!AH23:AH93))+'Pre-allocation of NH3 in power'!AH23*'Indirect NH3 demand sources'!AH$5</f>
        <v>8.27072869236164E-3</v>
      </c>
      <c r="AI23">
        <f>'Electricity shares'!AI23*'Indirect NH3 demand sources'!AI$5*(1-SUM('Pre-allocation of NH3 in power'!AI23:AI93))+'Pre-allocation of NH3 in power'!AI23*'Indirect NH3 demand sources'!AI$5</f>
        <v>8.7735746706164332E-3</v>
      </c>
      <c r="AJ23">
        <f>'Electricity shares'!AJ23*'Indirect NH3 demand sources'!AJ$5*(1-SUM('Pre-allocation of NH3 in power'!AJ23:AJ93))+'Pre-allocation of NH3 in power'!AJ23*'Indirect NH3 demand sources'!AJ$5</f>
        <v>9.2799383726292969E-3</v>
      </c>
      <c r="AK23">
        <f>'Electricity shares'!AK23*'Indirect NH3 demand sources'!AK$5*(1-SUM('Pre-allocation of NH3 in power'!AK23:AK93))+'Pre-allocation of NH3 in power'!AK23*'Indirect NH3 demand sources'!AK$5</f>
        <v>9.7912581341923453E-3</v>
      </c>
      <c r="AL23">
        <f>'Electricity shares'!AL23*'Indirect NH3 demand sources'!AL$5*(1-SUM('Pre-allocation of NH3 in power'!AL23:AL93))+'Pre-allocation of NH3 in power'!AL23*'Indirect NH3 demand sources'!AL$5</f>
        <v>1.0345086113707356E-2</v>
      </c>
      <c r="AM23">
        <f>'Electricity shares'!AM23*'Indirect NH3 demand sources'!AM$5*(1-SUM('Pre-allocation of NH3 in power'!AM23:AM93))+'Pre-allocation of NH3 in power'!AM23*'Indirect NH3 demand sources'!AM$5</f>
        <v>1.0901325373510745E-2</v>
      </c>
      <c r="AN23">
        <f>'Electricity shares'!AN23*'Indirect NH3 demand sources'!AN$5*(1-SUM('Pre-allocation of NH3 in power'!AN23:AN93))+'Pre-allocation of NH3 in power'!AN23*'Indirect NH3 demand sources'!AN$5</f>
        <v>1.1464862271673915E-2</v>
      </c>
      <c r="AO23">
        <f>'Electricity shares'!AO23*'Indirect NH3 demand sources'!AO$5*(1-SUM('Pre-allocation of NH3 in power'!AO23:AO93))+'Pre-allocation of NH3 in power'!AO23*'Indirect NH3 demand sources'!AO$5</f>
        <v>1.2036090221696119E-2</v>
      </c>
      <c r="AP23">
        <f>'Electricity shares'!AP23*'Indirect NH3 demand sources'!AP$5*(1-SUM('Pre-allocation of NH3 in power'!AP23:AP93))+'Pre-allocation of NH3 in power'!AP23*'Indirect NH3 demand sources'!AP$5</f>
        <v>1.2612825378267214E-2</v>
      </c>
    </row>
    <row r="24" spans="1:42" x14ac:dyDescent="0.3">
      <c r="A24" t="s">
        <v>99</v>
      </c>
      <c r="B24">
        <f>'Electricity shares'!B24*'Indirect NH3 demand sources'!B$5*(1-SUM('Pre-allocation of NH3 in power'!B24:B94))+'Pre-allocation of NH3 in power'!B24*'Indirect NH3 demand sources'!B$5</f>
        <v>0</v>
      </c>
      <c r="C24">
        <f>'Electricity shares'!C24*'Indirect NH3 demand sources'!C$5*(1-SUM('Pre-allocation of NH3 in power'!C24:C94))+'Pre-allocation of NH3 in power'!C24*'Indirect NH3 demand sources'!C$5</f>
        <v>0</v>
      </c>
      <c r="D24">
        <f>'Electricity shares'!D24*'Indirect NH3 demand sources'!D$5*(1-SUM('Pre-allocation of NH3 in power'!D24:D94))+'Pre-allocation of NH3 in power'!D24*'Indirect NH3 demand sources'!D$5</f>
        <v>0</v>
      </c>
      <c r="E24">
        <f>'Electricity shares'!E24*'Indirect NH3 demand sources'!E$5*(1-SUM('Pre-allocation of NH3 in power'!E24:E94))+'Pre-allocation of NH3 in power'!E24*'Indirect NH3 demand sources'!E$5</f>
        <v>0</v>
      </c>
      <c r="F24">
        <f>'Electricity shares'!F24*'Indirect NH3 demand sources'!F$5*(1-SUM('Pre-allocation of NH3 in power'!F24:F94))+'Pre-allocation of NH3 in power'!F24*'Indirect NH3 demand sources'!F$5</f>
        <v>0</v>
      </c>
      <c r="G24">
        <f>'Electricity shares'!G24*'Indirect NH3 demand sources'!G$5*(1-SUM('Pre-allocation of NH3 in power'!G24:G94))+'Pre-allocation of NH3 in power'!G24*'Indirect NH3 demand sources'!G$5</f>
        <v>0</v>
      </c>
      <c r="H24">
        <f>'Electricity shares'!H24*'Indirect NH3 demand sources'!H$5*(1-SUM('Pre-allocation of NH3 in power'!H24:H94))+'Pre-allocation of NH3 in power'!H24*'Indirect NH3 demand sources'!H$5</f>
        <v>0</v>
      </c>
      <c r="I24">
        <f>'Electricity shares'!I24*'Indirect NH3 demand sources'!I$5*(1-SUM('Pre-allocation of NH3 in power'!I24:I94))+'Pre-allocation of NH3 in power'!I24*'Indirect NH3 demand sources'!I$5</f>
        <v>0</v>
      </c>
      <c r="J24">
        <f>'Electricity shares'!J24*'Indirect NH3 demand sources'!J$5*(1-SUM('Pre-allocation of NH3 in power'!J24:J94))+'Pre-allocation of NH3 in power'!J24*'Indirect NH3 demand sources'!J$5</f>
        <v>0</v>
      </c>
      <c r="K24">
        <f>'Electricity shares'!K24*'Indirect NH3 demand sources'!K$5*(1-SUM('Pre-allocation of NH3 in power'!K24:K94))+'Pre-allocation of NH3 in power'!K24*'Indirect NH3 demand sources'!K$5</f>
        <v>0</v>
      </c>
      <c r="L24">
        <f>'Electricity shares'!L24*'Indirect NH3 demand sources'!L$5*(1-SUM('Pre-allocation of NH3 in power'!L24:L94))+'Pre-allocation of NH3 in power'!L24*'Indirect NH3 demand sources'!L$5</f>
        <v>0</v>
      </c>
      <c r="M24">
        <f>'Electricity shares'!M24*'Indirect NH3 demand sources'!M$5*(1-SUM('Pre-allocation of NH3 in power'!M24:M94))+'Pre-allocation of NH3 in power'!M24*'Indirect NH3 demand sources'!M$5</f>
        <v>0</v>
      </c>
      <c r="N24">
        <f>'Electricity shares'!N24*'Indirect NH3 demand sources'!N$5*(1-SUM('Pre-allocation of NH3 in power'!N24:N94))+'Pre-allocation of NH3 in power'!N24*'Indirect NH3 demand sources'!N$5</f>
        <v>0</v>
      </c>
      <c r="O24">
        <f>'Electricity shares'!O24*'Indirect NH3 demand sources'!O$5*(1-SUM('Pre-allocation of NH3 in power'!O24:O94))+'Pre-allocation of NH3 in power'!O24*'Indirect NH3 demand sources'!O$5</f>
        <v>0</v>
      </c>
      <c r="P24">
        <f>'Electricity shares'!P24*'Indirect NH3 demand sources'!P$5*(1-SUM('Pre-allocation of NH3 in power'!P24:P94))+'Pre-allocation of NH3 in power'!P24*'Indirect NH3 demand sources'!P$5</f>
        <v>0</v>
      </c>
      <c r="Q24">
        <f>'Electricity shares'!Q24*'Indirect NH3 demand sources'!Q$5*(1-SUM('Pre-allocation of NH3 in power'!Q24:Q94))+'Pre-allocation of NH3 in power'!Q24*'Indirect NH3 demand sources'!Q$5</f>
        <v>0</v>
      </c>
      <c r="R24">
        <f>'Electricity shares'!R24*'Indirect NH3 demand sources'!R$5*(1-SUM('Pre-allocation of NH3 in power'!R24:R94))+'Pre-allocation of NH3 in power'!R24*'Indirect NH3 demand sources'!R$5</f>
        <v>1.8984620272369545E-5</v>
      </c>
      <c r="S24">
        <f>'Electricity shares'!S24*'Indirect NH3 demand sources'!S$5*(1-SUM('Pre-allocation of NH3 in power'!S24:S94))+'Pre-allocation of NH3 in power'!S24*'Indirect NH3 demand sources'!S$5</f>
        <v>3.7770085302262798E-5</v>
      </c>
      <c r="T24">
        <f>'Electricity shares'!T24*'Indirect NH3 demand sources'!T$5*(1-SUM('Pre-allocation of NH3 in power'!T24:T94))+'Pre-allocation of NH3 in power'!T24*'Indirect NH3 demand sources'!T$5</f>
        <v>5.6308912974060512E-5</v>
      </c>
      <c r="U24">
        <f>'Electricity shares'!U24*'Indirect NH3 demand sources'!U$5*(1-SUM('Pre-allocation of NH3 in power'!U24:U94))+'Pre-allocation of NH3 in power'!U24*'Indirect NH3 demand sources'!U$5</f>
        <v>7.458183968846028E-5</v>
      </c>
      <c r="V24">
        <f>'Electricity shares'!V24*'Indirect NH3 demand sources'!V$5*(1-SUM('Pre-allocation of NH3 in power'!V24:V94))+'Pre-allocation of NH3 in power'!V24*'Indirect NH3 demand sources'!V$5</f>
        <v>9.2616426643266555E-5</v>
      </c>
      <c r="W24">
        <f>'Electricity shares'!W24*'Indirect NH3 demand sources'!W$5*(1-SUM('Pre-allocation of NH3 in power'!W24:W94))+'Pre-allocation of NH3 in power'!W24*'Indirect NH3 demand sources'!W$5</f>
        <v>1.3827057132552849E-4</v>
      </c>
      <c r="X24">
        <f>'Electricity shares'!X24*'Indirect NH3 demand sources'!X$5*(1-SUM('Pre-allocation of NH3 in power'!X24:X94))+'Pre-allocation of NH3 in power'!X24*'Indirect NH3 demand sources'!X$5</f>
        <v>1.8348917926362183E-4</v>
      </c>
      <c r="Y24">
        <f>'Electricity shares'!Y24*'Indirect NH3 demand sources'!Y$5*(1-SUM('Pre-allocation of NH3 in power'!Y24:Y94))+'Pre-allocation of NH3 in power'!Y24*'Indirect NH3 demand sources'!Y$5</f>
        <v>2.2822681428055666E-4</v>
      </c>
      <c r="Z24">
        <f>'Electricity shares'!Z24*'Indirect NH3 demand sources'!Z$5*(1-SUM('Pre-allocation of NH3 in power'!Z24:Z94))+'Pre-allocation of NH3 in power'!Z24*'Indirect NH3 demand sources'!Z$5</f>
        <v>2.7251888382697972E-4</v>
      </c>
      <c r="AA24">
        <f>'Electricity shares'!AA24*'Indirect NH3 demand sources'!AA$5*(1-SUM('Pre-allocation of NH3 in power'!AA24:AA94))+'Pre-allocation of NH3 in power'!AA24*'Indirect NH3 demand sources'!AA$5</f>
        <v>3.160881843191608E-4</v>
      </c>
      <c r="AB24">
        <f>'Electricity shares'!AB24*'Indirect NH3 demand sources'!AB$5*(1-SUM('Pre-allocation of NH3 in power'!AB24:AB94))+'Pre-allocation of NH3 in power'!AB24*'Indirect NH3 demand sources'!AB$5</f>
        <v>3.5451221591248263E-4</v>
      </c>
      <c r="AC24">
        <f>'Electricity shares'!AC24*'Indirect NH3 demand sources'!AC$5*(1-SUM('Pre-allocation of NH3 in power'!AC24:AC94))+'Pre-allocation of NH3 in power'!AC24*'Indirect NH3 demand sources'!AC$5</f>
        <v>3.9149863259057779E-4</v>
      </c>
      <c r="AD24">
        <f>'Electricity shares'!AD24*'Indirect NH3 demand sources'!AD$5*(1-SUM('Pre-allocation of NH3 in power'!AD24:AD94))+'Pre-allocation of NH3 in power'!AD24*'Indirect NH3 demand sources'!AD$5</f>
        <v>4.2709760426083633E-4</v>
      </c>
      <c r="AE24">
        <f>'Electricity shares'!AE24*'Indirect NH3 demand sources'!AE$5*(1-SUM('Pre-allocation of NH3 in power'!AE24:AE94))+'Pre-allocation of NH3 in power'!AE24*'Indirect NH3 demand sources'!AE$5</f>
        <v>4.6138384284867751E-4</v>
      </c>
      <c r="AF24">
        <f>'Electricity shares'!AF24*'Indirect NH3 demand sources'!AF$5*(1-SUM('Pre-allocation of NH3 in power'!AF24:AF94))+'Pre-allocation of NH3 in power'!AF24*'Indirect NH3 demand sources'!AF$5</f>
        <v>4.940580828410164E-4</v>
      </c>
      <c r="AG24">
        <f>'Electricity shares'!AG24*'Indirect NH3 demand sources'!AG$5*(1-SUM('Pre-allocation of NH3 in power'!AG24:AG94))+'Pre-allocation of NH3 in power'!AG24*'Indirect NH3 demand sources'!AG$5</f>
        <v>5.2011274617758628E-4</v>
      </c>
      <c r="AH24">
        <f>'Electricity shares'!AH24*'Indirect NH3 demand sources'!AH$5*(1-SUM('Pre-allocation of NH3 in power'!AH24:AH94))+'Pre-allocation of NH3 in power'!AH24*'Indirect NH3 demand sources'!AH$5</f>
        <v>5.4543528082819494E-4</v>
      </c>
      <c r="AI24">
        <f>'Electricity shares'!AI24*'Indirect NH3 demand sources'!AI$5*(1-SUM('Pre-allocation of NH3 in power'!AI24:AI94))+'Pre-allocation of NH3 in power'!AI24*'Indirect NH3 demand sources'!AI$5</f>
        <v>5.6996575206660091E-4</v>
      </c>
      <c r="AJ24">
        <f>'Electricity shares'!AJ24*'Indirect NH3 demand sources'!AJ$5*(1-SUM('Pre-allocation of NH3 in power'!AJ24:AJ94))+'Pre-allocation of NH3 in power'!AJ24*'Indirect NH3 demand sources'!AJ$5</f>
        <v>5.9368561862534609E-4</v>
      </c>
      <c r="AK24">
        <f>'Electricity shares'!AK24*'Indirect NH3 demand sources'!AK$5*(1-SUM('Pre-allocation of NH3 in power'!AK24:AK94))+'Pre-allocation of NH3 in power'!AK24*'Indirect NH3 demand sources'!AK$5</f>
        <v>6.1664985789806621E-4</v>
      </c>
      <c r="AL24">
        <f>'Electricity shares'!AL24*'Indirect NH3 demand sources'!AL$5*(1-SUM('Pre-allocation of NH3 in power'!AL24:AL94))+'Pre-allocation of NH3 in power'!AL24*'Indirect NH3 demand sources'!AL$5</f>
        <v>6.3885394128344896E-4</v>
      </c>
      <c r="AM24">
        <f>'Electricity shares'!AM24*'Indirect NH3 demand sources'!AM$5*(1-SUM('Pre-allocation of NH3 in power'!AM24:AM94))+'Pre-allocation of NH3 in power'!AM24*'Indirect NH3 demand sources'!AM$5</f>
        <v>6.5998144739394396E-4</v>
      </c>
      <c r="AN24">
        <f>'Electricity shares'!AN24*'Indirect NH3 demand sources'!AN$5*(1-SUM('Pre-allocation of NH3 in power'!AN24:AN94))+'Pre-allocation of NH3 in power'!AN24*'Indirect NH3 demand sources'!AN$5</f>
        <v>6.80316351638318E-4</v>
      </c>
      <c r="AO24">
        <f>'Electricity shares'!AO24*'Indirect NH3 demand sources'!AO$5*(1-SUM('Pre-allocation of NH3 in power'!AO24:AO94))+'Pre-allocation of NH3 in power'!AO24*'Indirect NH3 demand sources'!AO$5</f>
        <v>6.9997113384493695E-4</v>
      </c>
      <c r="AP24">
        <f>'Electricity shares'!AP24*'Indirect NH3 demand sources'!AP$5*(1-SUM('Pre-allocation of NH3 in power'!AP24:AP94))+'Pre-allocation of NH3 in power'!AP24*'Indirect NH3 demand sources'!AP$5</f>
        <v>7.1896633894714132E-4</v>
      </c>
    </row>
    <row r="25" spans="1:42" x14ac:dyDescent="0.3">
      <c r="A25" t="s">
        <v>100</v>
      </c>
      <c r="B25">
        <f>'Electricity shares'!B25*'Indirect NH3 demand sources'!B$5*(1-SUM('Pre-allocation of NH3 in power'!B25:B95))+'Pre-allocation of NH3 in power'!B25*'Indirect NH3 demand sources'!B$5</f>
        <v>0</v>
      </c>
      <c r="C25">
        <f>'Electricity shares'!C25*'Indirect NH3 demand sources'!C$5*(1-SUM('Pre-allocation of NH3 in power'!C25:C95))+'Pre-allocation of NH3 in power'!C25*'Indirect NH3 demand sources'!C$5</f>
        <v>0</v>
      </c>
      <c r="D25">
        <f>'Electricity shares'!D25*'Indirect NH3 demand sources'!D$5*(1-SUM('Pre-allocation of NH3 in power'!D25:D95))+'Pre-allocation of NH3 in power'!D25*'Indirect NH3 demand sources'!D$5</f>
        <v>0</v>
      </c>
      <c r="E25">
        <f>'Electricity shares'!E25*'Indirect NH3 demand sources'!E$5*(1-SUM('Pre-allocation of NH3 in power'!E25:E95))+'Pre-allocation of NH3 in power'!E25*'Indirect NH3 demand sources'!E$5</f>
        <v>0</v>
      </c>
      <c r="F25">
        <f>'Electricity shares'!F25*'Indirect NH3 demand sources'!F$5*(1-SUM('Pre-allocation of NH3 in power'!F25:F95))+'Pre-allocation of NH3 in power'!F25*'Indirect NH3 demand sources'!F$5</f>
        <v>0</v>
      </c>
      <c r="G25">
        <f>'Electricity shares'!G25*'Indirect NH3 demand sources'!G$5*(1-SUM('Pre-allocation of NH3 in power'!G25:G95))+'Pre-allocation of NH3 in power'!G25*'Indirect NH3 demand sources'!G$5</f>
        <v>0</v>
      </c>
      <c r="H25">
        <f>'Electricity shares'!H25*'Indirect NH3 demand sources'!H$5*(1-SUM('Pre-allocation of NH3 in power'!H25:H95))+'Pre-allocation of NH3 in power'!H25*'Indirect NH3 demand sources'!H$5</f>
        <v>0</v>
      </c>
      <c r="I25">
        <f>'Electricity shares'!I25*'Indirect NH3 demand sources'!I$5*(1-SUM('Pre-allocation of NH3 in power'!I25:I95))+'Pre-allocation of NH3 in power'!I25*'Indirect NH3 demand sources'!I$5</f>
        <v>0</v>
      </c>
      <c r="J25">
        <f>'Electricity shares'!J25*'Indirect NH3 demand sources'!J$5*(1-SUM('Pre-allocation of NH3 in power'!J25:J95))+'Pre-allocation of NH3 in power'!J25*'Indirect NH3 demand sources'!J$5</f>
        <v>0</v>
      </c>
      <c r="K25">
        <f>'Electricity shares'!K25*'Indirect NH3 demand sources'!K$5*(1-SUM('Pre-allocation of NH3 in power'!K25:K95))+'Pre-allocation of NH3 in power'!K25*'Indirect NH3 demand sources'!K$5</f>
        <v>0</v>
      </c>
      <c r="L25">
        <f>'Electricity shares'!L25*'Indirect NH3 demand sources'!L$5*(1-SUM('Pre-allocation of NH3 in power'!L25:L95))+'Pre-allocation of NH3 in power'!L25*'Indirect NH3 demand sources'!L$5</f>
        <v>0</v>
      </c>
      <c r="M25">
        <f>'Electricity shares'!M25*'Indirect NH3 demand sources'!M$5*(1-SUM('Pre-allocation of NH3 in power'!M25:M95))+'Pre-allocation of NH3 in power'!M25*'Indirect NH3 demand sources'!M$5</f>
        <v>0</v>
      </c>
      <c r="N25">
        <f>'Electricity shares'!N25*'Indirect NH3 demand sources'!N$5*(1-SUM('Pre-allocation of NH3 in power'!N25:N95))+'Pre-allocation of NH3 in power'!N25*'Indirect NH3 demand sources'!N$5</f>
        <v>0</v>
      </c>
      <c r="O25">
        <f>'Electricity shares'!O25*'Indirect NH3 demand sources'!O$5*(1-SUM('Pre-allocation of NH3 in power'!O25:O95))+'Pre-allocation of NH3 in power'!O25*'Indirect NH3 demand sources'!O$5</f>
        <v>0</v>
      </c>
      <c r="P25">
        <f>'Electricity shares'!P25*'Indirect NH3 demand sources'!P$5*(1-SUM('Pre-allocation of NH3 in power'!P25:P95))+'Pre-allocation of NH3 in power'!P25*'Indirect NH3 demand sources'!P$5</f>
        <v>0</v>
      </c>
      <c r="Q25">
        <f>'Electricity shares'!Q25*'Indirect NH3 demand sources'!Q$5*(1-SUM('Pre-allocation of NH3 in power'!Q25:Q95))+'Pre-allocation of NH3 in power'!Q25*'Indirect NH3 demand sources'!Q$5</f>
        <v>0</v>
      </c>
      <c r="R25">
        <f>'Electricity shares'!R25*'Indirect NH3 demand sources'!R$5*(1-SUM('Pre-allocation of NH3 in power'!R25:R95))+'Pre-allocation of NH3 in power'!R25*'Indirect NH3 demand sources'!R$5</f>
        <v>1.2112283550585038E-3</v>
      </c>
      <c r="S25">
        <f>'Electricity shares'!S25*'Indirect NH3 demand sources'!S$5*(1-SUM('Pre-allocation of NH3 in power'!S25:S95))+'Pre-allocation of NH3 in power'!S25*'Indirect NH3 demand sources'!S$5</f>
        <v>2.3966862280410529E-3</v>
      </c>
      <c r="T25">
        <f>'Electricity shares'!T25*'Indirect NH3 demand sources'!T$5*(1-SUM('Pre-allocation of NH3 in power'!T25:T95))+'Pre-allocation of NH3 in power'!T25*'Indirect NH3 demand sources'!T$5</f>
        <v>3.5559013488914389E-3</v>
      </c>
      <c r="U25">
        <f>'Electricity shares'!U25*'Indirect NH3 demand sources'!U$5*(1-SUM('Pre-allocation of NH3 in power'!U25:U95))+'Pre-allocation of NH3 in power'!U25*'Indirect NH3 demand sources'!U$5</f>
        <v>4.6891563488094066E-3</v>
      </c>
      <c r="V25">
        <f>'Electricity shares'!V25*'Indirect NH3 demand sources'!V$5*(1-SUM('Pre-allocation of NH3 in power'!V25:V95))+'Pre-allocation of NH3 in power'!V25*'Indirect NH3 demand sources'!V$5</f>
        <v>5.8000561047509913E-3</v>
      </c>
      <c r="W25">
        <f>'Electricity shares'!W25*'Indirect NH3 demand sources'!W$5*(1-SUM('Pre-allocation of NH3 in power'!W25:W95))+'Pre-allocation of NH3 in power'!W25*'Indirect NH3 demand sources'!W$5</f>
        <v>8.6457003692648957E-3</v>
      </c>
      <c r="X25">
        <f>'Electricity shares'!X25*'Indirect NH3 demand sources'!X$5*(1-SUM('Pre-allocation of NH3 in power'!X25:X95))+'Pre-allocation of NH3 in power'!X25*'Indirect NH3 demand sources'!X$5</f>
        <v>1.1453268928473717E-2</v>
      </c>
      <c r="Y25">
        <f>'Electricity shares'!Y25*'Indirect NH3 demand sources'!Y$5*(1-SUM('Pre-allocation of NH3 in power'!Y25:Y95))+'Pre-allocation of NH3 in power'!Y25*'Indirect NH3 demand sources'!Y$5</f>
        <v>1.4221793984815715E-2</v>
      </c>
      <c r="Z25">
        <f>'Electricity shares'!Z25*'Indirect NH3 demand sources'!Z$5*(1-SUM('Pre-allocation of NH3 in power'!Z25:Z95))+'Pre-allocation of NH3 in power'!Z25*'Indirect NH3 demand sources'!Z$5</f>
        <v>1.6948671651338034E-2</v>
      </c>
      <c r="AA25">
        <f>'Electricity shares'!AA25*'Indirect NH3 demand sources'!AA$5*(1-SUM('Pre-allocation of NH3 in power'!AA25:AA95))+'Pre-allocation of NH3 in power'!AA25*'Indirect NH3 demand sources'!AA$5</f>
        <v>1.9628108253314222E-2</v>
      </c>
      <c r="AB25">
        <f>'Electricity shares'!AB25*'Indirect NH3 demand sources'!AB$5*(1-SUM('Pre-allocation of NH3 in power'!AB25:AB95))+'Pre-allocation of NH3 in power'!AB25*'Indirect NH3 demand sources'!AB$5</f>
        <v>2.2243255740285028E-2</v>
      </c>
      <c r="AC25">
        <f>'Electricity shares'!AC25*'Indirect NH3 demand sources'!AC$5*(1-SUM('Pre-allocation of NH3 in power'!AC25:AC95))+'Pre-allocation of NH3 in power'!AC25*'Indirect NH3 demand sources'!AC$5</f>
        <v>2.4799980579088762E-2</v>
      </c>
      <c r="AD25">
        <f>'Electricity shares'!AD25*'Indirect NH3 demand sources'!AD$5*(1-SUM('Pre-allocation of NH3 in power'!AD25:AD95))+'Pre-allocation of NH3 in power'!AD25*'Indirect NH3 demand sources'!AD$5</f>
        <v>2.7299128106406292E-2</v>
      </c>
      <c r="AE25">
        <f>'Electricity shares'!AE25*'Indirect NH3 demand sources'!AE$5*(1-SUM('Pre-allocation of NH3 in power'!AE25:AE95))+'Pre-allocation of NH3 in power'!AE25*'Indirect NH3 demand sources'!AE$5</f>
        <v>2.9742178043653849E-2</v>
      </c>
      <c r="AF25">
        <f>'Electricity shares'!AF25*'Indirect NH3 demand sources'!AF$5*(1-SUM('Pre-allocation of NH3 in power'!AF25:AF95))+'Pre-allocation of NH3 in power'!AF25*'Indirect NH3 demand sources'!AF$5</f>
        <v>3.213751875315405E-2</v>
      </c>
      <c r="AG25">
        <f>'Electricity shares'!AG25*'Indirect NH3 demand sources'!AG$5*(1-SUM('Pre-allocation of NH3 in power'!AG25:AG95))+'Pre-allocation of NH3 in power'!AG25*'Indirect NH3 demand sources'!AG$5</f>
        <v>3.4035956627207112E-2</v>
      </c>
      <c r="AH25">
        <f>'Electricity shares'!AH25*'Indirect NH3 demand sources'!AH$5*(1-SUM('Pre-allocation of NH3 in power'!AH25:AH95))+'Pre-allocation of NH3 in power'!AH25*'Indirect NH3 demand sources'!AH$5</f>
        <v>3.5900930769534191E-2</v>
      </c>
      <c r="AI25">
        <f>'Electricity shares'!AI25*'Indirect NH3 demand sources'!AI$5*(1-SUM('Pre-allocation of NH3 in power'!AI25:AI95))+'Pre-allocation of NH3 in power'!AI25*'Indirect NH3 demand sources'!AI$5</f>
        <v>3.7737254487910932E-2</v>
      </c>
      <c r="AJ25">
        <f>'Electricity shares'!AJ25*'Indirect NH3 demand sources'!AJ$5*(1-SUM('Pre-allocation of NH3 in power'!AJ25:AJ95))+'Pre-allocation of NH3 in power'!AJ25*'Indirect NH3 demand sources'!AJ$5</f>
        <v>3.9539753920504697E-2</v>
      </c>
      <c r="AK25">
        <f>'Electricity shares'!AK25*'Indirect NH3 demand sources'!AK$5*(1-SUM('Pre-allocation of NH3 in power'!AK25:AK95))+'Pre-allocation of NH3 in power'!AK25*'Indirect NH3 demand sources'!AK$5</f>
        <v>4.1315775702466646E-2</v>
      </c>
      <c r="AL25">
        <f>'Electricity shares'!AL25*'Indirect NH3 demand sources'!AL$5*(1-SUM('Pre-allocation of NH3 in power'!AL25:AL95))+'Pre-allocation of NH3 in power'!AL25*'Indirect NH3 demand sources'!AL$5</f>
        <v>4.303399970439277E-2</v>
      </c>
      <c r="AM25">
        <f>'Electricity shares'!AM25*'Indirect NH3 demand sources'!AM$5*(1-SUM('Pre-allocation of NH3 in power'!AM25:AM95))+'Pre-allocation of NH3 in power'!AM25*'Indirect NH3 demand sources'!AM$5</f>
        <v>4.4702547492319132E-2</v>
      </c>
      <c r="AN25">
        <f>'Electricity shares'!AN25*'Indirect NH3 demand sources'!AN$5*(1-SUM('Pre-allocation of NH3 in power'!AN25:AN95))+'Pre-allocation of NH3 in power'!AN25*'Indirect NH3 demand sources'!AN$5</f>
        <v>4.6328908990828088E-2</v>
      </c>
      <c r="AO25">
        <f>'Electricity shares'!AO25*'Indirect NH3 demand sources'!AO$5*(1-SUM('Pre-allocation of NH3 in power'!AO25:AO95))+'Pre-allocation of NH3 in power'!AO25*'Indirect NH3 demand sources'!AO$5</f>
        <v>4.7918730038504831E-2</v>
      </c>
      <c r="AP25">
        <f>'Electricity shares'!AP25*'Indirect NH3 demand sources'!AP$5*(1-SUM('Pre-allocation of NH3 in power'!AP25:AP95))+'Pre-allocation of NH3 in power'!AP25*'Indirect NH3 demand sources'!AP$5</f>
        <v>4.946805207616406E-2</v>
      </c>
    </row>
    <row r="26" spans="1:42" x14ac:dyDescent="0.3">
      <c r="A26" t="s">
        <v>101</v>
      </c>
      <c r="B26">
        <f>'Electricity shares'!B26*'Indirect NH3 demand sources'!B$5*(1-SUM('Pre-allocation of NH3 in power'!B26:B96))+'Pre-allocation of NH3 in power'!B26*'Indirect NH3 demand sources'!B$5</f>
        <v>0</v>
      </c>
      <c r="C26">
        <f>'Electricity shares'!C26*'Indirect NH3 demand sources'!C$5*(1-SUM('Pre-allocation of NH3 in power'!C26:C96))+'Pre-allocation of NH3 in power'!C26*'Indirect NH3 demand sources'!C$5</f>
        <v>0</v>
      </c>
      <c r="D26">
        <f>'Electricity shares'!D26*'Indirect NH3 demand sources'!D$5*(1-SUM('Pre-allocation of NH3 in power'!D26:D96))+'Pre-allocation of NH3 in power'!D26*'Indirect NH3 demand sources'!D$5</f>
        <v>0</v>
      </c>
      <c r="E26">
        <f>'Electricity shares'!E26*'Indirect NH3 demand sources'!E$5*(1-SUM('Pre-allocation of NH3 in power'!E26:E96))+'Pre-allocation of NH3 in power'!E26*'Indirect NH3 demand sources'!E$5</f>
        <v>0</v>
      </c>
      <c r="F26">
        <f>'Electricity shares'!F26*'Indirect NH3 demand sources'!F$5*(1-SUM('Pre-allocation of NH3 in power'!F26:F96))+'Pre-allocation of NH3 in power'!F26*'Indirect NH3 demand sources'!F$5</f>
        <v>0</v>
      </c>
      <c r="G26">
        <f>'Electricity shares'!G26*'Indirect NH3 demand sources'!G$5*(1-SUM('Pre-allocation of NH3 in power'!G26:G96))+'Pre-allocation of NH3 in power'!G26*'Indirect NH3 demand sources'!G$5</f>
        <v>0</v>
      </c>
      <c r="H26">
        <f>'Electricity shares'!H26*'Indirect NH3 demand sources'!H$5*(1-SUM('Pre-allocation of NH3 in power'!H26:H96))+'Pre-allocation of NH3 in power'!H26*'Indirect NH3 demand sources'!H$5</f>
        <v>0</v>
      </c>
      <c r="I26">
        <f>'Electricity shares'!I26*'Indirect NH3 demand sources'!I$5*(1-SUM('Pre-allocation of NH3 in power'!I26:I96))+'Pre-allocation of NH3 in power'!I26*'Indirect NH3 demand sources'!I$5</f>
        <v>0</v>
      </c>
      <c r="J26">
        <f>'Electricity shares'!J26*'Indirect NH3 demand sources'!J$5*(1-SUM('Pre-allocation of NH3 in power'!J26:J96))+'Pre-allocation of NH3 in power'!J26*'Indirect NH3 demand sources'!J$5</f>
        <v>0</v>
      </c>
      <c r="K26">
        <f>'Electricity shares'!K26*'Indirect NH3 demand sources'!K$5*(1-SUM('Pre-allocation of NH3 in power'!K26:K96))+'Pre-allocation of NH3 in power'!K26*'Indirect NH3 demand sources'!K$5</f>
        <v>0</v>
      </c>
      <c r="L26">
        <f>'Electricity shares'!L26*'Indirect NH3 demand sources'!L$5*(1-SUM('Pre-allocation of NH3 in power'!L26:L96))+'Pre-allocation of NH3 in power'!L26*'Indirect NH3 demand sources'!L$5</f>
        <v>0</v>
      </c>
      <c r="M26">
        <f>'Electricity shares'!M26*'Indirect NH3 demand sources'!M$5*(1-SUM('Pre-allocation of NH3 in power'!M26:M96))+'Pre-allocation of NH3 in power'!M26*'Indirect NH3 demand sources'!M$5</f>
        <v>0</v>
      </c>
      <c r="N26">
        <f>'Electricity shares'!N26*'Indirect NH3 demand sources'!N$5*(1-SUM('Pre-allocation of NH3 in power'!N26:N96))+'Pre-allocation of NH3 in power'!N26*'Indirect NH3 demand sources'!N$5</f>
        <v>0</v>
      </c>
      <c r="O26">
        <f>'Electricity shares'!O26*'Indirect NH3 demand sources'!O$5*(1-SUM('Pre-allocation of NH3 in power'!O26:O96))+'Pre-allocation of NH3 in power'!O26*'Indirect NH3 demand sources'!O$5</f>
        <v>0</v>
      </c>
      <c r="P26">
        <f>'Electricity shares'!P26*'Indirect NH3 demand sources'!P$5*(1-SUM('Pre-allocation of NH3 in power'!P26:P96))+'Pre-allocation of NH3 in power'!P26*'Indirect NH3 demand sources'!P$5</f>
        <v>0</v>
      </c>
      <c r="Q26">
        <f>'Electricity shares'!Q26*'Indirect NH3 demand sources'!Q$5*(1-SUM('Pre-allocation of NH3 in power'!Q26:Q96))+'Pre-allocation of NH3 in power'!Q26*'Indirect NH3 demand sources'!Q$5</f>
        <v>0</v>
      </c>
      <c r="R26">
        <f>'Electricity shares'!R26*'Indirect NH3 demand sources'!R$5*(1-SUM('Pre-allocation of NH3 in power'!R26:R96))+'Pre-allocation of NH3 in power'!R26*'Indirect NH3 demand sources'!R$5</f>
        <v>9.4015411667889705E-5</v>
      </c>
      <c r="S26">
        <f>'Electricity shares'!S26*'Indirect NH3 demand sources'!S$5*(1-SUM('Pre-allocation of NH3 in power'!S26:S96))+'Pre-allocation of NH3 in power'!S26*'Indirect NH3 demand sources'!S$5</f>
        <v>1.8694316124106517E-4</v>
      </c>
      <c r="T26">
        <f>'Electricity shares'!T26*'Indirect NH3 demand sources'!T$5*(1-SUM('Pre-allocation of NH3 in power'!T26:T96))+'Pre-allocation of NH3 in power'!T26*'Indirect NH3 demand sources'!T$5</f>
        <v>2.7870568563348561E-4</v>
      </c>
      <c r="U26">
        <f>'Electricity shares'!U26*'Indirect NH3 demand sources'!U$5*(1-SUM('Pre-allocation of NH3 in power'!U26:U96))+'Pre-allocation of NH3 in power'!U26*'Indirect NH3 demand sources'!U$5</f>
        <v>3.6932314661678085E-4</v>
      </c>
      <c r="V26">
        <f>'Electricity shares'!V26*'Indirect NH3 demand sources'!V$5*(1-SUM('Pre-allocation of NH3 in power'!V26:V96))+'Pre-allocation of NH3 in power'!V26*'Indirect NH3 demand sources'!V$5</f>
        <v>4.5895788942024911E-4</v>
      </c>
      <c r="W26">
        <f>'Electricity shares'!W26*'Indirect NH3 demand sources'!W$5*(1-SUM('Pre-allocation of NH3 in power'!W26:W96))+'Pre-allocation of NH3 in power'!W26*'Indirect NH3 demand sources'!W$5</f>
        <v>6.8260258676615989E-4</v>
      </c>
      <c r="X26">
        <f>'Electricity shares'!X26*'Indirect NH3 demand sources'!X$5*(1-SUM('Pre-allocation of NH3 in power'!X26:X96))+'Pre-allocation of NH3 in power'!X26*'Indirect NH3 demand sources'!X$5</f>
        <v>9.0248128993385579E-4</v>
      </c>
      <c r="Y26">
        <f>'Electricity shares'!Y26*'Indirect NH3 demand sources'!Y$5*(1-SUM('Pre-allocation of NH3 in power'!Y26:Y96))+'Pre-allocation of NH3 in power'!Y26*'Indirect NH3 demand sources'!Y$5</f>
        <v>1.1189336036722479E-3</v>
      </c>
      <c r="Z26">
        <f>'Electricity shares'!Z26*'Indirect NH3 demand sources'!Z$5*(1-SUM('Pre-allocation of NH3 in power'!Z26:Z96))+'Pre-allocation of NH3 in power'!Z26*'Indirect NH3 demand sources'!Z$5</f>
        <v>1.3324061410691502E-3</v>
      </c>
      <c r="AA26">
        <f>'Electricity shares'!AA26*'Indirect NH3 demand sources'!AA$5*(1-SUM('Pre-allocation of NH3 in power'!AA26:AA96))+'Pre-allocation of NH3 in power'!AA26*'Indirect NH3 demand sources'!AA$5</f>
        <v>1.543115345221483E-3</v>
      </c>
      <c r="AB26">
        <f>'Electricity shares'!AB26*'Indirect NH3 demand sources'!AB$5*(1-SUM('Pre-allocation of NH3 in power'!AB26:AB96))+'Pre-allocation of NH3 in power'!AB26*'Indirect NH3 demand sources'!AB$5</f>
        <v>1.7495514391881778E-3</v>
      </c>
      <c r="AC26">
        <f>'Electricity shares'!AC26*'Indirect NH3 demand sources'!AC$5*(1-SUM('Pre-allocation of NH3 in power'!AC26:AC96))+'Pre-allocation of NH3 in power'!AC26*'Indirect NH3 demand sources'!AC$5</f>
        <v>1.9542168186159449E-3</v>
      </c>
      <c r="AD26">
        <f>'Electricity shares'!AD26*'Indirect NH3 demand sources'!AD$5*(1-SUM('Pre-allocation of NH3 in power'!AD26:AD96))+'Pre-allocation of NH3 in power'!AD26*'Indirect NH3 demand sources'!AD$5</f>
        <v>2.1578050568233122E-3</v>
      </c>
      <c r="AE26">
        <f>'Electricity shares'!AE26*'Indirect NH3 demand sources'!AE$5*(1-SUM('Pre-allocation of NH3 in power'!AE26:AE96))+'Pre-allocation of NH3 in power'!AE26*'Indirect NH3 demand sources'!AE$5</f>
        <v>2.3608810313148726E-3</v>
      </c>
      <c r="AF26">
        <f>'Electricity shares'!AF26*'Indirect NH3 demand sources'!AF$5*(1-SUM('Pre-allocation of NH3 in power'!AF26:AF96))+'Pre-allocation of NH3 in power'!AF26*'Indirect NH3 demand sources'!AF$5</f>
        <v>2.5633576052959926E-3</v>
      </c>
      <c r="AG26">
        <f>'Electricity shares'!AG26*'Indirect NH3 demand sources'!AG$5*(1-SUM('Pre-allocation of NH3 in power'!AG26:AG96))+'Pre-allocation of NH3 in power'!AG26*'Indirect NH3 demand sources'!AG$5</f>
        <v>2.720670680347845E-3</v>
      </c>
      <c r="AH26">
        <f>'Electricity shares'!AH26*'Indirect NH3 demand sources'!AH$5*(1-SUM('Pre-allocation of NH3 in power'!AH26:AH96))+'Pre-allocation of NH3 in power'!AH26*'Indirect NH3 demand sources'!AH$5</f>
        <v>2.877750249486697E-3</v>
      </c>
      <c r="AI26">
        <f>'Electricity shares'!AI26*'Indirect NH3 demand sources'!AI$5*(1-SUM('Pre-allocation of NH3 in power'!AI26:AI96))+'Pre-allocation of NH3 in power'!AI26*'Indirect NH3 demand sources'!AI$5</f>
        <v>3.0340750348059075E-3</v>
      </c>
      <c r="AJ26">
        <f>'Electricity shares'!AJ26*'Indirect NH3 demand sources'!AJ$5*(1-SUM('Pre-allocation of NH3 in power'!AJ26:AJ96))+'Pre-allocation of NH3 in power'!AJ26*'Indirect NH3 demand sources'!AJ$5</f>
        <v>3.1881953984773327E-3</v>
      </c>
      <c r="AK26">
        <f>'Electricity shares'!AK26*'Indirect NH3 demand sources'!AK$5*(1-SUM('Pre-allocation of NH3 in power'!AK26:AK96))+'Pre-allocation of NH3 in power'!AK26*'Indirect NH3 demand sources'!AK$5</f>
        <v>3.3406878869179342E-3</v>
      </c>
      <c r="AL26">
        <f>'Electricity shares'!AL26*'Indirect NH3 demand sources'!AL$5*(1-SUM('Pre-allocation of NH3 in power'!AL26:AL96))+'Pre-allocation of NH3 in power'!AL26*'Indirect NH3 demand sources'!AL$5</f>
        <v>3.4971974810560206E-3</v>
      </c>
      <c r="AM26">
        <f>'Electricity shares'!AM26*'Indirect NH3 demand sources'!AM$5*(1-SUM('Pre-allocation of NH3 in power'!AM26:AM96))+'Pre-allocation of NH3 in power'!AM26*'Indirect NH3 demand sources'!AM$5</f>
        <v>3.6477176092398868E-3</v>
      </c>
      <c r="AN26">
        <f>'Electricity shares'!AN26*'Indirect NH3 demand sources'!AN$5*(1-SUM('Pre-allocation of NH3 in power'!AN26:AN96))+'Pre-allocation of NH3 in power'!AN26*'Indirect NH3 demand sources'!AN$5</f>
        <v>3.7938219262708432E-3</v>
      </c>
      <c r="AO26">
        <f>'Electricity shares'!AO26*'Indirect NH3 demand sources'!AO$5*(1-SUM('Pre-allocation of NH3 in power'!AO26:AO96))+'Pre-allocation of NH3 in power'!AO26*'Indirect NH3 demand sources'!AO$5</f>
        <v>3.9348822109587294E-3</v>
      </c>
      <c r="AP26">
        <f>'Electricity shares'!AP26*'Indirect NH3 demand sources'!AP$5*(1-SUM('Pre-allocation of NH3 in power'!AP26:AP96))+'Pre-allocation of NH3 in power'!AP26*'Indirect NH3 demand sources'!AP$5</f>
        <v>4.0707083332772809E-3</v>
      </c>
    </row>
    <row r="27" spans="1:42" x14ac:dyDescent="0.3">
      <c r="A27" t="s">
        <v>102</v>
      </c>
      <c r="B27">
        <f>'Electricity shares'!B27*'Indirect NH3 demand sources'!B$5*(1-SUM('Pre-allocation of NH3 in power'!B27:B97))+'Pre-allocation of NH3 in power'!B27*'Indirect NH3 demand sources'!B$5</f>
        <v>0</v>
      </c>
      <c r="C27">
        <f>'Electricity shares'!C27*'Indirect NH3 demand sources'!C$5*(1-SUM('Pre-allocation of NH3 in power'!C27:C97))+'Pre-allocation of NH3 in power'!C27*'Indirect NH3 demand sources'!C$5</f>
        <v>0</v>
      </c>
      <c r="D27">
        <f>'Electricity shares'!D27*'Indirect NH3 demand sources'!D$5*(1-SUM('Pre-allocation of NH3 in power'!D27:D97))+'Pre-allocation of NH3 in power'!D27*'Indirect NH3 demand sources'!D$5</f>
        <v>0</v>
      </c>
      <c r="E27">
        <f>'Electricity shares'!E27*'Indirect NH3 demand sources'!E$5*(1-SUM('Pre-allocation of NH3 in power'!E27:E97))+'Pre-allocation of NH3 in power'!E27*'Indirect NH3 demand sources'!E$5</f>
        <v>0</v>
      </c>
      <c r="F27">
        <f>'Electricity shares'!F27*'Indirect NH3 demand sources'!F$5*(1-SUM('Pre-allocation of NH3 in power'!F27:F97))+'Pre-allocation of NH3 in power'!F27*'Indirect NH3 demand sources'!F$5</f>
        <v>0</v>
      </c>
      <c r="G27">
        <f>'Electricity shares'!G27*'Indirect NH3 demand sources'!G$5*(1-SUM('Pre-allocation of NH3 in power'!G27:G97))+'Pre-allocation of NH3 in power'!G27*'Indirect NH3 demand sources'!G$5</f>
        <v>0</v>
      </c>
      <c r="H27">
        <f>'Electricity shares'!H27*'Indirect NH3 demand sources'!H$5*(1-SUM('Pre-allocation of NH3 in power'!H27:H97))+'Pre-allocation of NH3 in power'!H27*'Indirect NH3 demand sources'!H$5</f>
        <v>0</v>
      </c>
      <c r="I27">
        <f>'Electricity shares'!I27*'Indirect NH3 demand sources'!I$5*(1-SUM('Pre-allocation of NH3 in power'!I27:I97))+'Pre-allocation of NH3 in power'!I27*'Indirect NH3 demand sources'!I$5</f>
        <v>0</v>
      </c>
      <c r="J27">
        <f>'Electricity shares'!J27*'Indirect NH3 demand sources'!J$5*(1-SUM('Pre-allocation of NH3 in power'!J27:J97))+'Pre-allocation of NH3 in power'!J27*'Indirect NH3 demand sources'!J$5</f>
        <v>0</v>
      </c>
      <c r="K27">
        <f>'Electricity shares'!K27*'Indirect NH3 demand sources'!K$5*(1-SUM('Pre-allocation of NH3 in power'!K27:K97))+'Pre-allocation of NH3 in power'!K27*'Indirect NH3 demand sources'!K$5</f>
        <v>0</v>
      </c>
      <c r="L27">
        <f>'Electricity shares'!L27*'Indirect NH3 demand sources'!L$5*(1-SUM('Pre-allocation of NH3 in power'!L27:L97))+'Pre-allocation of NH3 in power'!L27*'Indirect NH3 demand sources'!L$5</f>
        <v>0</v>
      </c>
      <c r="M27">
        <f>'Electricity shares'!M27*'Indirect NH3 demand sources'!M$5*(1-SUM('Pre-allocation of NH3 in power'!M27:M97))+'Pre-allocation of NH3 in power'!M27*'Indirect NH3 demand sources'!M$5</f>
        <v>0</v>
      </c>
      <c r="N27">
        <f>'Electricity shares'!N27*'Indirect NH3 demand sources'!N$5*(1-SUM('Pre-allocation of NH3 in power'!N27:N97))+'Pre-allocation of NH3 in power'!N27*'Indirect NH3 demand sources'!N$5</f>
        <v>0</v>
      </c>
      <c r="O27">
        <f>'Electricity shares'!O27*'Indirect NH3 demand sources'!O$5*(1-SUM('Pre-allocation of NH3 in power'!O27:O97))+'Pre-allocation of NH3 in power'!O27*'Indirect NH3 demand sources'!O$5</f>
        <v>0</v>
      </c>
      <c r="P27">
        <f>'Electricity shares'!P27*'Indirect NH3 demand sources'!P$5*(1-SUM('Pre-allocation of NH3 in power'!P27:P97))+'Pre-allocation of NH3 in power'!P27*'Indirect NH3 demand sources'!P$5</f>
        <v>0</v>
      </c>
      <c r="Q27">
        <f>'Electricity shares'!Q27*'Indirect NH3 demand sources'!Q$5*(1-SUM('Pre-allocation of NH3 in power'!Q27:Q97))+'Pre-allocation of NH3 in power'!Q27*'Indirect NH3 demand sources'!Q$5</f>
        <v>0</v>
      </c>
      <c r="R27">
        <f>'Electricity shares'!R27*'Indirect NH3 demand sources'!R$5*(1-SUM('Pre-allocation of NH3 in power'!R27:R97))+'Pre-allocation of NH3 in power'!R27*'Indirect NH3 demand sources'!R$5</f>
        <v>1.8927604812320716E-4</v>
      </c>
      <c r="S27">
        <f>'Electricity shares'!S27*'Indirect NH3 demand sources'!S$5*(1-SUM('Pre-allocation of NH3 in power'!S27:S97))+'Pre-allocation of NH3 in power'!S27*'Indirect NH3 demand sources'!S$5</f>
        <v>3.811801508164977E-4</v>
      </c>
      <c r="T27">
        <f>'Electricity shares'!T27*'Indirect NH3 demand sources'!T$5*(1-SUM('Pre-allocation of NH3 in power'!T27:T97))+'Pre-allocation of NH3 in power'!T27*'Indirect NH3 demand sources'!T$5</f>
        <v>5.7610851911276328E-4</v>
      </c>
      <c r="U27">
        <f>'Electricity shares'!U27*'Indirect NH3 demand sources'!U$5*(1-SUM('Pre-allocation of NH3 in power'!U27:U97))+'Pre-allocation of NH3 in power'!U27*'Indirect NH3 demand sources'!U$5</f>
        <v>7.7416570122372562E-4</v>
      </c>
      <c r="V27">
        <f>'Electricity shares'!V27*'Indirect NH3 demand sources'!V$5*(1-SUM('Pre-allocation of NH3 in power'!V27:V97))+'Pre-allocation of NH3 in power'!V27*'Indirect NH3 demand sources'!V$5</f>
        <v>9.7623102151015969E-4</v>
      </c>
      <c r="W27">
        <f>'Electricity shares'!W27*'Indirect NH3 demand sources'!W$5*(1-SUM('Pre-allocation of NH3 in power'!W27:W97))+'Pre-allocation of NH3 in power'!W27*'Indirect NH3 demand sources'!W$5</f>
        <v>1.4621064886375956E-3</v>
      </c>
      <c r="X27">
        <f>'Electricity shares'!X27*'Indirect NH3 demand sources'!X$5*(1-SUM('Pre-allocation of NH3 in power'!X27:X97))+'Pre-allocation of NH3 in power'!X27*'Indirect NH3 demand sources'!X$5</f>
        <v>1.946161640670608E-3</v>
      </c>
      <c r="Y27">
        <f>'Electricity shares'!Y27*'Indirect NH3 demand sources'!Y$5*(1-SUM('Pre-allocation of NH3 in power'!Y27:Y97))+'Pre-allocation of NH3 in power'!Y27*'Indirect NH3 demand sources'!Y$5</f>
        <v>2.4282967096116771E-3</v>
      </c>
      <c r="Z27">
        <f>'Electricity shares'!Z27*'Indirect NH3 demand sources'!Z$5*(1-SUM('Pre-allocation of NH3 in power'!Z27:Z97))+'Pre-allocation of NH3 in power'!Z27*'Indirect NH3 demand sources'!Z$5</f>
        <v>2.9088318110985041E-3</v>
      </c>
      <c r="AA27">
        <f>'Electricity shares'!AA27*'Indirect NH3 demand sources'!AA$5*(1-SUM('Pre-allocation of NH3 in power'!AA27:AA97))+'Pre-allocation of NH3 in power'!AA27*'Indirect NH3 demand sources'!AA$5</f>
        <v>3.3870336097065177E-3</v>
      </c>
      <c r="AB27">
        <f>'Electricity shares'!AB27*'Indirect NH3 demand sources'!AB$5*(1-SUM('Pre-allocation of NH3 in power'!AB27:AB97))+'Pre-allocation of NH3 in power'!AB27*'Indirect NH3 demand sources'!AB$5</f>
        <v>3.8446827886561012E-3</v>
      </c>
      <c r="AC27">
        <f>'Electricity shares'!AC27*'Indirect NH3 demand sources'!AC$5*(1-SUM('Pre-allocation of NH3 in power'!AC27:AC97))+'Pre-allocation of NH3 in power'!AC27*'Indirect NH3 demand sources'!AC$5</f>
        <v>4.2955289169025902E-3</v>
      </c>
      <c r="AD27">
        <f>'Electricity shares'!AD27*'Indirect NH3 demand sources'!AD$5*(1-SUM('Pre-allocation of NH3 in power'!AD27:AD97))+'Pre-allocation of NH3 in power'!AD27*'Indirect NH3 demand sources'!AD$5</f>
        <v>4.7398397482922858E-3</v>
      </c>
      <c r="AE27">
        <f>'Electricity shares'!AE27*'Indirect NH3 demand sources'!AE$5*(1-SUM('Pre-allocation of NH3 in power'!AE27:AE97))+'Pre-allocation of NH3 in power'!AE27*'Indirect NH3 demand sources'!AE$5</f>
        <v>5.1778902977774295E-3</v>
      </c>
      <c r="AF27">
        <f>'Electricity shares'!AF27*'Indirect NH3 demand sources'!AF$5*(1-SUM('Pre-allocation of NH3 in power'!AF27:AF97))+'Pre-allocation of NH3 in power'!AF27*'Indirect NH3 demand sources'!AF$5</f>
        <v>5.6094188792779644E-3</v>
      </c>
      <c r="AG27">
        <f>'Electricity shares'!AG27*'Indirect NH3 demand sources'!AG$5*(1-SUM('Pre-allocation of NH3 in power'!AG27:AG97))+'Pre-allocation of NH3 in power'!AG27*'Indirect NH3 demand sources'!AG$5</f>
        <v>5.9480656158840311E-3</v>
      </c>
      <c r="AH27">
        <f>'Electricity shares'!AH27*'Indirect NH3 demand sources'!AH$5*(1-SUM('Pre-allocation of NH3 in power'!AH27:AH97))+'Pre-allocation of NH3 in power'!AH27*'Indirect NH3 demand sources'!AH$5</f>
        <v>6.2845207191028268E-3</v>
      </c>
      <c r="AI27">
        <f>'Electricity shares'!AI27*'Indirect NH3 demand sources'!AI$5*(1-SUM('Pre-allocation of NH3 in power'!AI27:AI97))+'Pre-allocation of NH3 in power'!AI27*'Indirect NH3 demand sources'!AI$5</f>
        <v>6.6187668425932069E-3</v>
      </c>
      <c r="AJ27">
        <f>'Electricity shares'!AJ27*'Indirect NH3 demand sources'!AJ$5*(1-SUM('Pre-allocation of NH3 in power'!AJ27:AJ97))+'Pre-allocation of NH3 in power'!AJ27*'Indirect NH3 demand sources'!AJ$5</f>
        <v>6.9501861492276846E-3</v>
      </c>
      <c r="AK27">
        <f>'Electricity shares'!AK27*'Indirect NH3 demand sources'!AK$5*(1-SUM('Pre-allocation of NH3 in power'!AK27:AK97))+'Pre-allocation of NH3 in power'!AK27*'Indirect NH3 demand sources'!AK$5</f>
        <v>7.2804157569333165E-3</v>
      </c>
      <c r="AL27">
        <f>'Electricity shares'!AL27*'Indirect NH3 demand sources'!AL$5*(1-SUM('Pre-allocation of NH3 in power'!AL27:AL97))+'Pre-allocation of NH3 in power'!AL27*'Indirect NH3 demand sources'!AL$5</f>
        <v>7.6087204585093514E-3</v>
      </c>
      <c r="AM27">
        <f>'Electricity shares'!AM27*'Indirect NH3 demand sources'!AM$5*(1-SUM('Pre-allocation of NH3 in power'!AM27:AM97))+'Pre-allocation of NH3 in power'!AM27*'Indirect NH3 demand sources'!AM$5</f>
        <v>7.9328980236986306E-3</v>
      </c>
      <c r="AN27">
        <f>'Electricity shares'!AN27*'Indirect NH3 demand sources'!AN$5*(1-SUM('Pre-allocation of NH3 in power'!AN27:AN97))+'Pre-allocation of NH3 in power'!AN27*'Indirect NH3 demand sources'!AN$5</f>
        <v>8.2542191399242199E-3</v>
      </c>
      <c r="AO27">
        <f>'Electricity shares'!AO27*'Indirect NH3 demand sources'!AO$5*(1-SUM('Pre-allocation of NH3 in power'!AO27:AO97))+'Pre-allocation of NH3 in power'!AO27*'Indirect NH3 demand sources'!AO$5</f>
        <v>8.5730144943407267E-3</v>
      </c>
      <c r="AP27">
        <f>'Electricity shares'!AP27*'Indirect NH3 demand sources'!AP$5*(1-SUM('Pre-allocation of NH3 in power'!AP27:AP97))+'Pre-allocation of NH3 in power'!AP27*'Indirect NH3 demand sources'!AP$5</f>
        <v>8.8873816780210193E-3</v>
      </c>
    </row>
    <row r="28" spans="1:42" x14ac:dyDescent="0.3">
      <c r="A28" t="s">
        <v>103</v>
      </c>
      <c r="B28">
        <f>'Electricity shares'!B28*'Indirect NH3 demand sources'!B$5*(1-SUM('Pre-allocation of NH3 in power'!B28:B98))+'Pre-allocation of NH3 in power'!B28*'Indirect NH3 demand sources'!B$5</f>
        <v>0</v>
      </c>
      <c r="C28">
        <f>'Electricity shares'!C28*'Indirect NH3 demand sources'!C$5*(1-SUM('Pre-allocation of NH3 in power'!C28:C98))+'Pre-allocation of NH3 in power'!C28*'Indirect NH3 demand sources'!C$5</f>
        <v>0</v>
      </c>
      <c r="D28">
        <f>'Electricity shares'!D28*'Indirect NH3 demand sources'!D$5*(1-SUM('Pre-allocation of NH3 in power'!D28:D98))+'Pre-allocation of NH3 in power'!D28*'Indirect NH3 demand sources'!D$5</f>
        <v>0</v>
      </c>
      <c r="E28">
        <f>'Electricity shares'!E28*'Indirect NH3 demand sources'!E$5*(1-SUM('Pre-allocation of NH3 in power'!E28:E98))+'Pre-allocation of NH3 in power'!E28*'Indirect NH3 demand sources'!E$5</f>
        <v>0</v>
      </c>
      <c r="F28">
        <f>'Electricity shares'!F28*'Indirect NH3 demand sources'!F$5*(1-SUM('Pre-allocation of NH3 in power'!F28:F98))+'Pre-allocation of NH3 in power'!F28*'Indirect NH3 demand sources'!F$5</f>
        <v>0</v>
      </c>
      <c r="G28">
        <f>'Electricity shares'!G28*'Indirect NH3 demand sources'!G$5*(1-SUM('Pre-allocation of NH3 in power'!G28:G98))+'Pre-allocation of NH3 in power'!G28*'Indirect NH3 demand sources'!G$5</f>
        <v>0</v>
      </c>
      <c r="H28">
        <f>'Electricity shares'!H28*'Indirect NH3 demand sources'!H$5*(1-SUM('Pre-allocation of NH3 in power'!H28:H98))+'Pre-allocation of NH3 in power'!H28*'Indirect NH3 demand sources'!H$5</f>
        <v>0</v>
      </c>
      <c r="I28">
        <f>'Electricity shares'!I28*'Indirect NH3 demand sources'!I$5*(1-SUM('Pre-allocation of NH3 in power'!I28:I98))+'Pre-allocation of NH3 in power'!I28*'Indirect NH3 demand sources'!I$5</f>
        <v>0</v>
      </c>
      <c r="J28">
        <f>'Electricity shares'!J28*'Indirect NH3 demand sources'!J$5*(1-SUM('Pre-allocation of NH3 in power'!J28:J98))+'Pre-allocation of NH3 in power'!J28*'Indirect NH3 demand sources'!J$5</f>
        <v>0</v>
      </c>
      <c r="K28">
        <f>'Electricity shares'!K28*'Indirect NH3 demand sources'!K$5*(1-SUM('Pre-allocation of NH3 in power'!K28:K98))+'Pre-allocation of NH3 in power'!K28*'Indirect NH3 demand sources'!K$5</f>
        <v>0</v>
      </c>
      <c r="L28">
        <f>'Electricity shares'!L28*'Indirect NH3 demand sources'!L$5*(1-SUM('Pre-allocation of NH3 in power'!L28:L98))+'Pre-allocation of NH3 in power'!L28*'Indirect NH3 demand sources'!L$5</f>
        <v>0</v>
      </c>
      <c r="M28">
        <f>'Electricity shares'!M28*'Indirect NH3 demand sources'!M$5*(1-SUM('Pre-allocation of NH3 in power'!M28:M98))+'Pre-allocation of NH3 in power'!M28*'Indirect NH3 demand sources'!M$5</f>
        <v>0</v>
      </c>
      <c r="N28">
        <f>'Electricity shares'!N28*'Indirect NH3 demand sources'!N$5*(1-SUM('Pre-allocation of NH3 in power'!N28:N98))+'Pre-allocation of NH3 in power'!N28*'Indirect NH3 demand sources'!N$5</f>
        <v>0</v>
      </c>
      <c r="O28">
        <f>'Electricity shares'!O28*'Indirect NH3 demand sources'!O$5*(1-SUM('Pre-allocation of NH3 in power'!O28:O98))+'Pre-allocation of NH3 in power'!O28*'Indirect NH3 demand sources'!O$5</f>
        <v>0</v>
      </c>
      <c r="P28">
        <f>'Electricity shares'!P28*'Indirect NH3 demand sources'!P$5*(1-SUM('Pre-allocation of NH3 in power'!P28:P98))+'Pre-allocation of NH3 in power'!P28*'Indirect NH3 demand sources'!P$5</f>
        <v>0</v>
      </c>
      <c r="Q28">
        <f>'Electricity shares'!Q28*'Indirect NH3 demand sources'!Q$5*(1-SUM('Pre-allocation of NH3 in power'!Q28:Q98))+'Pre-allocation of NH3 in power'!Q28*'Indirect NH3 demand sources'!Q$5</f>
        <v>0</v>
      </c>
      <c r="R28">
        <f>'Electricity shares'!R28*'Indirect NH3 demand sources'!R$5*(1-SUM('Pre-allocation of NH3 in power'!R28:R98))+'Pre-allocation of NH3 in power'!R28*'Indirect NH3 demand sources'!R$5</f>
        <v>3.2128368777474943E-4</v>
      </c>
      <c r="S28">
        <f>'Electricity shares'!S28*'Indirect NH3 demand sources'!S$5*(1-SUM('Pre-allocation of NH3 in power'!S28:S98))+'Pre-allocation of NH3 in power'!S28*'Indirect NH3 demand sources'!S$5</f>
        <v>6.2893064410567004E-4</v>
      </c>
      <c r="T28">
        <f>'Electricity shares'!T28*'Indirect NH3 demand sources'!T$5*(1-SUM('Pre-allocation of NH3 in power'!T28:T98))+'Pre-allocation of NH3 in power'!T28*'Indirect NH3 demand sources'!T$5</f>
        <v>9.2280376094328357E-4</v>
      </c>
      <c r="U28">
        <f>'Electricity shares'!U28*'Indirect NH3 demand sources'!U$5*(1-SUM('Pre-allocation of NH3 in power'!U28:U98))+'Pre-allocation of NH3 in power'!U28*'Indirect NH3 demand sources'!U$5</f>
        <v>1.2028386508202242E-3</v>
      </c>
      <c r="V28">
        <f>'Electricity shares'!V28*'Indirect NH3 demand sources'!V$5*(1-SUM('Pre-allocation of NH3 in power'!V28:V98))+'Pre-allocation of NH3 in power'!V28*'Indirect NH3 demand sources'!V$5</f>
        <v>1.4697934081973857E-3</v>
      </c>
      <c r="W28">
        <f>'Electricity shares'!W28*'Indirect NH3 demand sources'!W$5*(1-SUM('Pre-allocation of NH3 in power'!W28:W98))+'Pre-allocation of NH3 in power'!W28*'Indirect NH3 demand sources'!W$5</f>
        <v>2.1706082247650348E-3</v>
      </c>
      <c r="X28">
        <f>'Electricity shares'!X28*'Indirect NH3 demand sources'!X$5*(1-SUM('Pre-allocation of NH3 in power'!X28:X98))+'Pre-allocation of NH3 in power'!X28*'Indirect NH3 demand sources'!X$5</f>
        <v>2.8481568144588334E-3</v>
      </c>
      <c r="Y28">
        <f>'Electricity shares'!Y28*'Indirect NH3 demand sources'!Y$5*(1-SUM('Pre-allocation of NH3 in power'!Y28:Y98))+'Pre-allocation of NH3 in power'!Y28*'Indirect NH3 demand sources'!Y$5</f>
        <v>3.5022417213396067E-3</v>
      </c>
      <c r="Z28">
        <f>'Electricity shares'!Z28*'Indirect NH3 demand sources'!Z$5*(1-SUM('Pre-allocation of NH3 in power'!Z28:Z98))+'Pre-allocation of NH3 in power'!Z28*'Indirect NH3 demand sources'!Z$5</f>
        <v>4.1324400661751862E-3</v>
      </c>
      <c r="AA28">
        <f>'Electricity shares'!AA28*'Indirect NH3 demand sources'!AA$5*(1-SUM('Pre-allocation of NH3 in power'!AA28:AA98))+'Pre-allocation of NH3 in power'!AA28*'Indirect NH3 demand sources'!AA$5</f>
        <v>4.7383393086647303E-3</v>
      </c>
      <c r="AB28">
        <f>'Electricity shares'!AB28*'Indirect NH3 demand sources'!AB$5*(1-SUM('Pre-allocation of NH3 in power'!AB28:AB98))+'Pre-allocation of NH3 in power'!AB28*'Indirect NH3 demand sources'!AB$5</f>
        <v>5.3005232929164156E-3</v>
      </c>
      <c r="AC28">
        <f>'Electricity shares'!AC28*'Indirect NH3 demand sources'!AC$5*(1-SUM('Pre-allocation of NH3 in power'!AC28:AC98))+'Pre-allocation of NH3 in power'!AC28*'Indirect NH3 demand sources'!AC$5</f>
        <v>5.8349709784283107E-3</v>
      </c>
      <c r="AD28">
        <f>'Electricity shares'!AD28*'Indirect NH3 demand sources'!AD$5*(1-SUM('Pre-allocation of NH3 in power'!AD28:AD98))+'Pre-allocation of NH3 in power'!AD28*'Indirect NH3 demand sources'!AD$5</f>
        <v>6.3418728970156459E-3</v>
      </c>
      <c r="AE28">
        <f>'Electricity shares'!AE28*'Indirect NH3 demand sources'!AE$5*(1-SUM('Pre-allocation of NH3 in power'!AE28:AE98))+'Pre-allocation of NH3 in power'!AE28*'Indirect NH3 demand sources'!AE$5</f>
        <v>6.8218999771185547E-3</v>
      </c>
      <c r="AF28">
        <f>'Electricity shares'!AF28*'Indirect NH3 demand sources'!AF$5*(1-SUM('Pre-allocation of NH3 in power'!AF28:AF98))+'Pre-allocation of NH3 in power'!AF28*'Indirect NH3 demand sources'!AF$5</f>
        <v>7.2748125612774363E-3</v>
      </c>
      <c r="AG28">
        <f>'Electricity shares'!AG28*'Indirect NH3 demand sources'!AG$5*(1-SUM('Pre-allocation of NH3 in power'!AG28:AG98))+'Pre-allocation of NH3 in power'!AG28*'Indirect NH3 demand sources'!AG$5</f>
        <v>7.5955217978544197E-3</v>
      </c>
      <c r="AH28">
        <f>'Electricity shares'!AH28*'Indirect NH3 demand sources'!AH$5*(1-SUM('Pre-allocation of NH3 in power'!AH28:AH98))+'Pre-allocation of NH3 in power'!AH28*'Indirect NH3 demand sources'!AH$5</f>
        <v>7.897524984216241E-3</v>
      </c>
      <c r="AI28">
        <f>'Electricity shares'!AI28*'Indirect NH3 demand sources'!AI$5*(1-SUM('Pre-allocation of NH3 in power'!AI28:AI98))+'Pre-allocation of NH3 in power'!AI28*'Indirect NH3 demand sources'!AI$5</f>
        <v>8.1815029922938341E-3</v>
      </c>
      <c r="AJ28">
        <f>'Electricity shares'!AJ28*'Indirect NH3 demand sources'!AJ$5*(1-SUM('Pre-allocation of NH3 in power'!AJ28:AJ98))+'Pre-allocation of NH3 in power'!AJ28*'Indirect NH3 demand sources'!AJ$5</f>
        <v>8.4476072952472895E-3</v>
      </c>
      <c r="AK28">
        <f>'Electricity shares'!AK28*'Indirect NH3 demand sources'!AK$5*(1-SUM('Pre-allocation of NH3 in power'!AK28:AK98))+'Pre-allocation of NH3 in power'!AK28*'Indirect NH3 demand sources'!AK$5</f>
        <v>8.6983555279411349E-3</v>
      </c>
      <c r="AL28">
        <f>'Electricity shares'!AL28*'Indirect NH3 demand sources'!AL$5*(1-SUM('Pre-allocation of NH3 in power'!AL28:AL98))+'Pre-allocation of NH3 in power'!AL28*'Indirect NH3 demand sources'!AL$5</f>
        <v>8.9251669922368795E-3</v>
      </c>
      <c r="AM28">
        <f>'Electricity shares'!AM28*'Indirect NH3 demand sources'!AM$5*(1-SUM('Pre-allocation of NH3 in power'!AM28:AM98))+'Pre-allocation of NH3 in power'!AM28*'Indirect NH3 demand sources'!AM$5</f>
        <v>9.1350789921630614E-3</v>
      </c>
      <c r="AN28">
        <f>'Electricity shares'!AN28*'Indirect NH3 demand sources'!AN$5*(1-SUM('Pre-allocation of NH3 in power'!AN28:AN98))+'Pre-allocation of NH3 in power'!AN28*'Indirect NH3 demand sources'!AN$5</f>
        <v>9.331593036409255E-3</v>
      </c>
      <c r="AO28">
        <f>'Electricity shares'!AO28*'Indirect NH3 demand sources'!AO$5*(1-SUM('Pre-allocation of NH3 in power'!AO28:AO98))+'Pre-allocation of NH3 in power'!AO28*'Indirect NH3 demand sources'!AO$5</f>
        <v>9.5161568100322457E-3</v>
      </c>
      <c r="AP28">
        <f>'Electricity shares'!AP28*'Indirect NH3 demand sources'!AP$5*(1-SUM('Pre-allocation of NH3 in power'!AP28:AP98))+'Pre-allocation of NH3 in power'!AP28*'Indirect NH3 demand sources'!AP$5</f>
        <v>9.6889392126145411E-3</v>
      </c>
    </row>
    <row r="29" spans="1:42" x14ac:dyDescent="0.3">
      <c r="A29" t="s">
        <v>104</v>
      </c>
      <c r="B29">
        <f>'Electricity shares'!B29*'Indirect NH3 demand sources'!B$5*(1-SUM('Pre-allocation of NH3 in power'!B29:B99))+'Pre-allocation of NH3 in power'!B29*'Indirect NH3 demand sources'!B$5</f>
        <v>0</v>
      </c>
      <c r="C29">
        <f>'Electricity shares'!C29*'Indirect NH3 demand sources'!C$5*(1-SUM('Pre-allocation of NH3 in power'!C29:C99))+'Pre-allocation of NH3 in power'!C29*'Indirect NH3 demand sources'!C$5</f>
        <v>0</v>
      </c>
      <c r="D29">
        <f>'Electricity shares'!D29*'Indirect NH3 demand sources'!D$5*(1-SUM('Pre-allocation of NH3 in power'!D29:D99))+'Pre-allocation of NH3 in power'!D29*'Indirect NH3 demand sources'!D$5</f>
        <v>0</v>
      </c>
      <c r="E29">
        <f>'Electricity shares'!E29*'Indirect NH3 demand sources'!E$5*(1-SUM('Pre-allocation of NH3 in power'!E29:E99))+'Pre-allocation of NH3 in power'!E29*'Indirect NH3 demand sources'!E$5</f>
        <v>0</v>
      </c>
      <c r="F29">
        <f>'Electricity shares'!F29*'Indirect NH3 demand sources'!F$5*(1-SUM('Pre-allocation of NH3 in power'!F29:F99))+'Pre-allocation of NH3 in power'!F29*'Indirect NH3 demand sources'!F$5</f>
        <v>0</v>
      </c>
      <c r="G29">
        <f>'Electricity shares'!G29*'Indirect NH3 demand sources'!G$5*(1-SUM('Pre-allocation of NH3 in power'!G29:G99))+'Pre-allocation of NH3 in power'!G29*'Indirect NH3 demand sources'!G$5</f>
        <v>0</v>
      </c>
      <c r="H29">
        <f>'Electricity shares'!H29*'Indirect NH3 demand sources'!H$5*(1-SUM('Pre-allocation of NH3 in power'!H29:H99))+'Pre-allocation of NH3 in power'!H29*'Indirect NH3 demand sources'!H$5</f>
        <v>0</v>
      </c>
      <c r="I29">
        <f>'Electricity shares'!I29*'Indirect NH3 demand sources'!I$5*(1-SUM('Pre-allocation of NH3 in power'!I29:I99))+'Pre-allocation of NH3 in power'!I29*'Indirect NH3 demand sources'!I$5</f>
        <v>0</v>
      </c>
      <c r="J29">
        <f>'Electricity shares'!J29*'Indirect NH3 demand sources'!J$5*(1-SUM('Pre-allocation of NH3 in power'!J29:J99))+'Pre-allocation of NH3 in power'!J29*'Indirect NH3 demand sources'!J$5</f>
        <v>0</v>
      </c>
      <c r="K29">
        <f>'Electricity shares'!K29*'Indirect NH3 demand sources'!K$5*(1-SUM('Pre-allocation of NH3 in power'!K29:K99))+'Pre-allocation of NH3 in power'!K29*'Indirect NH3 demand sources'!K$5</f>
        <v>0</v>
      </c>
      <c r="L29">
        <f>'Electricity shares'!L29*'Indirect NH3 demand sources'!L$5*(1-SUM('Pre-allocation of NH3 in power'!L29:L99))+'Pre-allocation of NH3 in power'!L29*'Indirect NH3 demand sources'!L$5</f>
        <v>0</v>
      </c>
      <c r="M29">
        <f>'Electricity shares'!M29*'Indirect NH3 demand sources'!M$5*(1-SUM('Pre-allocation of NH3 in power'!M29:M99))+'Pre-allocation of NH3 in power'!M29*'Indirect NH3 demand sources'!M$5</f>
        <v>0</v>
      </c>
      <c r="N29">
        <f>'Electricity shares'!N29*'Indirect NH3 demand sources'!N$5*(1-SUM('Pre-allocation of NH3 in power'!N29:N99))+'Pre-allocation of NH3 in power'!N29*'Indirect NH3 demand sources'!N$5</f>
        <v>0</v>
      </c>
      <c r="O29">
        <f>'Electricity shares'!O29*'Indirect NH3 demand sources'!O$5*(1-SUM('Pre-allocation of NH3 in power'!O29:O99))+'Pre-allocation of NH3 in power'!O29*'Indirect NH3 demand sources'!O$5</f>
        <v>0</v>
      </c>
      <c r="P29">
        <f>'Electricity shares'!P29*'Indirect NH3 demand sources'!P$5*(1-SUM('Pre-allocation of NH3 in power'!P29:P99))+'Pre-allocation of NH3 in power'!P29*'Indirect NH3 demand sources'!P$5</f>
        <v>0</v>
      </c>
      <c r="Q29">
        <f>'Electricity shares'!Q29*'Indirect NH3 demand sources'!Q$5*(1-SUM('Pre-allocation of NH3 in power'!Q29:Q99))+'Pre-allocation of NH3 in power'!Q29*'Indirect NH3 demand sources'!Q$5</f>
        <v>0</v>
      </c>
      <c r="R29">
        <f>'Electricity shares'!R29*'Indirect NH3 demand sources'!R$5*(1-SUM('Pre-allocation of NH3 in power'!R29:R99))+'Pre-allocation of NH3 in power'!R29*'Indirect NH3 demand sources'!R$5</f>
        <v>4.0423500136402914E-4</v>
      </c>
      <c r="S29">
        <f>'Electricity shares'!S29*'Indirect NH3 demand sources'!S$5*(1-SUM('Pre-allocation of NH3 in power'!S29:S99))+'Pre-allocation of NH3 in power'!S29*'Indirect NH3 demand sources'!S$5</f>
        <v>8.119820377148158E-4</v>
      </c>
      <c r="T29">
        <f>'Electricity shares'!T29*'Indirect NH3 demand sources'!T$5*(1-SUM('Pre-allocation of NH3 in power'!T29:T99))+'Pre-allocation of NH3 in power'!T29*'Indirect NH3 demand sources'!T$5</f>
        <v>1.2228187694187504E-3</v>
      </c>
      <c r="U29">
        <f>'Electricity shares'!U29*'Indirect NH3 demand sources'!U$5*(1-SUM('Pre-allocation of NH3 in power'!U29:U99))+'Pre-allocation of NH3 in power'!U29*'Indirect NH3 demand sources'!U$5</f>
        <v>1.6361652679530948E-3</v>
      </c>
      <c r="V29">
        <f>'Electricity shares'!V29*'Indirect NH3 demand sources'!V$5*(1-SUM('Pre-allocation of NH3 in power'!V29:V99))+'Pre-allocation of NH3 in power'!V29*'Indirect NH3 demand sources'!V$5</f>
        <v>2.0527649660716245E-3</v>
      </c>
      <c r="W29">
        <f>'Electricity shares'!W29*'Indirect NH3 demand sources'!W$5*(1-SUM('Pre-allocation of NH3 in power'!W29:W99))+'Pre-allocation of NH3 in power'!W29*'Indirect NH3 demand sources'!W$5</f>
        <v>3.0261051764755281E-3</v>
      </c>
      <c r="X29">
        <f>'Electricity shares'!X29*'Indirect NH3 demand sources'!X$5*(1-SUM('Pre-allocation of NH3 in power'!X29:X99))+'Pre-allocation of NH3 in power'!X29*'Indirect NH3 demand sources'!X$5</f>
        <v>3.9644396831995865E-3</v>
      </c>
      <c r="Y29">
        <f>'Electricity shares'!Y29*'Indirect NH3 demand sources'!Y$5*(1-SUM('Pre-allocation of NH3 in power'!Y29:Y99))+'Pre-allocation of NH3 in power'!Y29*'Indirect NH3 demand sources'!Y$5</f>
        <v>4.869225148623868E-3</v>
      </c>
      <c r="Z29">
        <f>'Electricity shares'!Z29*'Indirect NH3 demand sources'!Z$5*(1-SUM('Pre-allocation of NH3 in power'!Z29:Z99))+'Pre-allocation of NH3 in power'!Z29*'Indirect NH3 demand sources'!Z$5</f>
        <v>5.7424605990175261E-3</v>
      </c>
      <c r="AA29">
        <f>'Electricity shares'!AA29*'Indirect NH3 demand sources'!AA$5*(1-SUM('Pre-allocation of NH3 in power'!AA29:AA99))+'Pre-allocation of NH3 in power'!AA29*'Indirect NH3 demand sources'!AA$5</f>
        <v>6.5810477593792639E-3</v>
      </c>
      <c r="AB29">
        <f>'Electricity shares'!AB29*'Indirect NH3 demand sources'!AB$5*(1-SUM('Pre-allocation of NH3 in power'!AB29:AB99))+'Pre-allocation of NH3 in power'!AB29*'Indirect NH3 demand sources'!AB$5</f>
        <v>7.4364174530322062E-3</v>
      </c>
      <c r="AC29">
        <f>'Electricity shares'!AC29*'Indirect NH3 demand sources'!AC$5*(1-SUM('Pre-allocation of NH3 in power'!AC29:AC99))+'Pre-allocation of NH3 in power'!AC29*'Indirect NH3 demand sources'!AC$5</f>
        <v>8.2720741065161942E-3</v>
      </c>
      <c r="AD29">
        <f>'Electricity shares'!AD29*'Indirect NH3 demand sources'!AD$5*(1-SUM('Pre-allocation of NH3 in power'!AD29:AD99))+'Pre-allocation of NH3 in power'!AD29*'Indirect NH3 demand sources'!AD$5</f>
        <v>9.0869033209875875E-3</v>
      </c>
      <c r="AE29">
        <f>'Electricity shares'!AE29*'Indirect NH3 demand sources'!AE$5*(1-SUM('Pre-allocation of NH3 in power'!AE29:AE99))+'Pre-allocation of NH3 in power'!AE29*'Indirect NH3 demand sources'!AE$5</f>
        <v>9.8847034970855584E-3</v>
      </c>
      <c r="AF29">
        <f>'Electricity shares'!AF29*'Indirect NH3 demand sources'!AF$5*(1-SUM('Pre-allocation of NH3 in power'!AF29:AF99))+'Pre-allocation of NH3 in power'!AF29*'Indirect NH3 demand sources'!AF$5</f>
        <v>1.0660262819141869E-2</v>
      </c>
      <c r="AG29">
        <f>'Electricity shares'!AG29*'Indirect NH3 demand sources'!AG$5*(1-SUM('Pre-allocation of NH3 in power'!AG29:AG99))+'Pre-allocation of NH3 in power'!AG29*'Indirect NH3 demand sources'!AG$5</f>
        <v>1.1258969826004026E-2</v>
      </c>
      <c r="AH29">
        <f>'Electricity shares'!AH29*'Indirect NH3 demand sources'!AH$5*(1-SUM('Pre-allocation of NH3 in power'!AH29:AH99))+'Pre-allocation of NH3 in power'!AH29*'Indirect NH3 demand sources'!AH$5</f>
        <v>1.184746964071527E-2</v>
      </c>
      <c r="AI29">
        <f>'Electricity shares'!AI29*'Indirect NH3 demand sources'!AI$5*(1-SUM('Pre-allocation of NH3 in power'!AI29:AI99))+'Pre-allocation of NH3 in power'!AI29*'Indirect NH3 demand sources'!AI$5</f>
        <v>1.2425737859643061E-2</v>
      </c>
      <c r="AJ29">
        <f>'Electricity shares'!AJ29*'Indirect NH3 demand sources'!AJ$5*(1-SUM('Pre-allocation of NH3 in power'!AJ29:AJ99))+'Pre-allocation of NH3 in power'!AJ29*'Indirect NH3 demand sources'!AJ$5</f>
        <v>1.2990523972138965E-2</v>
      </c>
      <c r="AK29">
        <f>'Electricity shares'!AK29*'Indirect NH3 demand sources'!AK$5*(1-SUM('Pre-allocation of NH3 in power'!AK29:AK99))+'Pre-allocation of NH3 in power'!AK29*'Indirect NH3 demand sources'!AK$5</f>
        <v>1.3544377083856919E-2</v>
      </c>
      <c r="AL29">
        <f>'Electricity shares'!AL29*'Indirect NH3 demand sources'!AL$5*(1-SUM('Pre-allocation of NH3 in power'!AL29:AL99))+'Pre-allocation of NH3 in power'!AL29*'Indirect NH3 demand sources'!AL$5</f>
        <v>1.410330833131539E-2</v>
      </c>
      <c r="AM29">
        <f>'Electricity shares'!AM29*'Indirect NH3 demand sources'!AM$5*(1-SUM('Pre-allocation of NH3 in power'!AM29:AM99))+'Pre-allocation of NH3 in power'!AM29*'Indirect NH3 demand sources'!AM$5</f>
        <v>1.4638626584279696E-2</v>
      </c>
      <c r="AN29">
        <f>'Electricity shares'!AN29*'Indirect NH3 demand sources'!AN$5*(1-SUM('Pre-allocation of NH3 in power'!AN29:AN99))+'Pre-allocation of NH3 in power'!AN29*'Indirect NH3 demand sources'!AN$5</f>
        <v>1.5160054955600724E-2</v>
      </c>
      <c r="AO29">
        <f>'Electricity shares'!AO29*'Indirect NH3 demand sources'!AO$5*(1-SUM('Pre-allocation of NH3 in power'!AO29:AO99))+'Pre-allocation of NH3 in power'!AO29*'Indirect NH3 demand sources'!AO$5</f>
        <v>1.5668656422905373E-2</v>
      </c>
      <c r="AP29">
        <f>'Electricity shares'!AP29*'Indirect NH3 demand sources'!AP$5*(1-SUM('Pre-allocation of NH3 in power'!AP29:AP99))+'Pre-allocation of NH3 in power'!AP29*'Indirect NH3 demand sources'!AP$5</f>
        <v>1.616216729937886E-2</v>
      </c>
    </row>
    <row r="30" spans="1:42" x14ac:dyDescent="0.3">
      <c r="A30" t="s">
        <v>105</v>
      </c>
      <c r="B30">
        <f>'Electricity shares'!B30*'Indirect NH3 demand sources'!B$5*(1-SUM('Pre-allocation of NH3 in power'!B30:B100))+'Pre-allocation of NH3 in power'!B30*'Indirect NH3 demand sources'!B$5</f>
        <v>0</v>
      </c>
      <c r="C30">
        <f>'Electricity shares'!C30*'Indirect NH3 demand sources'!C$5*(1-SUM('Pre-allocation of NH3 in power'!C30:C100))+'Pre-allocation of NH3 in power'!C30*'Indirect NH3 demand sources'!C$5</f>
        <v>0</v>
      </c>
      <c r="D30">
        <f>'Electricity shares'!D30*'Indirect NH3 demand sources'!D$5*(1-SUM('Pre-allocation of NH3 in power'!D30:D100))+'Pre-allocation of NH3 in power'!D30*'Indirect NH3 demand sources'!D$5</f>
        <v>0</v>
      </c>
      <c r="E30">
        <f>'Electricity shares'!E30*'Indirect NH3 demand sources'!E$5*(1-SUM('Pre-allocation of NH3 in power'!E30:E100))+'Pre-allocation of NH3 in power'!E30*'Indirect NH3 demand sources'!E$5</f>
        <v>0</v>
      </c>
      <c r="F30">
        <f>'Electricity shares'!F30*'Indirect NH3 demand sources'!F$5*(1-SUM('Pre-allocation of NH3 in power'!F30:F100))+'Pre-allocation of NH3 in power'!F30*'Indirect NH3 demand sources'!F$5</f>
        <v>0</v>
      </c>
      <c r="G30">
        <f>'Electricity shares'!G30*'Indirect NH3 demand sources'!G$5*(1-SUM('Pre-allocation of NH3 in power'!G30:G100))+'Pre-allocation of NH3 in power'!G30*'Indirect NH3 demand sources'!G$5</f>
        <v>0</v>
      </c>
      <c r="H30">
        <f>'Electricity shares'!H30*'Indirect NH3 demand sources'!H$5*(1-SUM('Pre-allocation of NH3 in power'!H30:H100))+'Pre-allocation of NH3 in power'!H30*'Indirect NH3 demand sources'!H$5</f>
        <v>0</v>
      </c>
      <c r="I30">
        <f>'Electricity shares'!I30*'Indirect NH3 demand sources'!I$5*(1-SUM('Pre-allocation of NH3 in power'!I30:I100))+'Pre-allocation of NH3 in power'!I30*'Indirect NH3 demand sources'!I$5</f>
        <v>0</v>
      </c>
      <c r="J30">
        <f>'Electricity shares'!J30*'Indirect NH3 demand sources'!J$5*(1-SUM('Pre-allocation of NH3 in power'!J30:J100))+'Pre-allocation of NH3 in power'!J30*'Indirect NH3 demand sources'!J$5</f>
        <v>0</v>
      </c>
      <c r="K30">
        <f>'Electricity shares'!K30*'Indirect NH3 demand sources'!K$5*(1-SUM('Pre-allocation of NH3 in power'!K30:K100))+'Pre-allocation of NH3 in power'!K30*'Indirect NH3 demand sources'!K$5</f>
        <v>0</v>
      </c>
      <c r="L30">
        <f>'Electricity shares'!L30*'Indirect NH3 demand sources'!L$5*(1-SUM('Pre-allocation of NH3 in power'!L30:L100))+'Pre-allocation of NH3 in power'!L30*'Indirect NH3 demand sources'!L$5</f>
        <v>0</v>
      </c>
      <c r="M30">
        <f>'Electricity shares'!M30*'Indirect NH3 demand sources'!M$5*(1-SUM('Pre-allocation of NH3 in power'!M30:M100))+'Pre-allocation of NH3 in power'!M30*'Indirect NH3 demand sources'!M$5</f>
        <v>0</v>
      </c>
      <c r="N30">
        <f>'Electricity shares'!N30*'Indirect NH3 demand sources'!N$5*(1-SUM('Pre-allocation of NH3 in power'!N30:N100))+'Pre-allocation of NH3 in power'!N30*'Indirect NH3 demand sources'!N$5</f>
        <v>0</v>
      </c>
      <c r="O30">
        <f>'Electricity shares'!O30*'Indirect NH3 demand sources'!O$5*(1-SUM('Pre-allocation of NH3 in power'!O30:O100))+'Pre-allocation of NH3 in power'!O30*'Indirect NH3 demand sources'!O$5</f>
        <v>0</v>
      </c>
      <c r="P30">
        <f>'Electricity shares'!P30*'Indirect NH3 demand sources'!P$5*(1-SUM('Pre-allocation of NH3 in power'!P30:P100))+'Pre-allocation of NH3 in power'!P30*'Indirect NH3 demand sources'!P$5</f>
        <v>0</v>
      </c>
      <c r="Q30">
        <f>'Electricity shares'!Q30*'Indirect NH3 demand sources'!Q$5*(1-SUM('Pre-allocation of NH3 in power'!Q30:Q100))+'Pre-allocation of NH3 in power'!Q30*'Indirect NH3 demand sources'!Q$5</f>
        <v>0</v>
      </c>
      <c r="R30">
        <f>'Electricity shares'!R30*'Indirect NH3 demand sources'!R$5*(1-SUM('Pre-allocation of NH3 in power'!R30:R100))+'Pre-allocation of NH3 in power'!R30*'Indirect NH3 demand sources'!R$5</f>
        <v>9.02681169175742E-4</v>
      </c>
      <c r="S30">
        <f>'Electricity shares'!S30*'Indirect NH3 demand sources'!S$5*(1-SUM('Pre-allocation of NH3 in power'!S30:S100))+'Pre-allocation of NH3 in power'!S30*'Indirect NH3 demand sources'!S$5</f>
        <v>1.7645170059105296E-3</v>
      </c>
      <c r="T30">
        <f>'Electricity shares'!T30*'Indirect NH3 demand sources'!T$5*(1-SUM('Pre-allocation of NH3 in power'!T30:T100))+'Pre-allocation of NH3 in power'!T30*'Indirect NH3 demand sources'!T$5</f>
        <v>2.5893186088128579E-3</v>
      </c>
      <c r="U30">
        <f>'Electricity shares'!U30*'Indirect NH3 demand sources'!U$5*(1-SUM('Pre-allocation of NH3 in power'!U30:U100))+'Pre-allocation of NH3 in power'!U30*'Indirect NH3 demand sources'!U$5</f>
        <v>3.3834671311773557E-3</v>
      </c>
      <c r="V30">
        <f>'Electricity shares'!V30*'Indirect NH3 demand sources'!V$5*(1-SUM('Pre-allocation of NH3 in power'!V30:V100))+'Pre-allocation of NH3 in power'!V30*'Indirect NH3 demand sources'!V$5</f>
        <v>4.1513789510976111E-3</v>
      </c>
      <c r="W30">
        <f>'Electricity shares'!W30*'Indirect NH3 demand sources'!W$5*(1-SUM('Pre-allocation of NH3 in power'!W30:W100))+'Pre-allocation of NH3 in power'!W30*'Indirect NH3 demand sources'!W$5</f>
        <v>6.1299804840209068E-3</v>
      </c>
      <c r="X30">
        <f>'Electricity shares'!X30*'Indirect NH3 demand sources'!X$5*(1-SUM('Pre-allocation of NH3 in power'!X30:X100))+'Pre-allocation of NH3 in power'!X30*'Indirect NH3 demand sources'!X$5</f>
        <v>8.0482308111931907E-3</v>
      </c>
      <c r="Y30">
        <f>'Electricity shares'!Y30*'Indirect NH3 demand sources'!Y$5*(1-SUM('Pre-allocation of NH3 in power'!Y30:Y100))+'Pre-allocation of NH3 in power'!Y30*'Indirect NH3 demand sources'!Y$5</f>
        <v>9.9066095962913291E-3</v>
      </c>
      <c r="Z30">
        <f>'Electricity shares'!Z30*'Indirect NH3 demand sources'!Z$5*(1-SUM('Pre-allocation of NH3 in power'!Z30:Z100))+'Pre-allocation of NH3 in power'!Z30*'Indirect NH3 demand sources'!Z$5</f>
        <v>1.1703951147411219E-2</v>
      </c>
      <c r="AA30">
        <f>'Electricity shares'!AA30*'Indirect NH3 demand sources'!AA$5*(1-SUM('Pre-allocation of NH3 in power'!AA30:AA100))+'Pre-allocation of NH3 in power'!AA30*'Indirect NH3 demand sources'!AA$5</f>
        <v>1.3437720243238652E-2</v>
      </c>
      <c r="AB30">
        <f>'Electricity shares'!AB30*'Indirect NH3 demand sources'!AB$5*(1-SUM('Pre-allocation of NH3 in power'!AB30:AB100))+'Pre-allocation of NH3 in power'!AB30*'Indirect NH3 demand sources'!AB$5</f>
        <v>1.5144845163945176E-2</v>
      </c>
      <c r="AC30">
        <f>'Electricity shares'!AC30*'Indirect NH3 demand sources'!AC$5*(1-SUM('Pre-allocation of NH3 in power'!AC30:AC100))+'Pre-allocation of NH3 in power'!AC30*'Indirect NH3 demand sources'!AC$5</f>
        <v>1.6795385980014073E-2</v>
      </c>
      <c r="AD30">
        <f>'Electricity shares'!AD30*'Indirect NH3 demand sources'!AD$5*(1-SUM('Pre-allocation of NH3 in power'!AD30:AD100))+'Pre-allocation of NH3 in power'!AD30*'Indirect NH3 demand sources'!AD$5</f>
        <v>1.8389251996173455E-2</v>
      </c>
      <c r="AE30">
        <f>'Electricity shares'!AE30*'Indirect NH3 demand sources'!AE$5*(1-SUM('Pre-allocation of NH3 in power'!AE30:AE100))+'Pre-allocation of NH3 in power'!AE30*'Indirect NH3 demand sources'!AE$5</f>
        <v>1.9924422582710349E-2</v>
      </c>
      <c r="AF30">
        <f>'Electricity shares'!AF30*'Indirect NH3 demand sources'!AF$5*(1-SUM('Pre-allocation of NH3 in power'!AF30:AF100))+'Pre-allocation of NH3 in power'!AF30*'Indirect NH3 demand sources'!AF$5</f>
        <v>2.1400254408286339E-2</v>
      </c>
      <c r="AG30">
        <f>'Electricity shares'!AG30*'Indirect NH3 demand sources'!AG$5*(1-SUM('Pre-allocation of NH3 in power'!AG30:AG100))+'Pre-allocation of NH3 in power'!AG30*'Indirect NH3 demand sources'!AG$5</f>
        <v>2.2461124744958028E-2</v>
      </c>
      <c r="AH30">
        <f>'Electricity shares'!AH30*'Indirect NH3 demand sources'!AH$5*(1-SUM('Pre-allocation of NH3 in power'!AH30:AH100))+'Pre-allocation of NH3 in power'!AH30*'Indirect NH3 demand sources'!AH$5</f>
        <v>2.3476428190510917E-2</v>
      </c>
      <c r="AI30">
        <f>'Electricity shares'!AI30*'Indirect NH3 demand sources'!AI$5*(1-SUM('Pre-allocation of NH3 in power'!AI30:AI100))+'Pre-allocation of NH3 in power'!AI30*'Indirect NH3 demand sources'!AI$5</f>
        <v>2.4444814924106762E-2</v>
      </c>
      <c r="AJ30">
        <f>'Electricity shares'!AJ30*'Indirect NH3 demand sources'!AJ$5*(1-SUM('Pre-allocation of NH3 in power'!AJ30:AJ100))+'Pre-allocation of NH3 in power'!AJ30*'Indirect NH3 demand sources'!AJ$5</f>
        <v>2.5364431070425922E-2</v>
      </c>
      <c r="AK30">
        <f>'Electricity shares'!AK30*'Indirect NH3 demand sources'!AK$5*(1-SUM('Pre-allocation of NH3 in power'!AK30:AK100))+'Pre-allocation of NH3 in power'!AK30*'Indirect NH3 demand sources'!AK$5</f>
        <v>2.6241322635715787E-2</v>
      </c>
      <c r="AL30">
        <f>'Electricity shares'!AL30*'Indirect NH3 demand sources'!AL$5*(1-SUM('Pre-allocation of NH3 in power'!AL30:AL100))+'Pre-allocation of NH3 in power'!AL30*'Indirect NH3 demand sources'!AL$5</f>
        <v>2.7077552910418367E-2</v>
      </c>
      <c r="AM30">
        <f>'Electricity shares'!AM30*'Indirect NH3 demand sources'!AM$5*(1-SUM('Pre-allocation of NH3 in power'!AM30:AM100))+'Pre-allocation of NH3 in power'!AM30*'Indirect NH3 demand sources'!AM$5</f>
        <v>2.7869733134424233E-2</v>
      </c>
      <c r="AN30">
        <f>'Electricity shares'!AN30*'Indirect NH3 demand sources'!AN$5*(1-SUM('Pre-allocation of NH3 in power'!AN30:AN100))+'Pre-allocation of NH3 in power'!AN30*'Indirect NH3 demand sources'!AN$5</f>
        <v>2.862535434129055E-2</v>
      </c>
      <c r="AO30">
        <f>'Electricity shares'!AO30*'Indirect NH3 demand sources'!AO$5*(1-SUM('Pre-allocation of NH3 in power'!AO30:AO100))+'Pre-allocation of NH3 in power'!AO30*'Indirect NH3 demand sources'!AO$5</f>
        <v>2.9348581399577921E-2</v>
      </c>
      <c r="AP30">
        <f>'Electricity shares'!AP30*'Indirect NH3 demand sources'!AP$5*(1-SUM('Pre-allocation of NH3 in power'!AP30:AP100))+'Pre-allocation of NH3 in power'!AP30*'Indirect NH3 demand sources'!AP$5</f>
        <v>3.0040005146541718E-2</v>
      </c>
    </row>
    <row r="31" spans="1:42" x14ac:dyDescent="0.3">
      <c r="A31" t="s">
        <v>106</v>
      </c>
      <c r="B31">
        <f>'Electricity shares'!B31*'Indirect NH3 demand sources'!B$5*(1-SUM('Pre-allocation of NH3 in power'!B31:B101))+'Pre-allocation of NH3 in power'!B31*'Indirect NH3 demand sources'!B$5</f>
        <v>0</v>
      </c>
      <c r="C31">
        <f>'Electricity shares'!C31*'Indirect NH3 demand sources'!C$5*(1-SUM('Pre-allocation of NH3 in power'!C31:C101))+'Pre-allocation of NH3 in power'!C31*'Indirect NH3 demand sources'!C$5</f>
        <v>0</v>
      </c>
      <c r="D31">
        <f>'Electricity shares'!D31*'Indirect NH3 demand sources'!D$5*(1-SUM('Pre-allocation of NH3 in power'!D31:D101))+'Pre-allocation of NH3 in power'!D31*'Indirect NH3 demand sources'!D$5</f>
        <v>0</v>
      </c>
      <c r="E31">
        <f>'Electricity shares'!E31*'Indirect NH3 demand sources'!E$5*(1-SUM('Pre-allocation of NH3 in power'!E31:E101))+'Pre-allocation of NH3 in power'!E31*'Indirect NH3 demand sources'!E$5</f>
        <v>0</v>
      </c>
      <c r="F31">
        <f>'Electricity shares'!F31*'Indirect NH3 demand sources'!F$5*(1-SUM('Pre-allocation of NH3 in power'!F31:F101))+'Pre-allocation of NH3 in power'!F31*'Indirect NH3 demand sources'!F$5</f>
        <v>0</v>
      </c>
      <c r="G31">
        <f>'Electricity shares'!G31*'Indirect NH3 demand sources'!G$5*(1-SUM('Pre-allocation of NH3 in power'!G31:G101))+'Pre-allocation of NH3 in power'!G31*'Indirect NH3 demand sources'!G$5</f>
        <v>0</v>
      </c>
      <c r="H31">
        <f>'Electricity shares'!H31*'Indirect NH3 demand sources'!H$5*(1-SUM('Pre-allocation of NH3 in power'!H31:H101))+'Pre-allocation of NH3 in power'!H31*'Indirect NH3 demand sources'!H$5</f>
        <v>0</v>
      </c>
      <c r="I31">
        <f>'Electricity shares'!I31*'Indirect NH3 demand sources'!I$5*(1-SUM('Pre-allocation of NH3 in power'!I31:I101))+'Pre-allocation of NH3 in power'!I31*'Indirect NH3 demand sources'!I$5</f>
        <v>0</v>
      </c>
      <c r="J31">
        <f>'Electricity shares'!J31*'Indirect NH3 demand sources'!J$5*(1-SUM('Pre-allocation of NH3 in power'!J31:J101))+'Pre-allocation of NH3 in power'!J31*'Indirect NH3 demand sources'!J$5</f>
        <v>0</v>
      </c>
      <c r="K31">
        <f>'Electricity shares'!K31*'Indirect NH3 demand sources'!K$5*(1-SUM('Pre-allocation of NH3 in power'!K31:K101))+'Pre-allocation of NH3 in power'!K31*'Indirect NH3 demand sources'!K$5</f>
        <v>0</v>
      </c>
      <c r="L31">
        <f>'Electricity shares'!L31*'Indirect NH3 demand sources'!L$5*(1-SUM('Pre-allocation of NH3 in power'!L31:L101))+'Pre-allocation of NH3 in power'!L31*'Indirect NH3 demand sources'!L$5</f>
        <v>0</v>
      </c>
      <c r="M31">
        <f>'Electricity shares'!M31*'Indirect NH3 demand sources'!M$5*(1-SUM('Pre-allocation of NH3 in power'!M31:M101))+'Pre-allocation of NH3 in power'!M31*'Indirect NH3 demand sources'!M$5</f>
        <v>0</v>
      </c>
      <c r="N31">
        <f>'Electricity shares'!N31*'Indirect NH3 demand sources'!N$5*(1-SUM('Pre-allocation of NH3 in power'!N31:N101))+'Pre-allocation of NH3 in power'!N31*'Indirect NH3 demand sources'!N$5</f>
        <v>0</v>
      </c>
      <c r="O31">
        <f>'Electricity shares'!O31*'Indirect NH3 demand sources'!O$5*(1-SUM('Pre-allocation of NH3 in power'!O31:O101))+'Pre-allocation of NH3 in power'!O31*'Indirect NH3 demand sources'!O$5</f>
        <v>0</v>
      </c>
      <c r="P31">
        <f>'Electricity shares'!P31*'Indirect NH3 demand sources'!P$5*(1-SUM('Pre-allocation of NH3 in power'!P31:P101))+'Pre-allocation of NH3 in power'!P31*'Indirect NH3 demand sources'!P$5</f>
        <v>0</v>
      </c>
      <c r="Q31">
        <f>'Electricity shares'!Q31*'Indirect NH3 demand sources'!Q$5*(1-SUM('Pre-allocation of NH3 in power'!Q31:Q101))+'Pre-allocation of NH3 in power'!Q31*'Indirect NH3 demand sources'!Q$5</f>
        <v>0</v>
      </c>
      <c r="R31">
        <f>'Electricity shares'!R31*'Indirect NH3 demand sources'!R$5*(1-SUM('Pre-allocation of NH3 in power'!R31:R101))+'Pre-allocation of NH3 in power'!R31*'Indirect NH3 demand sources'!R$5</f>
        <v>4.2485890768520783E-4</v>
      </c>
      <c r="S31">
        <f>'Electricity shares'!S31*'Indirect NH3 demand sources'!S$5*(1-SUM('Pre-allocation of NH3 in power'!S31:S101))+'Pre-allocation of NH3 in power'!S31*'Indirect NH3 demand sources'!S$5</f>
        <v>8.3812171759653465E-4</v>
      </c>
      <c r="T31">
        <f>'Electricity shares'!T31*'Indirect NH3 demand sources'!T$5*(1-SUM('Pre-allocation of NH3 in power'!T31:T101))+'Pre-allocation of NH3 in power'!T31*'Indirect NH3 demand sources'!T$5</f>
        <v>1.2400785196667796E-3</v>
      </c>
      <c r="U31">
        <f>'Electricity shares'!U31*'Indirect NH3 demand sources'!U$5*(1-SUM('Pre-allocation of NH3 in power'!U31:U101))+'Pre-allocation of NH3 in power'!U31*'Indirect NH3 demand sources'!U$5</f>
        <v>1.6312250171420179E-3</v>
      </c>
      <c r="V31">
        <f>'Electricity shares'!V31*'Indirect NH3 demand sources'!V$5*(1-SUM('Pre-allocation of NH3 in power'!V31:V101))+'Pre-allocation of NH3 in power'!V31*'Indirect NH3 demand sources'!V$5</f>
        <v>2.0127531845298276E-3</v>
      </c>
      <c r="W31">
        <f>'Electricity shares'!W31*'Indirect NH3 demand sources'!W$5*(1-SUM('Pre-allocation of NH3 in power'!W31:W101))+'Pre-allocation of NH3 in power'!W31*'Indirect NH3 demand sources'!W$5</f>
        <v>2.992137825839983E-3</v>
      </c>
      <c r="X31">
        <f>'Electricity shares'!X31*'Indirect NH3 demand sources'!X$5*(1-SUM('Pre-allocation of NH3 in power'!X31:X101))+'Pre-allocation of NH3 in power'!X31*'Indirect NH3 demand sources'!X$5</f>
        <v>3.9547653659396994E-3</v>
      </c>
      <c r="Y31">
        <f>'Electricity shares'!Y31*'Indirect NH3 demand sources'!Y$5*(1-SUM('Pre-allocation of NH3 in power'!Y31:Y101))+'Pre-allocation of NH3 in power'!Y31*'Indirect NH3 demand sources'!Y$5</f>
        <v>4.9015676413045111E-3</v>
      </c>
      <c r="Z31">
        <f>'Electricity shares'!Z31*'Indirect NH3 demand sources'!Z$5*(1-SUM('Pre-allocation of NH3 in power'!Z31:Z101))+'Pre-allocation of NH3 in power'!Z31*'Indirect NH3 demand sources'!Z$5</f>
        <v>5.832737709239191E-3</v>
      </c>
      <c r="AA31">
        <f>'Electricity shares'!AA31*'Indirect NH3 demand sources'!AA$5*(1-SUM('Pre-allocation of NH3 in power'!AA31:AA101))+'Pre-allocation of NH3 in power'!AA31*'Indirect NH3 demand sources'!AA$5</f>
        <v>6.7488366091037096E-3</v>
      </c>
      <c r="AB31">
        <f>'Electricity shares'!AB31*'Indirect NH3 demand sources'!AB$5*(1-SUM('Pre-allocation of NH3 in power'!AB31:AB101))+'Pre-allocation of NH3 in power'!AB31*'Indirect NH3 demand sources'!AB$5</f>
        <v>7.6624818117889491E-3</v>
      </c>
      <c r="AC31">
        <f>'Electricity shares'!AC31*'Indirect NH3 demand sources'!AC$5*(1-SUM('Pre-allocation of NH3 in power'!AC31:AC101))+'Pre-allocation of NH3 in power'!AC31*'Indirect NH3 demand sources'!AC$5</f>
        <v>8.5607135192598445E-3</v>
      </c>
      <c r="AD31">
        <f>'Electricity shares'!AD31*'Indirect NH3 demand sources'!AD$5*(1-SUM('Pre-allocation of NH3 in power'!AD31:AD101))+'Pre-allocation of NH3 in power'!AD31*'Indirect NH3 demand sources'!AD$5</f>
        <v>9.4428103911282507E-3</v>
      </c>
      <c r="AE31">
        <f>'Electricity shares'!AE31*'Indirect NH3 demand sources'!AE$5*(1-SUM('Pre-allocation of NH3 in power'!AE31:AE101))+'Pre-allocation of NH3 in power'!AE31*'Indirect NH3 demand sources'!AE$5</f>
        <v>1.0307286601905727E-2</v>
      </c>
      <c r="AF31">
        <f>'Electricity shares'!AF31*'Indirect NH3 demand sources'!AF$5*(1-SUM('Pre-allocation of NH3 in power'!AF31:AF101))+'Pre-allocation of NH3 in power'!AF31*'Indirect NH3 demand sources'!AF$5</f>
        <v>1.1153698878383925E-2</v>
      </c>
      <c r="AG31">
        <f>'Electricity shares'!AG31*'Indirect NH3 demand sources'!AG$5*(1-SUM('Pre-allocation of NH3 in power'!AG31:AG101))+'Pre-allocation of NH3 in power'!AG31*'Indirect NH3 demand sources'!AG$5</f>
        <v>1.1793894688464451E-2</v>
      </c>
      <c r="AH31">
        <f>'Electricity shares'!AH31*'Indirect NH3 demand sources'!AH$5*(1-SUM('Pre-allocation of NH3 in power'!AH31:AH101))+'Pre-allocation of NH3 in power'!AH31*'Indirect NH3 demand sources'!AH$5</f>
        <v>1.2418460595483493E-2</v>
      </c>
      <c r="AI31">
        <f>'Electricity shares'!AI31*'Indirect NH3 demand sources'!AI$5*(1-SUM('Pre-allocation of NH3 in power'!AI31:AI101))+'Pre-allocation of NH3 in power'!AI31*'Indirect NH3 demand sources'!AI$5</f>
        <v>1.3026835954224887E-2</v>
      </c>
      <c r="AJ31">
        <f>'Electricity shares'!AJ31*'Indirect NH3 demand sources'!AJ$5*(1-SUM('Pre-allocation of NH3 in power'!AJ31:AJ101))+'Pre-allocation of NH3 in power'!AJ31*'Indirect NH3 demand sources'!AJ$5</f>
        <v>1.3617414217949739E-2</v>
      </c>
      <c r="AK31">
        <f>'Electricity shares'!AK31*'Indirect NH3 demand sources'!AK$5*(1-SUM('Pre-allocation of NH3 in power'!AK31:AK101))+'Pre-allocation of NH3 in power'!AK31*'Indirect NH3 demand sources'!AK$5</f>
        <v>1.4194486950080925E-2</v>
      </c>
      <c r="AL31">
        <f>'Electricity shares'!AL31*'Indirect NH3 demand sources'!AL$5*(1-SUM('Pre-allocation of NH3 in power'!AL31:AL101))+'Pre-allocation of NH3 in power'!AL31*'Indirect NH3 demand sources'!AL$5</f>
        <v>1.4756737405198998E-2</v>
      </c>
      <c r="AM31">
        <f>'Electricity shares'!AM31*'Indirect NH3 demand sources'!AM$5*(1-SUM('Pre-allocation of NH3 in power'!AM31:AM101))+'Pre-allocation of NH3 in power'!AM31*'Indirect NH3 demand sources'!AM$5</f>
        <v>1.5303132161625344E-2</v>
      </c>
      <c r="AN31">
        <f>'Electricity shares'!AN31*'Indirect NH3 demand sources'!AN$5*(1-SUM('Pre-allocation of NH3 in power'!AN31:AN101))+'Pre-allocation of NH3 in power'!AN31*'Indirect NH3 demand sources'!AN$5</f>
        <v>1.5837224283446263E-2</v>
      </c>
      <c r="AO31">
        <f>'Electricity shares'!AO31*'Indirect NH3 demand sources'!AO$5*(1-SUM('Pre-allocation of NH3 in power'!AO31:AO101))+'Pre-allocation of NH3 in power'!AO31*'Indirect NH3 demand sources'!AO$5</f>
        <v>1.6363051706066323E-2</v>
      </c>
      <c r="AP31">
        <f>'Electricity shares'!AP31*'Indirect NH3 demand sources'!AP$5*(1-SUM('Pre-allocation of NH3 in power'!AP31:AP101))+'Pre-allocation of NH3 in power'!AP31*'Indirect NH3 demand sources'!AP$5</f>
        <v>1.688029865550672E-2</v>
      </c>
    </row>
    <row r="32" spans="1:42" x14ac:dyDescent="0.3">
      <c r="A32" t="s">
        <v>107</v>
      </c>
      <c r="B32">
        <f>'Electricity shares'!B32*'Indirect NH3 demand sources'!B$5*(1-SUM('Pre-allocation of NH3 in power'!B32:B102))+'Pre-allocation of NH3 in power'!B32*'Indirect NH3 demand sources'!B$5</f>
        <v>0</v>
      </c>
      <c r="C32">
        <f>'Electricity shares'!C32*'Indirect NH3 demand sources'!C$5*(1-SUM('Pre-allocation of NH3 in power'!C32:C102))+'Pre-allocation of NH3 in power'!C32*'Indirect NH3 demand sources'!C$5</f>
        <v>0</v>
      </c>
      <c r="D32">
        <f>'Electricity shares'!D32*'Indirect NH3 demand sources'!D$5*(1-SUM('Pre-allocation of NH3 in power'!D32:D102))+'Pre-allocation of NH3 in power'!D32*'Indirect NH3 demand sources'!D$5</f>
        <v>0</v>
      </c>
      <c r="E32">
        <f>'Electricity shares'!E32*'Indirect NH3 demand sources'!E$5*(1-SUM('Pre-allocation of NH3 in power'!E32:E102))+'Pre-allocation of NH3 in power'!E32*'Indirect NH3 demand sources'!E$5</f>
        <v>0</v>
      </c>
      <c r="F32">
        <f>'Electricity shares'!F32*'Indirect NH3 demand sources'!F$5*(1-SUM('Pre-allocation of NH3 in power'!F32:F102))+'Pre-allocation of NH3 in power'!F32*'Indirect NH3 demand sources'!F$5</f>
        <v>0</v>
      </c>
      <c r="G32">
        <f>'Electricity shares'!G32*'Indirect NH3 demand sources'!G$5*(1-SUM('Pre-allocation of NH3 in power'!G32:G102))+'Pre-allocation of NH3 in power'!G32*'Indirect NH3 demand sources'!G$5</f>
        <v>0</v>
      </c>
      <c r="H32">
        <f>'Electricity shares'!H32*'Indirect NH3 demand sources'!H$5*(1-SUM('Pre-allocation of NH3 in power'!H32:H102))+'Pre-allocation of NH3 in power'!H32*'Indirect NH3 demand sources'!H$5</f>
        <v>0</v>
      </c>
      <c r="I32">
        <f>'Electricity shares'!I32*'Indirect NH3 demand sources'!I$5*(1-SUM('Pre-allocation of NH3 in power'!I32:I102))+'Pre-allocation of NH3 in power'!I32*'Indirect NH3 demand sources'!I$5</f>
        <v>0</v>
      </c>
      <c r="J32">
        <f>'Electricity shares'!J32*'Indirect NH3 demand sources'!J$5*(1-SUM('Pre-allocation of NH3 in power'!J32:J102))+'Pre-allocation of NH3 in power'!J32*'Indirect NH3 demand sources'!J$5</f>
        <v>0</v>
      </c>
      <c r="K32">
        <f>'Electricity shares'!K32*'Indirect NH3 demand sources'!K$5*(1-SUM('Pre-allocation of NH3 in power'!K32:K102))+'Pre-allocation of NH3 in power'!K32*'Indirect NH3 demand sources'!K$5</f>
        <v>0</v>
      </c>
      <c r="L32">
        <f>'Electricity shares'!L32*'Indirect NH3 demand sources'!L$5*(1-SUM('Pre-allocation of NH3 in power'!L32:L102))+'Pre-allocation of NH3 in power'!L32*'Indirect NH3 demand sources'!L$5</f>
        <v>0</v>
      </c>
      <c r="M32">
        <f>'Electricity shares'!M32*'Indirect NH3 demand sources'!M$5*(1-SUM('Pre-allocation of NH3 in power'!M32:M102))+'Pre-allocation of NH3 in power'!M32*'Indirect NH3 demand sources'!M$5</f>
        <v>0</v>
      </c>
      <c r="N32">
        <f>'Electricity shares'!N32*'Indirect NH3 demand sources'!N$5*(1-SUM('Pre-allocation of NH3 in power'!N32:N102))+'Pre-allocation of NH3 in power'!N32*'Indirect NH3 demand sources'!N$5</f>
        <v>0</v>
      </c>
      <c r="O32">
        <f>'Electricity shares'!O32*'Indirect NH3 demand sources'!O$5*(1-SUM('Pre-allocation of NH3 in power'!O32:O102))+'Pre-allocation of NH3 in power'!O32*'Indirect NH3 demand sources'!O$5</f>
        <v>0</v>
      </c>
      <c r="P32">
        <f>'Electricity shares'!P32*'Indirect NH3 demand sources'!P$5*(1-SUM('Pre-allocation of NH3 in power'!P32:P102))+'Pre-allocation of NH3 in power'!P32*'Indirect NH3 demand sources'!P$5</f>
        <v>0</v>
      </c>
      <c r="Q32">
        <f>'Electricity shares'!Q32*'Indirect NH3 demand sources'!Q$5*(1-SUM('Pre-allocation of NH3 in power'!Q32:Q102))+'Pre-allocation of NH3 in power'!Q32*'Indirect NH3 demand sources'!Q$5</f>
        <v>0</v>
      </c>
      <c r="R32">
        <f>'Electricity shares'!R32*'Indirect NH3 demand sources'!R$5*(1-SUM('Pre-allocation of NH3 in power'!R32:R102))+'Pre-allocation of NH3 in power'!R32*'Indirect NH3 demand sources'!R$5</f>
        <v>1.299422800824656E-4</v>
      </c>
      <c r="S32">
        <f>'Electricity shares'!S32*'Indirect NH3 demand sources'!S$5*(1-SUM('Pre-allocation of NH3 in power'!S32:S102))+'Pre-allocation of NH3 in power'!S32*'Indirect NH3 demand sources'!S$5</f>
        <v>2.5612777622286814E-4</v>
      </c>
      <c r="T32">
        <f>'Electricity shares'!T32*'Indirect NH3 demand sources'!T$5*(1-SUM('Pre-allocation of NH3 in power'!T32:T102))+'Pre-allocation of NH3 in power'!T32*'Indirect NH3 demand sources'!T$5</f>
        <v>3.7830267471947946E-4</v>
      </c>
      <c r="U32">
        <f>'Electricity shares'!U32*'Indirect NH3 demand sources'!U$5*(1-SUM('Pre-allocation of NH3 in power'!U32:U102))+'Pre-allocation of NH3 in power'!U32*'Indirect NH3 demand sources'!U$5</f>
        <v>4.9628729905018293E-4</v>
      </c>
      <c r="V32">
        <f>'Electricity shares'!V32*'Indirect NH3 demand sources'!V$5*(1-SUM('Pre-allocation of NH3 in power'!V32:V102))+'Pre-allocation of NH3 in power'!V32*'Indirect NH3 demand sources'!V$5</f>
        <v>6.1022027269582173E-4</v>
      </c>
      <c r="W32">
        <f>'Electricity shares'!W32*'Indirect NH3 demand sources'!W$5*(1-SUM('Pre-allocation of NH3 in power'!W32:W102))+'Pre-allocation of NH3 in power'!W32*'Indirect NH3 demand sources'!W$5</f>
        <v>9.030160487333395E-4</v>
      </c>
      <c r="X32">
        <f>'Electricity shares'!X32*'Indirect NH3 demand sources'!X$5*(1-SUM('Pre-allocation of NH3 in power'!X32:X102))+'Pre-allocation of NH3 in power'!X32*'Indirect NH3 demand sources'!X$5</f>
        <v>1.1870664292266647E-3</v>
      </c>
      <c r="Y32">
        <f>'Electricity shares'!Y32*'Indirect NH3 demand sources'!Y$5*(1-SUM('Pre-allocation of NH3 in power'!Y32:Y102))+'Pre-allocation of NH3 in power'!Y32*'Indirect NH3 demand sources'!Y$5</f>
        <v>1.4620801038618884E-3</v>
      </c>
      <c r="Z32">
        <f>'Electricity shares'!Z32*'Indirect NH3 demand sources'!Z$5*(1-SUM('Pre-allocation of NH3 in power'!Z32:Z102))+'Pre-allocation of NH3 in power'!Z32*'Indirect NH3 demand sources'!Z$5</f>
        <v>1.7276603698689809E-3</v>
      </c>
      <c r="AA32">
        <f>'Electricity shares'!AA32*'Indirect NH3 demand sources'!AA$5*(1-SUM('Pre-allocation of NH3 in power'!AA32:AA102))+'Pre-allocation of NH3 in power'!AA32*'Indirect NH3 demand sources'!AA$5</f>
        <v>1.9836065405598475E-3</v>
      </c>
      <c r="AB32">
        <f>'Electricity shares'!AB32*'Indirect NH3 demand sources'!AB$5*(1-SUM('Pre-allocation of NH3 in power'!AB32:AB102))+'Pre-allocation of NH3 in power'!AB32*'Indirect NH3 demand sources'!AB$5</f>
        <v>2.2364108021717846E-3</v>
      </c>
      <c r="AC32">
        <f>'Electricity shares'!AC32*'Indirect NH3 demand sources'!AC$5*(1-SUM('Pre-allocation of NH3 in power'!AC32:AC102))+'Pre-allocation of NH3 in power'!AC32*'Indirect NH3 demand sources'!AC$5</f>
        <v>2.4806603855897988E-3</v>
      </c>
      <c r="AD32">
        <f>'Electricity shares'!AD32*'Indirect NH3 demand sources'!AD$5*(1-SUM('Pre-allocation of NH3 in power'!AD32:AD102))+'Pre-allocation of NH3 in power'!AD32*'Indirect NH3 demand sources'!AD$5</f>
        <v>2.7162701473860897E-3</v>
      </c>
      <c r="AE32">
        <f>'Electricity shares'!AE32*'Indirect NH3 demand sources'!AE$5*(1-SUM('Pre-allocation of NH3 in power'!AE32:AE102))+'Pre-allocation of NH3 in power'!AE32*'Indirect NH3 demand sources'!AE$5</f>
        <v>2.9427166915102338E-3</v>
      </c>
      <c r="AF32">
        <f>'Electricity shares'!AF32*'Indirect NH3 demand sources'!AF$5*(1-SUM('Pre-allocation of NH3 in power'!AF32:AF102))+'Pre-allocation of NH3 in power'!AF32*'Indirect NH3 demand sources'!AF$5</f>
        <v>3.1600026991748633E-3</v>
      </c>
      <c r="AG32">
        <f>'Electricity shares'!AG32*'Indirect NH3 demand sources'!AG$5*(1-SUM('Pre-allocation of NH3 in power'!AG32:AG102))+'Pre-allocation of NH3 in power'!AG32*'Indirect NH3 demand sources'!AG$5</f>
        <v>3.3157348615989405E-3</v>
      </c>
      <c r="AH32">
        <f>'Electricity shares'!AH32*'Indirect NH3 demand sources'!AH$5*(1-SUM('Pre-allocation of NH3 in power'!AH32:AH102))+'Pre-allocation of NH3 in power'!AH32*'Indirect NH3 demand sources'!AH$5</f>
        <v>3.4642753015339954E-3</v>
      </c>
      <c r="AI32">
        <f>'Electricity shares'!AI32*'Indirect NH3 demand sources'!AI$5*(1-SUM('Pre-allocation of NH3 in power'!AI32:AI102))+'Pre-allocation of NH3 in power'!AI32*'Indirect NH3 demand sources'!AI$5</f>
        <v>3.6054716577685266E-3</v>
      </c>
      <c r="AJ32">
        <f>'Electricity shares'!AJ32*'Indirect NH3 demand sources'!AJ$5*(1-SUM('Pre-allocation of NH3 in power'!AJ32:AJ102))+'Pre-allocation of NH3 in power'!AJ32*'Indirect NH3 demand sources'!AJ$5</f>
        <v>3.7391111663144516E-3</v>
      </c>
      <c r="AK32">
        <f>'Electricity shares'!AK32*'Indirect NH3 demand sources'!AK$5*(1-SUM('Pre-allocation of NH3 in power'!AK32:AK102))+'Pre-allocation of NH3 in power'!AK32*'Indirect NH3 demand sources'!AK$5</f>
        <v>3.8663943412856482E-3</v>
      </c>
      <c r="AL32">
        <f>'Electricity shares'!AL32*'Indirect NH3 demand sources'!AL$5*(1-SUM('Pre-allocation of NH3 in power'!AL32:AL102))+'Pre-allocation of NH3 in power'!AL32*'Indirect NH3 demand sources'!AL$5</f>
        <v>3.9871996602652438E-3</v>
      </c>
      <c r="AM32">
        <f>'Electricity shares'!AM32*'Indirect NH3 demand sources'!AM$5*(1-SUM('Pre-allocation of NH3 in power'!AM32:AM102))+'Pre-allocation of NH3 in power'!AM32*'Indirect NH3 demand sources'!AM$5</f>
        <v>4.100955827762002E-3</v>
      </c>
      <c r="AN32">
        <f>'Electricity shares'!AN32*'Indirect NH3 demand sources'!AN$5*(1-SUM('Pre-allocation of NH3 in power'!AN32:AN102))+'Pre-allocation of NH3 in power'!AN32*'Indirect NH3 demand sources'!AN$5</f>
        <v>4.2089586589027358E-3</v>
      </c>
      <c r="AO32">
        <f>'Electricity shares'!AO32*'Indirect NH3 demand sources'!AO$5*(1-SUM('Pre-allocation of NH3 in power'!AO32:AO102))+'Pre-allocation of NH3 in power'!AO32*'Indirect NH3 demand sources'!AO$5</f>
        <v>4.3116603903244483E-3</v>
      </c>
      <c r="AP32">
        <f>'Electricity shares'!AP32*'Indirect NH3 demand sources'!AP$5*(1-SUM('Pre-allocation of NH3 in power'!AP32:AP102))+'Pre-allocation of NH3 in power'!AP32*'Indirect NH3 demand sources'!AP$5</f>
        <v>4.4090180524074792E-3</v>
      </c>
    </row>
    <row r="33" spans="1:42" x14ac:dyDescent="0.3">
      <c r="A33" t="s">
        <v>108</v>
      </c>
      <c r="B33">
        <f>'Electricity shares'!B33*'Indirect NH3 demand sources'!B$5*(1-SUM('Pre-allocation of NH3 in power'!B33:B103))+'Pre-allocation of NH3 in power'!B33*'Indirect NH3 demand sources'!B$5</f>
        <v>0</v>
      </c>
      <c r="C33">
        <f>'Electricity shares'!C33*'Indirect NH3 demand sources'!C$5*(1-SUM('Pre-allocation of NH3 in power'!C33:C103))+'Pre-allocation of NH3 in power'!C33*'Indirect NH3 demand sources'!C$5</f>
        <v>0</v>
      </c>
      <c r="D33">
        <f>'Electricity shares'!D33*'Indirect NH3 demand sources'!D$5*(1-SUM('Pre-allocation of NH3 in power'!D33:D103))+'Pre-allocation of NH3 in power'!D33*'Indirect NH3 demand sources'!D$5</f>
        <v>0</v>
      </c>
      <c r="E33">
        <f>'Electricity shares'!E33*'Indirect NH3 demand sources'!E$5*(1-SUM('Pre-allocation of NH3 in power'!E33:E103))+'Pre-allocation of NH3 in power'!E33*'Indirect NH3 demand sources'!E$5</f>
        <v>0</v>
      </c>
      <c r="F33">
        <f>'Electricity shares'!F33*'Indirect NH3 demand sources'!F$5*(1-SUM('Pre-allocation of NH3 in power'!F33:F103))+'Pre-allocation of NH3 in power'!F33*'Indirect NH3 demand sources'!F$5</f>
        <v>0</v>
      </c>
      <c r="G33">
        <f>'Electricity shares'!G33*'Indirect NH3 demand sources'!G$5*(1-SUM('Pre-allocation of NH3 in power'!G33:G103))+'Pre-allocation of NH3 in power'!G33*'Indirect NH3 demand sources'!G$5</f>
        <v>0</v>
      </c>
      <c r="H33">
        <f>'Electricity shares'!H33*'Indirect NH3 demand sources'!H$5*(1-SUM('Pre-allocation of NH3 in power'!H33:H103))+'Pre-allocation of NH3 in power'!H33*'Indirect NH3 demand sources'!H$5</f>
        <v>0</v>
      </c>
      <c r="I33">
        <f>'Electricity shares'!I33*'Indirect NH3 demand sources'!I$5*(1-SUM('Pre-allocation of NH3 in power'!I33:I103))+'Pre-allocation of NH3 in power'!I33*'Indirect NH3 demand sources'!I$5</f>
        <v>0</v>
      </c>
      <c r="J33">
        <f>'Electricity shares'!J33*'Indirect NH3 demand sources'!J$5*(1-SUM('Pre-allocation of NH3 in power'!J33:J103))+'Pre-allocation of NH3 in power'!J33*'Indirect NH3 demand sources'!J$5</f>
        <v>0</v>
      </c>
      <c r="K33">
        <f>'Electricity shares'!K33*'Indirect NH3 demand sources'!K$5*(1-SUM('Pre-allocation of NH3 in power'!K33:K103))+'Pre-allocation of NH3 in power'!K33*'Indirect NH3 demand sources'!K$5</f>
        <v>0</v>
      </c>
      <c r="L33">
        <f>'Electricity shares'!L33*'Indirect NH3 demand sources'!L$5*(1-SUM('Pre-allocation of NH3 in power'!L33:L103))+'Pre-allocation of NH3 in power'!L33*'Indirect NH3 demand sources'!L$5</f>
        <v>0</v>
      </c>
      <c r="M33">
        <f>'Electricity shares'!M33*'Indirect NH3 demand sources'!M$5*(1-SUM('Pre-allocation of NH3 in power'!M33:M103))+'Pre-allocation of NH3 in power'!M33*'Indirect NH3 demand sources'!M$5</f>
        <v>0</v>
      </c>
      <c r="N33">
        <f>'Electricity shares'!N33*'Indirect NH3 demand sources'!N$5*(1-SUM('Pre-allocation of NH3 in power'!N33:N103))+'Pre-allocation of NH3 in power'!N33*'Indirect NH3 demand sources'!N$5</f>
        <v>0</v>
      </c>
      <c r="O33">
        <f>'Electricity shares'!O33*'Indirect NH3 demand sources'!O$5*(1-SUM('Pre-allocation of NH3 in power'!O33:O103))+'Pre-allocation of NH3 in power'!O33*'Indirect NH3 demand sources'!O$5</f>
        <v>0</v>
      </c>
      <c r="P33">
        <f>'Electricity shares'!P33*'Indirect NH3 demand sources'!P$5*(1-SUM('Pre-allocation of NH3 in power'!P33:P103))+'Pre-allocation of NH3 in power'!P33*'Indirect NH3 demand sources'!P$5</f>
        <v>0</v>
      </c>
      <c r="Q33">
        <f>'Electricity shares'!Q33*'Indirect NH3 demand sources'!Q$5*(1-SUM('Pre-allocation of NH3 in power'!Q33:Q103))+'Pre-allocation of NH3 in power'!Q33*'Indirect NH3 demand sources'!Q$5</f>
        <v>0</v>
      </c>
      <c r="R33">
        <f>'Electricity shares'!R33*'Indirect NH3 demand sources'!R$5*(1-SUM('Pre-allocation of NH3 in power'!R33:R103))+'Pre-allocation of NH3 in power'!R33*'Indirect NH3 demand sources'!R$5</f>
        <v>9.3456667984545723E-5</v>
      </c>
      <c r="S33">
        <f>'Electricity shares'!S33*'Indirect NH3 demand sources'!S$5*(1-SUM('Pre-allocation of NH3 in power'!S33:S103))+'Pre-allocation of NH3 in power'!S33*'Indirect NH3 demand sources'!S$5</f>
        <v>1.9025692531059827E-4</v>
      </c>
      <c r="T33">
        <f>'Electricity shares'!T33*'Indirect NH3 demand sources'!T$5*(1-SUM('Pre-allocation of NH3 in power'!T33:T103))+'Pre-allocation of NH3 in power'!T33*'Indirect NH3 demand sources'!T$5</f>
        <v>2.9414845725325755E-4</v>
      </c>
      <c r="U33">
        <f>'Electricity shares'!U33*'Indirect NH3 demand sources'!U$5*(1-SUM('Pre-allocation of NH3 in power'!U33:U103))+'Pre-allocation of NH3 in power'!U33*'Indirect NH3 demand sources'!U$5</f>
        <v>4.1033701545765169E-4</v>
      </c>
      <c r="V33">
        <f>'Electricity shares'!V33*'Indirect NH3 demand sources'!V$5*(1-SUM('Pre-allocation of NH3 in power'!V33:V103))+'Pre-allocation of NH3 in power'!V33*'Indirect NH3 demand sources'!V$5</f>
        <v>5.4669695916346561E-4</v>
      </c>
      <c r="W33">
        <f>'Electricity shares'!W33*'Indirect NH3 demand sources'!W$5*(1-SUM('Pre-allocation of NH3 in power'!W33:W103))+'Pre-allocation of NH3 in power'!W33*'Indirect NH3 demand sources'!W$5</f>
        <v>8.0751280266625619E-4</v>
      </c>
      <c r="X33">
        <f>'Electricity shares'!X33*'Indirect NH3 demand sources'!X$5*(1-SUM('Pre-allocation of NH3 in power'!X33:X103))+'Pre-allocation of NH3 in power'!X33*'Indirect NH3 demand sources'!X$5</f>
        <v>1.0600828038450844E-3</v>
      </c>
      <c r="Y33">
        <f>'Electricity shares'!Y33*'Indirect NH3 demand sources'!Y$5*(1-SUM('Pre-allocation of NH3 in power'!Y33:Y103))+'Pre-allocation of NH3 in power'!Y33*'Indirect NH3 demand sources'!Y$5</f>
        <v>1.3043438786779779E-3</v>
      </c>
      <c r="Z33">
        <f>'Electricity shares'!Z33*'Indirect NH3 demand sources'!Z$5*(1-SUM('Pre-allocation of NH3 in power'!Z33:Z103))+'Pre-allocation of NH3 in power'!Z33*'Indirect NH3 demand sources'!Z$5</f>
        <v>1.5403697830683617E-3</v>
      </c>
      <c r="AA33">
        <f>'Electricity shares'!AA33*'Indirect NH3 demand sources'!AA$5*(1-SUM('Pre-allocation of NH3 in power'!AA33:AA103))+'Pre-allocation of NH3 in power'!AA33*'Indirect NH3 demand sources'!AA$5</f>
        <v>1.7673265131364023E-3</v>
      </c>
      <c r="AB33">
        <f>'Electricity shares'!AB33*'Indirect NH3 demand sources'!AB$5*(1-SUM('Pre-allocation of NH3 in power'!AB33:AB103))+'Pre-allocation of NH3 in power'!AB33*'Indirect NH3 demand sources'!AB$5</f>
        <v>1.9929438938936592E-3</v>
      </c>
      <c r="AC33">
        <f>'Electricity shares'!AC33*'Indirect NH3 demand sources'!AC$5*(1-SUM('Pre-allocation of NH3 in power'!AC33:AC103))+'Pre-allocation of NH3 in power'!AC33*'Indirect NH3 demand sources'!AC$5</f>
        <v>2.2118784276557368E-3</v>
      </c>
      <c r="AD33">
        <f>'Electricity shares'!AD33*'Indirect NH3 demand sources'!AD$5*(1-SUM('Pre-allocation of NH3 in power'!AD33:AD103))+'Pre-allocation of NH3 in power'!AD33*'Indirect NH3 demand sources'!AD$5</f>
        <v>2.424526782097561E-3</v>
      </c>
      <c r="AE33">
        <f>'Electricity shares'!AE33*'Indirect NH3 demand sources'!AE$5*(1-SUM('Pre-allocation of NH3 in power'!AE33:AE103))+'Pre-allocation of NH3 in power'!AE33*'Indirect NH3 demand sources'!AE$5</f>
        <v>2.6305872233827257E-3</v>
      </c>
      <c r="AF33">
        <f>'Electricity shares'!AF33*'Indirect NH3 demand sources'!AF$5*(1-SUM('Pre-allocation of NH3 in power'!AF33:AF103))+'Pre-allocation of NH3 in power'!AF33*'Indirect NH3 demand sources'!AF$5</f>
        <v>2.8297946276740213E-3</v>
      </c>
      <c r="AG33">
        <f>'Electricity shares'!AG33*'Indirect NH3 demand sources'!AG$5*(1-SUM('Pre-allocation of NH3 in power'!AG33:AG103))+'Pre-allocation of NH3 in power'!AG33*'Indirect NH3 demand sources'!AG$5</f>
        <v>2.9741674450338195E-3</v>
      </c>
      <c r="AH33">
        <f>'Electricity shares'!AH33*'Indirect NH3 demand sources'!AH$5*(1-SUM('Pre-allocation of NH3 in power'!AH33:AH103))+'Pre-allocation of NH3 in power'!AH33*'Indirect NH3 demand sources'!AH$5</f>
        <v>3.1129025763942208E-3</v>
      </c>
      <c r="AI33">
        <f>'Electricity shares'!AI33*'Indirect NH3 demand sources'!AI$5*(1-SUM('Pre-allocation of NH3 in power'!AI33:AI103))+'Pre-allocation of NH3 in power'!AI33*'Indirect NH3 demand sources'!AI$5</f>
        <v>3.2463100895303854E-3</v>
      </c>
      <c r="AJ33">
        <f>'Electricity shares'!AJ33*'Indirect NH3 demand sources'!AJ$5*(1-SUM('Pre-allocation of NH3 in power'!AJ33:AJ103))+'Pre-allocation of NH3 in power'!AJ33*'Indirect NH3 demand sources'!AJ$5</f>
        <v>3.374198343316365E-3</v>
      </c>
      <c r="AK33">
        <f>'Electricity shares'!AK33*'Indirect NH3 demand sources'!AK$5*(1-SUM('Pre-allocation of NH3 in power'!AK33:AK103))+'Pre-allocation of NH3 in power'!AK33*'Indirect NH3 demand sources'!AK$5</f>
        <v>3.4975637633400084E-3</v>
      </c>
      <c r="AL33">
        <f>'Electricity shares'!AL33*'Indirect NH3 demand sources'!AL$5*(1-SUM('Pre-allocation of NH3 in power'!AL33:AL103))+'Pre-allocation of NH3 in power'!AL33*'Indirect NH3 demand sources'!AL$5</f>
        <v>3.630423651642214E-3</v>
      </c>
      <c r="AM33">
        <f>'Electricity shares'!AM33*'Indirect NH3 demand sources'!AM$5*(1-SUM('Pre-allocation of NH3 in power'!AM33:AM103))+'Pre-allocation of NH3 in power'!AM33*'Indirect NH3 demand sources'!AM$5</f>
        <v>3.7588192841739145E-3</v>
      </c>
      <c r="AN33">
        <f>'Electricity shares'!AN33*'Indirect NH3 demand sources'!AN$5*(1-SUM('Pre-allocation of NH3 in power'!AN33:AN103))+'Pre-allocation of NH3 in power'!AN33*'Indirect NH3 demand sources'!AN$5</f>
        <v>3.8844778486038811E-3</v>
      </c>
      <c r="AO33">
        <f>'Electricity shares'!AO33*'Indirect NH3 demand sources'!AO$5*(1-SUM('Pre-allocation of NH3 in power'!AO33:AO103))+'Pre-allocation of NH3 in power'!AO33*'Indirect NH3 demand sources'!AO$5</f>
        <v>4.0076777149273494E-3</v>
      </c>
      <c r="AP33">
        <f>'Electricity shares'!AP33*'Indirect NH3 demand sources'!AP$5*(1-SUM('Pre-allocation of NH3 in power'!AP33:AP103))+'Pre-allocation of NH3 in power'!AP33*'Indirect NH3 demand sources'!AP$5</f>
        <v>4.1281142179498921E-3</v>
      </c>
    </row>
    <row r="34" spans="1:42" x14ac:dyDescent="0.3">
      <c r="A34" t="s">
        <v>109</v>
      </c>
      <c r="B34">
        <f>'Electricity shares'!B34*'Indirect NH3 demand sources'!B$5*(1-SUM('Pre-allocation of NH3 in power'!B34:B104))+'Pre-allocation of NH3 in power'!B34*'Indirect NH3 demand sources'!B$5</f>
        <v>0</v>
      </c>
      <c r="C34">
        <f>'Electricity shares'!C34*'Indirect NH3 demand sources'!C$5*(1-SUM('Pre-allocation of NH3 in power'!C34:C104))+'Pre-allocation of NH3 in power'!C34*'Indirect NH3 demand sources'!C$5</f>
        <v>0</v>
      </c>
      <c r="D34">
        <f>'Electricity shares'!D34*'Indirect NH3 demand sources'!D$5*(1-SUM('Pre-allocation of NH3 in power'!D34:D104))+'Pre-allocation of NH3 in power'!D34*'Indirect NH3 demand sources'!D$5</f>
        <v>0</v>
      </c>
      <c r="E34">
        <f>'Electricity shares'!E34*'Indirect NH3 demand sources'!E$5*(1-SUM('Pre-allocation of NH3 in power'!E34:E104))+'Pre-allocation of NH3 in power'!E34*'Indirect NH3 demand sources'!E$5</f>
        <v>0</v>
      </c>
      <c r="F34">
        <f>'Electricity shares'!F34*'Indirect NH3 demand sources'!F$5*(1-SUM('Pre-allocation of NH3 in power'!F34:F104))+'Pre-allocation of NH3 in power'!F34*'Indirect NH3 demand sources'!F$5</f>
        <v>0</v>
      </c>
      <c r="G34">
        <f>'Electricity shares'!G34*'Indirect NH3 demand sources'!G$5*(1-SUM('Pre-allocation of NH3 in power'!G34:G104))+'Pre-allocation of NH3 in power'!G34*'Indirect NH3 demand sources'!G$5</f>
        <v>0</v>
      </c>
      <c r="H34">
        <f>'Electricity shares'!H34*'Indirect NH3 demand sources'!H$5*(1-SUM('Pre-allocation of NH3 in power'!H34:H104))+'Pre-allocation of NH3 in power'!H34*'Indirect NH3 demand sources'!H$5</f>
        <v>0</v>
      </c>
      <c r="I34">
        <f>'Electricity shares'!I34*'Indirect NH3 demand sources'!I$5*(1-SUM('Pre-allocation of NH3 in power'!I34:I104))+'Pre-allocation of NH3 in power'!I34*'Indirect NH3 demand sources'!I$5</f>
        <v>0</v>
      </c>
      <c r="J34">
        <f>'Electricity shares'!J34*'Indirect NH3 demand sources'!J$5*(1-SUM('Pre-allocation of NH3 in power'!J34:J104))+'Pre-allocation of NH3 in power'!J34*'Indirect NH3 demand sources'!J$5</f>
        <v>0</v>
      </c>
      <c r="K34">
        <f>'Electricity shares'!K34*'Indirect NH3 demand sources'!K$5*(1-SUM('Pre-allocation of NH3 in power'!K34:K104))+'Pre-allocation of NH3 in power'!K34*'Indirect NH3 demand sources'!K$5</f>
        <v>0</v>
      </c>
      <c r="L34">
        <f>'Electricity shares'!L34*'Indirect NH3 demand sources'!L$5*(1-SUM('Pre-allocation of NH3 in power'!L34:L104))+'Pre-allocation of NH3 in power'!L34*'Indirect NH3 demand sources'!L$5</f>
        <v>0</v>
      </c>
      <c r="M34">
        <f>'Electricity shares'!M34*'Indirect NH3 demand sources'!M$5*(1-SUM('Pre-allocation of NH3 in power'!M34:M104))+'Pre-allocation of NH3 in power'!M34*'Indirect NH3 demand sources'!M$5</f>
        <v>0</v>
      </c>
      <c r="N34">
        <f>'Electricity shares'!N34*'Indirect NH3 demand sources'!N$5*(1-SUM('Pre-allocation of NH3 in power'!N34:N104))+'Pre-allocation of NH3 in power'!N34*'Indirect NH3 demand sources'!N$5</f>
        <v>0</v>
      </c>
      <c r="O34">
        <f>'Electricity shares'!O34*'Indirect NH3 demand sources'!O$5*(1-SUM('Pre-allocation of NH3 in power'!O34:O104))+'Pre-allocation of NH3 in power'!O34*'Indirect NH3 demand sources'!O$5</f>
        <v>0</v>
      </c>
      <c r="P34">
        <f>'Electricity shares'!P34*'Indirect NH3 demand sources'!P$5*(1-SUM('Pre-allocation of NH3 in power'!P34:P104))+'Pre-allocation of NH3 in power'!P34*'Indirect NH3 demand sources'!P$5</f>
        <v>0</v>
      </c>
      <c r="Q34">
        <f>'Electricity shares'!Q34*'Indirect NH3 demand sources'!Q$5*(1-SUM('Pre-allocation of NH3 in power'!Q34:Q104))+'Pre-allocation of NH3 in power'!Q34*'Indirect NH3 demand sources'!Q$5</f>
        <v>0</v>
      </c>
      <c r="R34">
        <f>'Electricity shares'!R34*'Indirect NH3 demand sources'!R$5*(1-SUM('Pre-allocation of NH3 in power'!R34:R104))+'Pre-allocation of NH3 in power'!R34*'Indirect NH3 demand sources'!R$5</f>
        <v>2.1005365380328948E-3</v>
      </c>
      <c r="S34">
        <f>'Electricity shares'!S34*'Indirect NH3 demand sources'!S$5*(1-SUM('Pre-allocation of NH3 in power'!S34:S104))+'Pre-allocation of NH3 in power'!S34*'Indirect NH3 demand sources'!S$5</f>
        <v>4.1469798506206714E-3</v>
      </c>
      <c r="T34">
        <f>'Electricity shares'!T34*'Indirect NH3 demand sources'!T$5*(1-SUM('Pre-allocation of NH3 in power'!T34:T104))+'Pre-allocation of NH3 in power'!T34*'Indirect NH3 demand sources'!T$5</f>
        <v>6.1376269187363077E-3</v>
      </c>
      <c r="U34">
        <f>'Electricity shares'!U34*'Indirect NH3 demand sources'!U$5*(1-SUM('Pre-allocation of NH3 in power'!U34:U104))+'Pre-allocation of NH3 in power'!U34*'Indirect NH3 demand sources'!U$5</f>
        <v>8.0719978842786269E-3</v>
      </c>
      <c r="V34">
        <f>'Electricity shares'!V34*'Indirect NH3 demand sources'!V$5*(1-SUM('Pre-allocation of NH3 in power'!V34:V104))+'Pre-allocation of NH3 in power'!V34*'Indirect NH3 demand sources'!V$5</f>
        <v>9.9535720901479229E-3</v>
      </c>
      <c r="W34">
        <f>'Electricity shares'!W34*'Indirect NH3 demand sources'!W$5*(1-SUM('Pre-allocation of NH3 in power'!W34:W104))+'Pre-allocation of NH3 in power'!W34*'Indirect NH3 demand sources'!W$5</f>
        <v>1.4746763991334722E-2</v>
      </c>
      <c r="X34">
        <f>'Electricity shares'!X34*'Indirect NH3 demand sources'!X$5*(1-SUM('Pre-allocation of NH3 in power'!X34:X104))+'Pre-allocation of NH3 in power'!X34*'Indirect NH3 demand sources'!X$5</f>
        <v>1.9414567955166252E-2</v>
      </c>
      <c r="Y34">
        <f>'Electricity shares'!Y34*'Indirect NH3 demand sources'!Y$5*(1-SUM('Pre-allocation of NH3 in power'!Y34:Y104))+'Pre-allocation of NH3 in power'!Y34*'Indirect NH3 demand sources'!Y$5</f>
        <v>2.3955327943573038E-2</v>
      </c>
      <c r="Z34">
        <f>'Electricity shares'!Z34*'Indirect NH3 demand sources'!Z$5*(1-SUM('Pre-allocation of NH3 in power'!Z34:Z104))+'Pre-allocation of NH3 in power'!Z34*'Indirect NH3 demand sources'!Z$5</f>
        <v>2.8354977226254595E-2</v>
      </c>
      <c r="AA34">
        <f>'Electricity shares'!AA34*'Indirect NH3 demand sources'!AA$5*(1-SUM('Pre-allocation of NH3 in power'!AA34:AA104))+'Pre-allocation of NH3 in power'!AA34*'Indirect NH3 demand sources'!AA$5</f>
        <v>3.2641149661324254E-2</v>
      </c>
      <c r="AB34">
        <f>'Electricity shares'!AB34*'Indirect NH3 demand sources'!AB$5*(1-SUM('Pre-allocation of NH3 in power'!AB34:AB104))+'Pre-allocation of NH3 in power'!AB34*'Indirect NH3 demand sources'!AB$5</f>
        <v>3.6881443083251447E-2</v>
      </c>
      <c r="AC34">
        <f>'Electricity shares'!AC34*'Indirect NH3 demand sources'!AC$5*(1-SUM('Pre-allocation of NH3 in power'!AC34:AC104))+'Pre-allocation of NH3 in power'!AC34*'Indirect NH3 demand sources'!AC$5</f>
        <v>4.1011750934553774E-2</v>
      </c>
      <c r="AD34">
        <f>'Electricity shares'!AD34*'Indirect NH3 demand sources'!AD$5*(1-SUM('Pre-allocation of NH3 in power'!AD34:AD104))+'Pre-allocation of NH3 in power'!AD34*'Indirect NH3 demand sources'!AD$5</f>
        <v>4.5034413496193172E-2</v>
      </c>
      <c r="AE34">
        <f>'Electricity shares'!AE34*'Indirect NH3 demand sources'!AE$5*(1-SUM('Pre-allocation of NH3 in power'!AE34:AE104))+'Pre-allocation of NH3 in power'!AE34*'Indirect NH3 demand sources'!AE$5</f>
        <v>4.8939099160376379E-2</v>
      </c>
      <c r="AF34">
        <f>'Electricity shares'!AF34*'Indirect NH3 demand sources'!AF$5*(1-SUM('Pre-allocation of NH3 in power'!AF34:AF104))+'Pre-allocation of NH3 in power'!AF34*'Indirect NH3 demand sources'!AF$5</f>
        <v>5.2761318183959884E-2</v>
      </c>
      <c r="AG34">
        <f>'Electricity shares'!AG34*'Indirect NH3 demand sources'!AG$5*(1-SUM('Pre-allocation of NH3 in power'!AG34:AG104))+'Pre-allocation of NH3 in power'!AG34*'Indirect NH3 demand sources'!AG$5</f>
        <v>5.5606018604169874E-2</v>
      </c>
      <c r="AH34">
        <f>'Electricity shares'!AH34*'Indirect NH3 demand sources'!AH$5*(1-SUM('Pre-allocation of NH3 in power'!AH34:AH104))+'Pre-allocation of NH3 in power'!AH34*'Indirect NH3 demand sources'!AH$5</f>
        <v>5.8366857565784566E-2</v>
      </c>
      <c r="AI34">
        <f>'Electricity shares'!AI34*'Indirect NH3 demand sources'!AI$5*(1-SUM('Pre-allocation of NH3 in power'!AI34:AI104))+'Pre-allocation of NH3 in power'!AI34*'Indirect NH3 demand sources'!AI$5</f>
        <v>6.1048852550896884E-2</v>
      </c>
      <c r="AJ34">
        <f>'Electricity shares'!AJ34*'Indirect NH3 demand sources'!AJ$5*(1-SUM('Pre-allocation of NH3 in power'!AJ34:AJ104))+'Pre-allocation of NH3 in power'!AJ34*'Indirect NH3 demand sources'!AJ$5</f>
        <v>6.3654341618838067E-2</v>
      </c>
      <c r="AK34">
        <f>'Electricity shares'!AK34*'Indirect NH3 demand sources'!AK$5*(1-SUM('Pre-allocation of NH3 in power'!AK34:AK104))+'Pre-allocation of NH3 in power'!AK34*'Indirect NH3 demand sources'!AK$5</f>
        <v>6.6188263370444214E-2</v>
      </c>
      <c r="AL34">
        <f>'Electricity shares'!AL34*'Indirect NH3 demand sources'!AL$5*(1-SUM('Pre-allocation of NH3 in power'!AL34:AL104))+'Pre-allocation of NH3 in power'!AL34*'Indirect NH3 demand sources'!AL$5</f>
        <v>6.8653032168784212E-2</v>
      </c>
      <c r="AM34">
        <f>'Electricity shares'!AM34*'Indirect NH3 demand sources'!AM$5*(1-SUM('Pre-allocation of NH3 in power'!AM34:AM104))+'Pre-allocation of NH3 in power'!AM34*'Indirect NH3 demand sources'!AM$5</f>
        <v>7.1036649684900532E-2</v>
      </c>
      <c r="AN34">
        <f>'Electricity shares'!AN34*'Indirect NH3 demand sources'!AN$5*(1-SUM('Pre-allocation of NH3 in power'!AN34:AN104))+'Pre-allocation of NH3 in power'!AN34*'Indirect NH3 demand sources'!AN$5</f>
        <v>7.3365339479614142E-2</v>
      </c>
      <c r="AO34">
        <f>'Electricity shares'!AO34*'Indirect NH3 demand sources'!AO$5*(1-SUM('Pre-allocation of NH3 in power'!AO34:AO104))+'Pre-allocation of NH3 in power'!AO34*'Indirect NH3 demand sources'!AO$5</f>
        <v>7.5602886850019757E-2</v>
      </c>
      <c r="AP34">
        <f>'Electricity shares'!AP34*'Indirect NH3 demand sources'!AP$5*(1-SUM('Pre-allocation of NH3 in power'!AP34:AP104))+'Pre-allocation of NH3 in power'!AP34*'Indirect NH3 demand sources'!AP$5</f>
        <v>7.7745548237511425E-2</v>
      </c>
    </row>
    <row r="35" spans="1:42" x14ac:dyDescent="0.3">
      <c r="A35" t="s">
        <v>110</v>
      </c>
      <c r="B35">
        <f>'Electricity shares'!B35*'Indirect NH3 demand sources'!B$5*(1-SUM('Pre-allocation of NH3 in power'!B35:B105))+'Pre-allocation of NH3 in power'!B35*'Indirect NH3 demand sources'!B$5</f>
        <v>0</v>
      </c>
      <c r="C35">
        <f>'Electricity shares'!C35*'Indirect NH3 demand sources'!C$5*(1-SUM('Pre-allocation of NH3 in power'!C35:C105))+'Pre-allocation of NH3 in power'!C35*'Indirect NH3 demand sources'!C$5</f>
        <v>0</v>
      </c>
      <c r="D35">
        <f>'Electricity shares'!D35*'Indirect NH3 demand sources'!D$5*(1-SUM('Pre-allocation of NH3 in power'!D35:D105))+'Pre-allocation of NH3 in power'!D35*'Indirect NH3 demand sources'!D$5</f>
        <v>0</v>
      </c>
      <c r="E35">
        <f>'Electricity shares'!E35*'Indirect NH3 demand sources'!E$5*(1-SUM('Pre-allocation of NH3 in power'!E35:E105))+'Pre-allocation of NH3 in power'!E35*'Indirect NH3 demand sources'!E$5</f>
        <v>0</v>
      </c>
      <c r="F35">
        <f>'Electricity shares'!F35*'Indirect NH3 demand sources'!F$5*(1-SUM('Pre-allocation of NH3 in power'!F35:F105))+'Pre-allocation of NH3 in power'!F35*'Indirect NH3 demand sources'!F$5</f>
        <v>0</v>
      </c>
      <c r="G35">
        <f>'Electricity shares'!G35*'Indirect NH3 demand sources'!G$5*(1-SUM('Pre-allocation of NH3 in power'!G35:G105))+'Pre-allocation of NH3 in power'!G35*'Indirect NH3 demand sources'!G$5</f>
        <v>0</v>
      </c>
      <c r="H35">
        <f>'Electricity shares'!H35*'Indirect NH3 demand sources'!H$5*(1-SUM('Pre-allocation of NH3 in power'!H35:H105))+'Pre-allocation of NH3 in power'!H35*'Indirect NH3 demand sources'!H$5</f>
        <v>0</v>
      </c>
      <c r="I35">
        <f>'Electricity shares'!I35*'Indirect NH3 demand sources'!I$5*(1-SUM('Pre-allocation of NH3 in power'!I35:I105))+'Pre-allocation of NH3 in power'!I35*'Indirect NH3 demand sources'!I$5</f>
        <v>0</v>
      </c>
      <c r="J35">
        <f>'Electricity shares'!J35*'Indirect NH3 demand sources'!J$5*(1-SUM('Pre-allocation of NH3 in power'!J35:J105))+'Pre-allocation of NH3 in power'!J35*'Indirect NH3 demand sources'!J$5</f>
        <v>0</v>
      </c>
      <c r="K35">
        <f>'Electricity shares'!K35*'Indirect NH3 demand sources'!K$5*(1-SUM('Pre-allocation of NH3 in power'!K35:K105))+'Pre-allocation of NH3 in power'!K35*'Indirect NH3 demand sources'!K$5</f>
        <v>0</v>
      </c>
      <c r="L35">
        <f>'Electricity shares'!L35*'Indirect NH3 demand sources'!L$5*(1-SUM('Pre-allocation of NH3 in power'!L35:L105))+'Pre-allocation of NH3 in power'!L35*'Indirect NH3 demand sources'!L$5</f>
        <v>0</v>
      </c>
      <c r="M35">
        <f>'Electricity shares'!M35*'Indirect NH3 demand sources'!M$5*(1-SUM('Pre-allocation of NH3 in power'!M35:M105))+'Pre-allocation of NH3 in power'!M35*'Indirect NH3 demand sources'!M$5</f>
        <v>0</v>
      </c>
      <c r="N35">
        <f>'Electricity shares'!N35*'Indirect NH3 demand sources'!N$5*(1-SUM('Pre-allocation of NH3 in power'!N35:N105))+'Pre-allocation of NH3 in power'!N35*'Indirect NH3 demand sources'!N$5</f>
        <v>0</v>
      </c>
      <c r="O35">
        <f>'Electricity shares'!O35*'Indirect NH3 demand sources'!O$5*(1-SUM('Pre-allocation of NH3 in power'!O35:O105))+'Pre-allocation of NH3 in power'!O35*'Indirect NH3 demand sources'!O$5</f>
        <v>0</v>
      </c>
      <c r="P35">
        <f>'Electricity shares'!P35*'Indirect NH3 demand sources'!P$5*(1-SUM('Pre-allocation of NH3 in power'!P35:P105))+'Pre-allocation of NH3 in power'!P35*'Indirect NH3 demand sources'!P$5</f>
        <v>0</v>
      </c>
      <c r="Q35">
        <f>'Electricity shares'!Q35*'Indirect NH3 demand sources'!Q$5*(1-SUM('Pre-allocation of NH3 in power'!Q35:Q105))+'Pre-allocation of NH3 in power'!Q35*'Indirect NH3 demand sources'!Q$5</f>
        <v>0</v>
      </c>
      <c r="R35">
        <f>'Electricity shares'!R35*'Indirect NH3 demand sources'!R$5*(1-SUM('Pre-allocation of NH3 in power'!R35:R105))+'Pre-allocation of NH3 in power'!R35*'Indirect NH3 demand sources'!R$5</f>
        <v>3.7376960028633578E-5</v>
      </c>
      <c r="S35">
        <f>'Electricity shares'!S35*'Indirect NH3 demand sources'!S$5*(1-SUM('Pre-allocation of NH3 in power'!S35:S105))+'Pre-allocation of NH3 in power'!S35*'Indirect NH3 demand sources'!S$5</f>
        <v>7.362665800700094E-5</v>
      </c>
      <c r="T35">
        <f>'Electricity shares'!T35*'Indirect NH3 demand sources'!T$5*(1-SUM('Pre-allocation of NH3 in power'!T35:T105))+'Pre-allocation of NH3 in power'!T35*'Indirect NH3 demand sources'!T$5</f>
        <v>1.0875526359622501E-4</v>
      </c>
      <c r="U35">
        <f>'Electricity shares'!U35*'Indirect NH3 demand sources'!U$5*(1-SUM('Pre-allocation of NH3 in power'!U35:U105))+'Pre-allocation of NH3 in power'!U35*'Indirect NH3 demand sources'!U$5</f>
        <v>1.4298233192451914E-4</v>
      </c>
      <c r="V35">
        <f>'Electricity shares'!V35*'Indirect NH3 demand sources'!V$5*(1-SUM('Pre-allocation of NH3 in power'!V35:V105))+'Pre-allocation of NH3 in power'!V35*'Indirect NH3 demand sources'!V$5</f>
        <v>1.7627400530467125E-4</v>
      </c>
      <c r="W35">
        <f>'Electricity shares'!W35*'Indirect NH3 demand sources'!W$5*(1-SUM('Pre-allocation of NH3 in power'!W35:W105))+'Pre-allocation of NH3 in power'!W35*'Indirect NH3 demand sources'!W$5</f>
        <v>2.604229419064799E-4</v>
      </c>
      <c r="X35">
        <f>'Electricity shares'!X35*'Indirect NH3 demand sources'!X$5*(1-SUM('Pre-allocation of NH3 in power'!X35:X105))+'Pre-allocation of NH3 in power'!X35*'Indirect NH3 demand sources'!X$5</f>
        <v>3.4291953685000408E-4</v>
      </c>
      <c r="Y35">
        <f>'Electricity shares'!Y35*'Indirect NH3 demand sources'!Y$5*(1-SUM('Pre-allocation of NH3 in power'!Y35:Y105))+'Pre-allocation of NH3 in power'!Y35*'Indirect NH3 demand sources'!Y$5</f>
        <v>4.2318042043132636E-4</v>
      </c>
      <c r="Z35">
        <f>'Electricity shares'!Z35*'Indirect NH3 demand sources'!Z$5*(1-SUM('Pre-allocation of NH3 in power'!Z35:Z105))+'Pre-allocation of NH3 in power'!Z35*'Indirect NH3 demand sources'!Z$5</f>
        <v>5.0067554925732291E-4</v>
      </c>
      <c r="AA35">
        <f>'Electricity shares'!AA35*'Indirect NH3 demand sources'!AA$5*(1-SUM('Pre-allocation of NH3 in power'!AA35:AA105))+'Pre-allocation of NH3 in power'!AA35*'Indirect NH3 demand sources'!AA$5</f>
        <v>5.7716275943844105E-4</v>
      </c>
      <c r="AB35">
        <f>'Electricity shares'!AB35*'Indirect NH3 demand sources'!AB$5*(1-SUM('Pre-allocation of NH3 in power'!AB35:AB105))+'Pre-allocation of NH3 in power'!AB35*'Indirect NH3 demand sources'!AB$5</f>
        <v>6.5329105170942089E-4</v>
      </c>
      <c r="AC35">
        <f>'Electricity shares'!AC35*'Indirect NH3 demand sources'!AC$5*(1-SUM('Pre-allocation of NH3 in power'!AC35:AC105))+'Pre-allocation of NH3 in power'!AC35*'Indirect NH3 demand sources'!AC$5</f>
        <v>7.2787892820860801E-4</v>
      </c>
      <c r="AD35">
        <f>'Electricity shares'!AD35*'Indirect NH3 demand sources'!AD$5*(1-SUM('Pre-allocation of NH3 in power'!AD35:AD105))+'Pre-allocation of NH3 in power'!AD35*'Indirect NH3 demand sources'!AD$5</f>
        <v>8.0050910173205662E-4</v>
      </c>
      <c r="AE35">
        <f>'Electricity shares'!AE35*'Indirect NH3 demand sources'!AE$5*(1-SUM('Pre-allocation of NH3 in power'!AE35:AE105))+'Pre-allocation of NH3 in power'!AE35*'Indirect NH3 demand sources'!AE$5</f>
        <v>8.7115854300565739E-4</v>
      </c>
      <c r="AF35">
        <f>'Electricity shares'!AF35*'Indirect NH3 demand sources'!AF$5*(1-SUM('Pre-allocation of NH3 in power'!AF35:AF105))+'Pre-allocation of NH3 in power'!AF35*'Indirect NH3 demand sources'!AF$5</f>
        <v>9.4062181945730322E-4</v>
      </c>
      <c r="AG35">
        <f>'Electricity shares'!AG35*'Indirect NH3 demand sources'!AG$5*(1-SUM('Pre-allocation of NH3 in power'!AG35:AG105))+'Pre-allocation of NH3 in power'!AG35*'Indirect NH3 demand sources'!AG$5</f>
        <v>9.928260566045336E-4</v>
      </c>
      <c r="AH35">
        <f>'Electricity shares'!AH35*'Indirect NH3 demand sources'!AH$5*(1-SUM('Pre-allocation of NH3 in power'!AH35:AH105))+'Pre-allocation of NH3 in power'!AH35*'Indirect NH3 demand sources'!AH$5</f>
        <v>1.0428377770101854E-3</v>
      </c>
      <c r="AI35">
        <f>'Electricity shares'!AI35*'Indirect NH3 demand sources'!AI$5*(1-SUM('Pre-allocation of NH3 in power'!AI35:AI105))+'Pre-allocation of NH3 in power'!AI35*'Indirect NH3 demand sources'!AI$5</f>
        <v>1.0912999555396149E-3</v>
      </c>
      <c r="AJ35">
        <f>'Electricity shares'!AJ35*'Indirect NH3 demand sources'!AJ$5*(1-SUM('Pre-allocation of NH3 in power'!AJ35:AJ105))+'Pre-allocation of NH3 in power'!AJ35*'Indirect NH3 demand sources'!AJ$5</f>
        <v>1.1379784601877735E-3</v>
      </c>
      <c r="AK35">
        <f>'Electricity shares'!AK35*'Indirect NH3 demand sources'!AK$5*(1-SUM('Pre-allocation of NH3 in power'!AK35:AK105))+'Pre-allocation of NH3 in power'!AK35*'Indirect NH3 demand sources'!AK$5</f>
        <v>1.1830587229918258E-3</v>
      </c>
      <c r="AL35">
        <f>'Electricity shares'!AL35*'Indirect NH3 demand sources'!AL$5*(1-SUM('Pre-allocation of NH3 in power'!AL35:AL105))+'Pre-allocation of NH3 in power'!AL35*'Indirect NH3 demand sources'!AL$5</f>
        <v>1.226316813259395E-3</v>
      </c>
      <c r="AM35">
        <f>'Electricity shares'!AM35*'Indirect NH3 demand sources'!AM$5*(1-SUM('Pre-allocation of NH3 in power'!AM35:AM105))+'Pre-allocation of NH3 in power'!AM35*'Indirect NH3 demand sources'!AM$5</f>
        <v>1.26725767984805E-3</v>
      </c>
      <c r="AN35">
        <f>'Electricity shares'!AN35*'Indirect NH3 demand sources'!AN$5*(1-SUM('Pre-allocation of NH3 in power'!AN35:AN105))+'Pre-allocation of NH3 in power'!AN35*'Indirect NH3 demand sources'!AN$5</f>
        <v>1.3063813891011982E-3</v>
      </c>
      <c r="AO35">
        <f>'Electricity shares'!AO35*'Indirect NH3 demand sources'!AO$5*(1-SUM('Pre-allocation of NH3 in power'!AO35:AO105))+'Pre-allocation of NH3 in power'!AO35*'Indirect NH3 demand sources'!AO$5</f>
        <v>1.3434944957347039E-3</v>
      </c>
      <c r="AP35">
        <f>'Electricity shares'!AP35*'Indirect NH3 demand sources'!AP$5*(1-SUM('Pre-allocation of NH3 in power'!AP35:AP105))+'Pre-allocation of NH3 in power'!AP35*'Indirect NH3 demand sources'!AP$5</f>
        <v>1.3788326514888689E-3</v>
      </c>
    </row>
    <row r="36" spans="1:42" x14ac:dyDescent="0.3">
      <c r="A36" t="s">
        <v>111</v>
      </c>
      <c r="B36">
        <f>'Electricity shares'!B36*'Indirect NH3 demand sources'!B$5*(1-SUM('Pre-allocation of NH3 in power'!B36:B106))+'Pre-allocation of NH3 in power'!B36*'Indirect NH3 demand sources'!B$5</f>
        <v>0</v>
      </c>
      <c r="C36">
        <f>'Electricity shares'!C36*'Indirect NH3 demand sources'!C$5*(1-SUM('Pre-allocation of NH3 in power'!C36:C106))+'Pre-allocation of NH3 in power'!C36*'Indirect NH3 demand sources'!C$5</f>
        <v>0</v>
      </c>
      <c r="D36">
        <f>'Electricity shares'!D36*'Indirect NH3 demand sources'!D$5*(1-SUM('Pre-allocation of NH3 in power'!D36:D106))+'Pre-allocation of NH3 in power'!D36*'Indirect NH3 demand sources'!D$5</f>
        <v>0</v>
      </c>
      <c r="E36">
        <f>'Electricity shares'!E36*'Indirect NH3 demand sources'!E$5*(1-SUM('Pre-allocation of NH3 in power'!E36:E106))+'Pre-allocation of NH3 in power'!E36*'Indirect NH3 demand sources'!E$5</f>
        <v>0</v>
      </c>
      <c r="F36">
        <f>'Electricity shares'!F36*'Indirect NH3 demand sources'!F$5*(1-SUM('Pre-allocation of NH3 in power'!F36:F106))+'Pre-allocation of NH3 in power'!F36*'Indirect NH3 demand sources'!F$5</f>
        <v>0</v>
      </c>
      <c r="G36">
        <f>'Electricity shares'!G36*'Indirect NH3 demand sources'!G$5*(1-SUM('Pre-allocation of NH3 in power'!G36:G106))+'Pre-allocation of NH3 in power'!G36*'Indirect NH3 demand sources'!G$5</f>
        <v>0</v>
      </c>
      <c r="H36">
        <f>'Electricity shares'!H36*'Indirect NH3 demand sources'!H$5*(1-SUM('Pre-allocation of NH3 in power'!H36:H106))+'Pre-allocation of NH3 in power'!H36*'Indirect NH3 demand sources'!H$5</f>
        <v>0</v>
      </c>
      <c r="I36">
        <f>'Electricity shares'!I36*'Indirect NH3 demand sources'!I$5*(1-SUM('Pre-allocation of NH3 in power'!I36:I106))+'Pre-allocation of NH3 in power'!I36*'Indirect NH3 demand sources'!I$5</f>
        <v>0</v>
      </c>
      <c r="J36">
        <f>'Electricity shares'!J36*'Indirect NH3 demand sources'!J$5*(1-SUM('Pre-allocation of NH3 in power'!J36:J106))+'Pre-allocation of NH3 in power'!J36*'Indirect NH3 demand sources'!J$5</f>
        <v>0</v>
      </c>
      <c r="K36">
        <f>'Electricity shares'!K36*'Indirect NH3 demand sources'!K$5*(1-SUM('Pre-allocation of NH3 in power'!K36:K106))+'Pre-allocation of NH3 in power'!K36*'Indirect NH3 demand sources'!K$5</f>
        <v>0</v>
      </c>
      <c r="L36">
        <f>'Electricity shares'!L36*'Indirect NH3 demand sources'!L$5*(1-SUM('Pre-allocation of NH3 in power'!L36:L106))+'Pre-allocation of NH3 in power'!L36*'Indirect NH3 demand sources'!L$5</f>
        <v>0</v>
      </c>
      <c r="M36">
        <f>'Electricity shares'!M36*'Indirect NH3 demand sources'!M$5*(1-SUM('Pre-allocation of NH3 in power'!M36:M106))+'Pre-allocation of NH3 in power'!M36*'Indirect NH3 demand sources'!M$5</f>
        <v>0</v>
      </c>
      <c r="N36">
        <f>'Electricity shares'!N36*'Indirect NH3 demand sources'!N$5*(1-SUM('Pre-allocation of NH3 in power'!N36:N106))+'Pre-allocation of NH3 in power'!N36*'Indirect NH3 demand sources'!N$5</f>
        <v>0</v>
      </c>
      <c r="O36">
        <f>'Electricity shares'!O36*'Indirect NH3 demand sources'!O$5*(1-SUM('Pre-allocation of NH3 in power'!O36:O106))+'Pre-allocation of NH3 in power'!O36*'Indirect NH3 demand sources'!O$5</f>
        <v>0</v>
      </c>
      <c r="P36">
        <f>'Electricity shares'!P36*'Indirect NH3 demand sources'!P$5*(1-SUM('Pre-allocation of NH3 in power'!P36:P106))+'Pre-allocation of NH3 in power'!P36*'Indirect NH3 demand sources'!P$5</f>
        <v>0</v>
      </c>
      <c r="Q36">
        <f>'Electricity shares'!Q36*'Indirect NH3 demand sources'!Q$5*(1-SUM('Pre-allocation of NH3 in power'!Q36:Q106))+'Pre-allocation of NH3 in power'!Q36*'Indirect NH3 demand sources'!Q$5</f>
        <v>0</v>
      </c>
      <c r="R36">
        <f>'Electricity shares'!R36*'Indirect NH3 demand sources'!R$5*(1-SUM('Pre-allocation of NH3 in power'!R36:R106))+'Pre-allocation of NH3 in power'!R36*'Indirect NH3 demand sources'!R$5</f>
        <v>2.8361773536923818E-2</v>
      </c>
      <c r="S36">
        <f>'Electricity shares'!S36*'Indirect NH3 demand sources'!S$5*(1-SUM('Pre-allocation of NH3 in power'!S36:S106))+'Pre-allocation of NH3 in power'!S36*'Indirect NH3 demand sources'!S$5</f>
        <v>5.5709359881654069E-2</v>
      </c>
      <c r="T36">
        <f>'Electricity shares'!T36*'Indirect NH3 demand sources'!T$5*(1-SUM('Pre-allocation of NH3 in power'!T36:T106))+'Pre-allocation of NH3 in power'!T36*'Indirect NH3 demand sources'!T$5</f>
        <v>8.2083034711291761E-2</v>
      </c>
      <c r="U36">
        <f>'Electricity shares'!U36*'Indirect NH3 demand sources'!U$5*(1-SUM('Pre-allocation of NH3 in power'!U36:U106))+'Pre-allocation of NH3 in power'!U36*'Indirect NH3 demand sources'!U$5</f>
        <v>0.10751757140865886</v>
      </c>
      <c r="V36">
        <f>'Electricity shares'!V36*'Indirect NH3 demand sources'!V$5*(1-SUM('Pre-allocation of NH3 in power'!V36:V106))+'Pre-allocation of NH3 in power'!V36*'Indirect NH3 demand sources'!V$5</f>
        <v>0.13212260409473506</v>
      </c>
      <c r="W36">
        <f>'Electricity shares'!W36*'Indirect NH3 demand sources'!W$5*(1-SUM('Pre-allocation of NH3 in power'!W36:W106))+'Pre-allocation of NH3 in power'!W36*'Indirect NH3 demand sources'!W$5</f>
        <v>0.1958000151056439</v>
      </c>
      <c r="X36">
        <f>'Electricity shares'!X36*'Indirect NH3 demand sources'!X$5*(1-SUM('Pre-allocation of NH3 in power'!X36:X106))+'Pre-allocation of NH3 in power'!X36*'Indirect NH3 demand sources'!X$5</f>
        <v>0.25802947890331906</v>
      </c>
      <c r="Y36">
        <f>'Electricity shares'!Y36*'Indirect NH3 demand sources'!Y$5*(1-SUM('Pre-allocation of NH3 in power'!Y36:Y106))+'Pre-allocation of NH3 in power'!Y36*'Indirect NH3 demand sources'!Y$5</f>
        <v>0.31892575491771324</v>
      </c>
      <c r="Z36">
        <f>'Electricity shares'!Z36*'Indirect NH3 demand sources'!Z$5*(1-SUM('Pre-allocation of NH3 in power'!Z36:Z106))+'Pre-allocation of NH3 in power'!Z36*'Indirect NH3 demand sources'!Z$5</f>
        <v>0.37863386951487055</v>
      </c>
      <c r="AA36">
        <f>'Electricity shares'!AA36*'Indirect NH3 demand sources'!AA$5*(1-SUM('Pre-allocation of NH3 in power'!AA36:AA106))+'Pre-allocation of NH3 in power'!AA36*'Indirect NH3 demand sources'!AA$5</f>
        <v>0.4372160031993863</v>
      </c>
      <c r="AB36">
        <f>'Electricity shares'!AB36*'Indirect NH3 demand sources'!AB$5*(1-SUM('Pre-allocation of NH3 in power'!AB36:AB106))+'Pre-allocation of NH3 in power'!AB36*'Indirect NH3 demand sources'!AB$5</f>
        <v>0.49590796095469014</v>
      </c>
      <c r="AC36">
        <f>'Electricity shares'!AC36*'Indirect NH3 demand sources'!AC$5*(1-SUM('Pre-allocation of NH3 in power'!AC36:AC106))+'Pre-allocation of NH3 in power'!AC36*'Indirect NH3 demand sources'!AC$5</f>
        <v>0.5539243722422067</v>
      </c>
      <c r="AD36">
        <f>'Electricity shares'!AD36*'Indirect NH3 demand sources'!AD$5*(1-SUM('Pre-allocation of NH3 in power'!AD36:AD106))+'Pre-allocation of NH3 in power'!AD36*'Indirect NH3 demand sources'!AD$5</f>
        <v>0.61129931684627303</v>
      </c>
      <c r="AE36">
        <f>'Electricity shares'!AE36*'Indirect NH3 demand sources'!AE$5*(1-SUM('Pre-allocation of NH3 in power'!AE36:AE106))+'Pre-allocation of NH3 in power'!AE36*'Indirect NH3 demand sources'!AE$5</f>
        <v>0.667999942672583</v>
      </c>
      <c r="AF36">
        <f>'Electricity shares'!AF36*'Indirect NH3 demand sources'!AF$5*(1-SUM('Pre-allocation of NH3 in power'!AF36:AF106))+'Pre-allocation of NH3 in power'!AF36*'Indirect NH3 demand sources'!AF$5</f>
        <v>0.72396114948501011</v>
      </c>
      <c r="AG36">
        <f>'Electricity shares'!AG36*'Indirect NH3 demand sources'!AG$5*(1-SUM('Pre-allocation of NH3 in power'!AG36:AG106))+'Pre-allocation of NH3 in power'!AG36*'Indirect NH3 demand sources'!AG$5</f>
        <v>0.76690562163374132</v>
      </c>
      <c r="AH36">
        <f>'Electricity shares'!AH36*'Indirect NH3 demand sources'!AH$5*(1-SUM('Pre-allocation of NH3 in power'!AH36:AH106))+'Pre-allocation of NH3 in power'!AH36*'Indirect NH3 demand sources'!AH$5</f>
        <v>0.80910024470555597</v>
      </c>
      <c r="AI36">
        <f>'Electricity shares'!AI36*'Indirect NH3 demand sources'!AI$5*(1-SUM('Pre-allocation of NH3 in power'!AI36:AI106))+'Pre-allocation of NH3 in power'!AI36*'Indirect NH3 demand sources'!AI$5</f>
        <v>0.85025190091782188</v>
      </c>
      <c r="AJ36">
        <f>'Electricity shares'!AJ36*'Indirect NH3 demand sources'!AJ$5*(1-SUM('Pre-allocation of NH3 in power'!AJ36:AJ106))+'Pre-allocation of NH3 in power'!AJ36*'Indirect NH3 demand sources'!AJ$5</f>
        <v>0.8900516192812199</v>
      </c>
      <c r="AK36">
        <f>'Electricity shares'!AK36*'Indirect NH3 demand sources'!AK$5*(1-SUM('Pre-allocation of NH3 in power'!AK36:AK106))+'Pre-allocation of NH3 in power'!AK36*'Indirect NH3 demand sources'!AK$5</f>
        <v>0.92866377236985853</v>
      </c>
      <c r="AL36">
        <f>'Electricity shares'!AL36*'Indirect NH3 demand sources'!AL$5*(1-SUM('Pre-allocation of NH3 in power'!AL36:AL106))+'Pre-allocation of NH3 in power'!AL36*'Indirect NH3 demand sources'!AL$5</f>
        <v>0.96580023097167411</v>
      </c>
      <c r="AM36">
        <f>'Electricity shares'!AM36*'Indirect NH3 demand sources'!AM$5*(1-SUM('Pre-allocation of NH3 in power'!AM36:AM106))+'Pre-allocation of NH3 in power'!AM36*'Indirect NH3 demand sources'!AM$5</f>
        <v>1.0011888919136351</v>
      </c>
      <c r="AN36">
        <f>'Electricity shares'!AN36*'Indirect NH3 demand sources'!AN$5*(1-SUM('Pre-allocation of NH3 in power'!AN36:AN106))+'Pre-allocation of NH3 in power'!AN36*'Indirect NH3 demand sources'!AN$5</f>
        <v>1.0348062875421407</v>
      </c>
      <c r="AO36">
        <f>'Electricity shares'!AO36*'Indirect NH3 demand sources'!AO$5*(1-SUM('Pre-allocation of NH3 in power'!AO36:AO106))+'Pre-allocation of NH3 in power'!AO36*'Indirect NH3 demand sources'!AO$5</f>
        <v>1.0666585250832366</v>
      </c>
      <c r="AP36">
        <f>'Electricity shares'!AP36*'Indirect NH3 demand sources'!AP$5*(1-SUM('Pre-allocation of NH3 in power'!AP36:AP106))+'Pre-allocation of NH3 in power'!AP36*'Indirect NH3 demand sources'!AP$5</f>
        <v>1.0966732444582281</v>
      </c>
    </row>
    <row r="37" spans="1:42" x14ac:dyDescent="0.3">
      <c r="A37" t="s">
        <v>112</v>
      </c>
      <c r="B37">
        <f>'Electricity shares'!B37*'Indirect NH3 demand sources'!B$5*(1-SUM('Pre-allocation of NH3 in power'!B37:B107))+'Pre-allocation of NH3 in power'!B37*'Indirect NH3 demand sources'!B$5</f>
        <v>0</v>
      </c>
      <c r="C37">
        <f>'Electricity shares'!C37*'Indirect NH3 demand sources'!C$5*(1-SUM('Pre-allocation of NH3 in power'!C37:C107))+'Pre-allocation of NH3 in power'!C37*'Indirect NH3 demand sources'!C$5</f>
        <v>0</v>
      </c>
      <c r="D37">
        <f>'Electricity shares'!D37*'Indirect NH3 demand sources'!D$5*(1-SUM('Pre-allocation of NH3 in power'!D37:D107))+'Pre-allocation of NH3 in power'!D37*'Indirect NH3 demand sources'!D$5</f>
        <v>0</v>
      </c>
      <c r="E37">
        <f>'Electricity shares'!E37*'Indirect NH3 demand sources'!E$5*(1-SUM('Pre-allocation of NH3 in power'!E37:E107))+'Pre-allocation of NH3 in power'!E37*'Indirect NH3 demand sources'!E$5</f>
        <v>0</v>
      </c>
      <c r="F37">
        <f>'Electricity shares'!F37*'Indirect NH3 demand sources'!F$5*(1-SUM('Pre-allocation of NH3 in power'!F37:F107))+'Pre-allocation of NH3 in power'!F37*'Indirect NH3 demand sources'!F$5</f>
        <v>0</v>
      </c>
      <c r="G37">
        <f>'Electricity shares'!G37*'Indirect NH3 demand sources'!G$5*(1-SUM('Pre-allocation of NH3 in power'!G37:G107))+'Pre-allocation of NH3 in power'!G37*'Indirect NH3 demand sources'!G$5</f>
        <v>0</v>
      </c>
      <c r="H37">
        <f>'Electricity shares'!H37*'Indirect NH3 demand sources'!H$5*(1-SUM('Pre-allocation of NH3 in power'!H37:H107))+'Pre-allocation of NH3 in power'!H37*'Indirect NH3 demand sources'!H$5</f>
        <v>0</v>
      </c>
      <c r="I37">
        <f>'Electricity shares'!I37*'Indirect NH3 demand sources'!I$5*(1-SUM('Pre-allocation of NH3 in power'!I37:I107))+'Pre-allocation of NH3 in power'!I37*'Indirect NH3 demand sources'!I$5</f>
        <v>0</v>
      </c>
      <c r="J37">
        <f>'Electricity shares'!J37*'Indirect NH3 demand sources'!J$5*(1-SUM('Pre-allocation of NH3 in power'!J37:J107))+'Pre-allocation of NH3 in power'!J37*'Indirect NH3 demand sources'!J$5</f>
        <v>0</v>
      </c>
      <c r="K37">
        <f>'Electricity shares'!K37*'Indirect NH3 demand sources'!K$5*(1-SUM('Pre-allocation of NH3 in power'!K37:K107))+'Pre-allocation of NH3 in power'!K37*'Indirect NH3 demand sources'!K$5</f>
        <v>0</v>
      </c>
      <c r="L37">
        <f>'Electricity shares'!L37*'Indirect NH3 demand sources'!L$5*(1-SUM('Pre-allocation of NH3 in power'!L37:L107))+'Pre-allocation of NH3 in power'!L37*'Indirect NH3 demand sources'!L$5</f>
        <v>0</v>
      </c>
      <c r="M37">
        <f>'Electricity shares'!M37*'Indirect NH3 demand sources'!M$5*(1-SUM('Pre-allocation of NH3 in power'!M37:M107))+'Pre-allocation of NH3 in power'!M37*'Indirect NH3 demand sources'!M$5</f>
        <v>0</v>
      </c>
      <c r="N37">
        <f>'Electricity shares'!N37*'Indirect NH3 demand sources'!N$5*(1-SUM('Pre-allocation of NH3 in power'!N37:N107))+'Pre-allocation of NH3 in power'!N37*'Indirect NH3 demand sources'!N$5</f>
        <v>0</v>
      </c>
      <c r="O37">
        <f>'Electricity shares'!O37*'Indirect NH3 demand sources'!O$5*(1-SUM('Pre-allocation of NH3 in power'!O37:O107))+'Pre-allocation of NH3 in power'!O37*'Indirect NH3 demand sources'!O$5</f>
        <v>0</v>
      </c>
      <c r="P37">
        <f>'Electricity shares'!P37*'Indirect NH3 demand sources'!P$5*(1-SUM('Pre-allocation of NH3 in power'!P37:P107))+'Pre-allocation of NH3 in power'!P37*'Indirect NH3 demand sources'!P$5</f>
        <v>0</v>
      </c>
      <c r="Q37">
        <f>'Electricity shares'!Q37*'Indirect NH3 demand sources'!Q$5*(1-SUM('Pre-allocation of NH3 in power'!Q37:Q107))+'Pre-allocation of NH3 in power'!Q37*'Indirect NH3 demand sources'!Q$5</f>
        <v>0</v>
      </c>
      <c r="R37">
        <f>'Electricity shares'!R37*'Indirect NH3 demand sources'!R$5*(1-SUM('Pre-allocation of NH3 in power'!R37:R107))+'Pre-allocation of NH3 in power'!R37*'Indirect NH3 demand sources'!R$5</f>
        <v>6.63251289598972E-2</v>
      </c>
      <c r="S37">
        <f>'Electricity shares'!S37*'Indirect NH3 demand sources'!S$5*(1-SUM('Pre-allocation of NH3 in power'!S37:S107))+'Pre-allocation of NH3 in power'!S37*'Indirect NH3 demand sources'!S$5</f>
        <v>0.13248216393449519</v>
      </c>
      <c r="T37">
        <f>'Electricity shares'!T37*'Indirect NH3 demand sources'!T$5*(1-SUM('Pre-allocation of NH3 in power'!T37:T107))+'Pre-allocation of NH3 in power'!T37*'Indirect NH3 demand sources'!T$5</f>
        <v>0.19848146276185785</v>
      </c>
      <c r="U37">
        <f>'Electricity shares'!U37*'Indirect NH3 demand sources'!U$5*(1-SUM('Pre-allocation of NH3 in power'!U37:U107))+'Pre-allocation of NH3 in power'!U37*'Indirect NH3 demand sources'!U$5</f>
        <v>0.26432026906780354</v>
      </c>
      <c r="V37">
        <f>'Electricity shares'!V37*'Indirect NH3 demand sources'!V$5*(1-SUM('Pre-allocation of NH3 in power'!V37:V107))+'Pre-allocation of NH3 in power'!V37*'Indirect NH3 demand sources'!V$5</f>
        <v>0.33001332682998474</v>
      </c>
      <c r="W37">
        <f>'Electricity shares'!W37*'Indirect NH3 demand sources'!W$5*(1-SUM('Pre-allocation of NH3 in power'!W37:W107))+'Pre-allocation of NH3 in power'!W37*'Indirect NH3 demand sources'!W$5</f>
        <v>0.49447021790262513</v>
      </c>
      <c r="X37">
        <f>'Electricity shares'!X37*'Indirect NH3 demand sources'!X$5*(1-SUM('Pre-allocation of NH3 in power'!X37:X107))+'Pre-allocation of NH3 in power'!X37*'Indirect NH3 demand sources'!X$5</f>
        <v>0.65856044613206788</v>
      </c>
      <c r="Y37">
        <f>'Electricity shares'!Y37*'Indirect NH3 demand sources'!Y$5*(1-SUM('Pre-allocation of NH3 in power'!Y37:Y107))+'Pre-allocation of NH3 in power'!Y37*'Indirect NH3 demand sources'!Y$5</f>
        <v>0.82228531849844944</v>
      </c>
      <c r="Z37">
        <f>'Electricity shares'!Z37*'Indirect NH3 demand sources'!Z$5*(1-SUM('Pre-allocation of NH3 in power'!Z37:Z107))+'Pre-allocation of NH3 in power'!Z37*'Indirect NH3 demand sources'!Z$5</f>
        <v>0.98564581296143516</v>
      </c>
      <c r="AA37">
        <f>'Electricity shares'!AA37*'Indirect NH3 demand sources'!AA$5*(1-SUM('Pre-allocation of NH3 in power'!AA37:AA107))+'Pre-allocation of NH3 in power'!AA37*'Indirect NH3 demand sources'!AA$5</f>
        <v>1.1487009487428614</v>
      </c>
      <c r="AB37">
        <f>'Electricity shares'!AB37*'Indirect NH3 demand sources'!AB$5*(1-SUM('Pre-allocation of NH3 in power'!AB37:AB107))+'Pre-allocation of NH3 in power'!AB37*'Indirect NH3 demand sources'!AB$5</f>
        <v>1.3116375089157111</v>
      </c>
      <c r="AC37">
        <f>'Electricity shares'!AC37*'Indirect NH3 demand sources'!AC$5*(1-SUM('Pre-allocation of NH3 in power'!AC37:AC107))+'Pre-allocation of NH3 in power'!AC37*'Indirect NH3 demand sources'!AC$5</f>
        <v>1.4741327138343236</v>
      </c>
      <c r="AD37">
        <f>'Electricity shares'!AD37*'Indirect NH3 demand sources'!AD$5*(1-SUM('Pre-allocation of NH3 in power'!AD37:AD107))+'Pre-allocation of NH3 in power'!AD37*'Indirect NH3 demand sources'!AD$5</f>
        <v>1.6363274242544565</v>
      </c>
      <c r="AE37">
        <f>'Electricity shares'!AE37*'Indirect NH3 demand sources'!AE$5*(1-SUM('Pre-allocation of NH3 in power'!AE37:AE107))+'Pre-allocation of NH3 in power'!AE37*'Indirect NH3 demand sources'!AE$5</f>
        <v>1.7982276824493821</v>
      </c>
      <c r="AF37">
        <f>'Electricity shares'!AF37*'Indirect NH3 demand sources'!AF$5*(1-SUM('Pre-allocation of NH3 in power'!AF37:AF107))+'Pre-allocation of NH3 in power'!AF37*'Indirect NH3 demand sources'!AF$5</f>
        <v>1.9598658264482929</v>
      </c>
      <c r="AG37">
        <f>'Electricity shares'!AG37*'Indirect NH3 demand sources'!AG$5*(1-SUM('Pre-allocation of NH3 in power'!AG37:AG107))+'Pre-allocation of NH3 in power'!AG37*'Indirect NH3 demand sources'!AG$5</f>
        <v>2.0885857634075111</v>
      </c>
      <c r="AH37">
        <f>'Electricity shares'!AH37*'Indirect NH3 demand sources'!AH$5*(1-SUM('Pre-allocation of NH3 in power'!AH37:AH107))+'Pre-allocation of NH3 in power'!AH37*'Indirect NH3 demand sources'!AH$5</f>
        <v>2.2171331971868122</v>
      </c>
      <c r="AI37">
        <f>'Electricity shares'!AI37*'Indirect NH3 demand sources'!AI$5*(1-SUM('Pre-allocation of NH3 in power'!AI37:AI107))+'Pre-allocation of NH3 in power'!AI37*'Indirect NH3 demand sources'!AI$5</f>
        <v>2.3455116424562314</v>
      </c>
      <c r="AJ37">
        <f>'Electricity shares'!AJ37*'Indirect NH3 demand sources'!AJ$5*(1-SUM('Pre-allocation of NH3 in power'!AJ37:AJ107))+'Pre-allocation of NH3 in power'!AJ37*'Indirect NH3 demand sources'!AJ$5</f>
        <v>2.4737313331015724</v>
      </c>
      <c r="AK37">
        <f>'Electricity shares'!AK37*'Indirect NH3 demand sources'!AK$5*(1-SUM('Pre-allocation of NH3 in power'!AK37:AK107))+'Pre-allocation of NH3 in power'!AK37*'Indirect NH3 demand sources'!AK$5</f>
        <v>2.6018413699102605</v>
      </c>
      <c r="AL37">
        <f>'Electricity shares'!AL37*'Indirect NH3 demand sources'!AL$5*(1-SUM('Pre-allocation of NH3 in power'!AL37:AL107))+'Pre-allocation of NH3 in power'!AL37*'Indirect NH3 demand sources'!AL$5</f>
        <v>2.7298715642959221</v>
      </c>
      <c r="AM37">
        <f>'Electricity shares'!AM37*'Indirect NH3 demand sources'!AM$5*(1-SUM('Pre-allocation of NH3 in power'!AM37:AM107))+'Pre-allocation of NH3 in power'!AM37*'Indirect NH3 demand sources'!AM$5</f>
        <v>2.8577803308838474</v>
      </c>
      <c r="AN37">
        <f>'Electricity shares'!AN37*'Indirect NH3 demand sources'!AN$5*(1-SUM('Pre-allocation of NH3 in power'!AN37:AN107))+'Pre-allocation of NH3 in power'!AN37*'Indirect NH3 demand sources'!AN$5</f>
        <v>2.9854926667982622</v>
      </c>
      <c r="AO37">
        <f>'Electricity shares'!AO37*'Indirect NH3 demand sources'!AO$5*(1-SUM('Pre-allocation of NH3 in power'!AO37:AO107))+'Pre-allocation of NH3 in power'!AO37*'Indirect NH3 demand sources'!AO$5</f>
        <v>3.1127045280823293</v>
      </c>
      <c r="AP37">
        <f>'Electricity shares'!AP37*'Indirect NH3 demand sources'!AP$5*(1-SUM('Pre-allocation of NH3 in power'!AP37:AP107))+'Pre-allocation of NH3 in power'!AP37*'Indirect NH3 demand sources'!AP$5</f>
        <v>3.2396082141382823</v>
      </c>
    </row>
    <row r="38" spans="1:42" x14ac:dyDescent="0.3">
      <c r="A38" t="s">
        <v>113</v>
      </c>
      <c r="B38">
        <f>'Electricity shares'!B38*'Indirect NH3 demand sources'!B$5*(1-SUM('Pre-allocation of NH3 in power'!B38:B108))+'Pre-allocation of NH3 in power'!B38*'Indirect NH3 demand sources'!B$5</f>
        <v>0</v>
      </c>
      <c r="C38">
        <f>'Electricity shares'!C38*'Indirect NH3 demand sources'!C$5*(1-SUM('Pre-allocation of NH3 in power'!C38:C108))+'Pre-allocation of NH3 in power'!C38*'Indirect NH3 demand sources'!C$5</f>
        <v>0</v>
      </c>
      <c r="D38">
        <f>'Electricity shares'!D38*'Indirect NH3 demand sources'!D$5*(1-SUM('Pre-allocation of NH3 in power'!D38:D108))+'Pre-allocation of NH3 in power'!D38*'Indirect NH3 demand sources'!D$5</f>
        <v>0</v>
      </c>
      <c r="E38">
        <f>'Electricity shares'!E38*'Indirect NH3 demand sources'!E$5*(1-SUM('Pre-allocation of NH3 in power'!E38:E108))+'Pre-allocation of NH3 in power'!E38*'Indirect NH3 demand sources'!E$5</f>
        <v>0</v>
      </c>
      <c r="F38">
        <f>'Electricity shares'!F38*'Indirect NH3 demand sources'!F$5*(1-SUM('Pre-allocation of NH3 in power'!F38:F108))+'Pre-allocation of NH3 in power'!F38*'Indirect NH3 demand sources'!F$5</f>
        <v>0</v>
      </c>
      <c r="G38">
        <f>'Electricity shares'!G38*'Indirect NH3 demand sources'!G$5*(1-SUM('Pre-allocation of NH3 in power'!G38:G108))+'Pre-allocation of NH3 in power'!G38*'Indirect NH3 demand sources'!G$5</f>
        <v>0</v>
      </c>
      <c r="H38">
        <f>'Electricity shares'!H38*'Indirect NH3 demand sources'!H$5*(1-SUM('Pre-allocation of NH3 in power'!H38:H108))+'Pre-allocation of NH3 in power'!H38*'Indirect NH3 demand sources'!H$5</f>
        <v>0</v>
      </c>
      <c r="I38">
        <f>'Electricity shares'!I38*'Indirect NH3 demand sources'!I$5*(1-SUM('Pre-allocation of NH3 in power'!I38:I108))+'Pre-allocation of NH3 in power'!I38*'Indirect NH3 demand sources'!I$5</f>
        <v>0</v>
      </c>
      <c r="J38">
        <f>'Electricity shares'!J38*'Indirect NH3 demand sources'!J$5*(1-SUM('Pre-allocation of NH3 in power'!J38:J108))+'Pre-allocation of NH3 in power'!J38*'Indirect NH3 demand sources'!J$5</f>
        <v>0</v>
      </c>
      <c r="K38">
        <f>'Electricity shares'!K38*'Indirect NH3 demand sources'!K$5*(1-SUM('Pre-allocation of NH3 in power'!K38:K108))+'Pre-allocation of NH3 in power'!K38*'Indirect NH3 demand sources'!K$5</f>
        <v>0</v>
      </c>
      <c r="L38">
        <f>'Electricity shares'!L38*'Indirect NH3 demand sources'!L$5*(1-SUM('Pre-allocation of NH3 in power'!L38:L108))+'Pre-allocation of NH3 in power'!L38*'Indirect NH3 demand sources'!L$5</f>
        <v>0</v>
      </c>
      <c r="M38">
        <f>'Electricity shares'!M38*'Indirect NH3 demand sources'!M$5*(1-SUM('Pre-allocation of NH3 in power'!M38:M108))+'Pre-allocation of NH3 in power'!M38*'Indirect NH3 demand sources'!M$5</f>
        <v>0</v>
      </c>
      <c r="N38">
        <f>'Electricity shares'!N38*'Indirect NH3 demand sources'!N$5*(1-SUM('Pre-allocation of NH3 in power'!N38:N108))+'Pre-allocation of NH3 in power'!N38*'Indirect NH3 demand sources'!N$5</f>
        <v>0</v>
      </c>
      <c r="O38">
        <f>'Electricity shares'!O38*'Indirect NH3 demand sources'!O$5*(1-SUM('Pre-allocation of NH3 in power'!O38:O108))+'Pre-allocation of NH3 in power'!O38*'Indirect NH3 demand sources'!O$5</f>
        <v>0</v>
      </c>
      <c r="P38">
        <f>'Electricity shares'!P38*'Indirect NH3 demand sources'!P$5*(1-SUM('Pre-allocation of NH3 in power'!P38:P108))+'Pre-allocation of NH3 in power'!P38*'Indirect NH3 demand sources'!P$5</f>
        <v>0</v>
      </c>
      <c r="Q38">
        <f>'Electricity shares'!Q38*'Indirect NH3 demand sources'!Q$5*(1-SUM('Pre-allocation of NH3 in power'!Q38:Q108))+'Pre-allocation of NH3 in power'!Q38*'Indirect NH3 demand sources'!Q$5</f>
        <v>0</v>
      </c>
      <c r="R38">
        <f>'Electricity shares'!R38*'Indirect NH3 demand sources'!R$5*(1-SUM('Pre-allocation of NH3 in power'!R38:R108))+'Pre-allocation of NH3 in power'!R38*'Indirect NH3 demand sources'!R$5</f>
        <v>5.2688697222872481E-3</v>
      </c>
      <c r="S38">
        <f>'Electricity shares'!S38*'Indirect NH3 demand sources'!S$5*(1-SUM('Pre-allocation of NH3 in power'!S38:S108))+'Pre-allocation of NH3 in power'!S38*'Indirect NH3 demand sources'!S$5</f>
        <v>1.0305979024652382E-2</v>
      </c>
      <c r="T38">
        <f>'Electricity shares'!T38*'Indirect NH3 demand sources'!T$5*(1-SUM('Pre-allocation of NH3 in power'!T38:T108))+'Pre-allocation of NH3 in power'!T38*'Indirect NH3 demand sources'!T$5</f>
        <v>1.5124468318918846E-2</v>
      </c>
      <c r="U38">
        <f>'Electricity shares'!U38*'Indirect NH3 demand sources'!U$5*(1-SUM('Pre-allocation of NH3 in power'!U38:U108))+'Pre-allocation of NH3 in power'!U38*'Indirect NH3 demand sources'!U$5</f>
        <v>1.9740150857379919E-2</v>
      </c>
      <c r="V38">
        <f>'Electricity shares'!V38*'Indirect NH3 demand sources'!V$5*(1-SUM('Pre-allocation of NH3 in power'!V38:V108))+'Pre-allocation of NH3 in power'!V38*'Indirect NH3 demand sources'!V$5</f>
        <v>2.4173020001778952E-2</v>
      </c>
      <c r="W38">
        <f>'Electricity shares'!W38*'Indirect NH3 demand sources'!W$5*(1-SUM('Pre-allocation of NH3 in power'!W38:W108))+'Pre-allocation of NH3 in power'!W38*'Indirect NH3 demand sources'!W$5</f>
        <v>3.5746396231703823E-2</v>
      </c>
      <c r="X38">
        <f>'Electricity shares'!X38*'Indirect NH3 demand sources'!X$5*(1-SUM('Pre-allocation of NH3 in power'!X38:X108))+'Pre-allocation of NH3 in power'!X38*'Indirect NH3 demand sources'!X$5</f>
        <v>4.7003357963014698E-2</v>
      </c>
      <c r="Y38">
        <f>'Electricity shares'!Y38*'Indirect NH3 demand sources'!Y$5*(1-SUM('Pre-allocation of NH3 in power'!Y38:Y108))+'Pre-allocation of NH3 in power'!Y38*'Indirect NH3 demand sources'!Y$5</f>
        <v>5.7974839095752052E-2</v>
      </c>
      <c r="Z38">
        <f>'Electricity shares'!Z38*'Indirect NH3 demand sources'!Z$5*(1-SUM('Pre-allocation of NH3 in power'!Z38:Z108))+'Pre-allocation of NH3 in power'!Z38*'Indirect NH3 demand sources'!Z$5</f>
        <v>6.8674357985344658E-2</v>
      </c>
      <c r="AA38">
        <f>'Electricity shares'!AA38*'Indirect NH3 demand sources'!AA$5*(1-SUM('Pre-allocation of NH3 in power'!AA38:AA108))+'Pre-allocation of NH3 in power'!AA38*'Indirect NH3 demand sources'!AA$5</f>
        <v>7.9137642351368997E-2</v>
      </c>
      <c r="AB38">
        <f>'Electricity shares'!AB38*'Indirect NH3 demand sources'!AB$5*(1-SUM('Pre-allocation of NH3 in power'!AB38:AB108))+'Pre-allocation of NH3 in power'!AB38*'Indirect NH3 demand sources'!AB$5</f>
        <v>8.955934734224931E-2</v>
      </c>
      <c r="AC38">
        <f>'Electricity shares'!AC38*'Indirect NH3 demand sources'!AC$5*(1-SUM('Pre-allocation of NH3 in power'!AC38:AC108))+'Pre-allocation of NH3 in power'!AC38*'Indirect NH3 demand sources'!AC$5</f>
        <v>9.9801751258658325E-2</v>
      </c>
      <c r="AD38">
        <f>'Electricity shares'!AD38*'Indirect NH3 demand sources'!AD$5*(1-SUM('Pre-allocation of NH3 in power'!AD38:AD108))+'Pre-allocation of NH3 in power'!AD38*'Indirect NH3 demand sources'!AD$5</f>
        <v>0.10988955995390899</v>
      </c>
      <c r="AE38">
        <f>'Electricity shares'!AE38*'Indirect NH3 demand sources'!AE$5*(1-SUM('Pre-allocation of NH3 in power'!AE38:AE108))+'Pre-allocation of NH3 in power'!AE38*'Indirect NH3 demand sources'!AE$5</f>
        <v>0.11982350721608891</v>
      </c>
      <c r="AF38">
        <f>'Electricity shares'!AF38*'Indirect NH3 demand sources'!AF$5*(1-SUM('Pre-allocation of NH3 in power'!AF38:AF108))+'Pre-allocation of NH3 in power'!AF38*'Indirect NH3 demand sources'!AF$5</f>
        <v>0.1296152148228252</v>
      </c>
      <c r="AG38">
        <f>'Electricity shares'!AG38*'Indirect NH3 demand sources'!AG$5*(1-SUM('Pre-allocation of NH3 in power'!AG38:AG108))+'Pre-allocation of NH3 in power'!AG38*'Indirect NH3 demand sources'!AG$5</f>
        <v>0.13708578343688077</v>
      </c>
      <c r="AH38">
        <f>'Electricity shares'!AH38*'Indirect NH3 demand sources'!AH$5*(1-SUM('Pre-allocation of NH3 in power'!AH38:AH108))+'Pre-allocation of NH3 in power'!AH38*'Indirect NH3 demand sources'!AH$5</f>
        <v>0.14446203155965454</v>
      </c>
      <c r="AI38">
        <f>'Electricity shares'!AI38*'Indirect NH3 demand sources'!AI$5*(1-SUM('Pre-allocation of NH3 in power'!AI38:AI108))+'Pre-allocation of NH3 in power'!AI38*'Indirect NH3 demand sources'!AI$5</f>
        <v>0.15171882631813127</v>
      </c>
      <c r="AJ38">
        <f>'Electricity shares'!AJ38*'Indirect NH3 demand sources'!AJ$5*(1-SUM('Pre-allocation of NH3 in power'!AJ38:AJ108))+'Pre-allocation of NH3 in power'!AJ38*'Indirect NH3 demand sources'!AJ$5</f>
        <v>0.15884219608230141</v>
      </c>
      <c r="AK38">
        <f>'Electricity shares'!AK38*'Indirect NH3 demand sources'!AK$5*(1-SUM('Pre-allocation of NH3 in power'!AK38:AK108))+'Pre-allocation of NH3 in power'!AK38*'Indirect NH3 demand sources'!AK$5</f>
        <v>0.16586863478309763</v>
      </c>
      <c r="AL38">
        <f>'Electricity shares'!AL38*'Indirect NH3 demand sources'!AL$5*(1-SUM('Pre-allocation of NH3 in power'!AL38:AL108))+'Pre-allocation of NH3 in power'!AL38*'Indirect NH3 demand sources'!AL$5</f>
        <v>0.17269314806726421</v>
      </c>
      <c r="AM38">
        <f>'Electricity shares'!AM38*'Indirect NH3 demand sources'!AM$5*(1-SUM('Pre-allocation of NH3 in power'!AM38:AM108))+'Pre-allocation of NH3 in power'!AM38*'Indirect NH3 demand sources'!AM$5</f>
        <v>0.17933213655095215</v>
      </c>
      <c r="AN38">
        <f>'Electricity shares'!AN38*'Indirect NH3 demand sources'!AN$5*(1-SUM('Pre-allocation of NH3 in power'!AN38:AN108))+'Pre-allocation of NH3 in power'!AN38*'Indirect NH3 demand sources'!AN$5</f>
        <v>0.18578440661688816</v>
      </c>
      <c r="AO38">
        <f>'Electricity shares'!AO38*'Indirect NH3 demand sources'!AO$5*(1-SUM('Pre-allocation of NH3 in power'!AO38:AO108))+'Pre-allocation of NH3 in power'!AO38*'Indirect NH3 demand sources'!AO$5</f>
        <v>0.19205651500089846</v>
      </c>
      <c r="AP38">
        <f>'Electricity shares'!AP38*'Indirect NH3 demand sources'!AP$5*(1-SUM('Pre-allocation of NH3 in power'!AP38:AP108))+'Pre-allocation of NH3 in power'!AP38*'Indirect NH3 demand sources'!AP$5</f>
        <v>0.19812473131233688</v>
      </c>
    </row>
    <row r="39" spans="1:42" x14ac:dyDescent="0.3">
      <c r="A39" t="s">
        <v>114</v>
      </c>
      <c r="B39">
        <f>'Electricity shares'!B39*'Indirect NH3 demand sources'!B$5*(1-SUM('Pre-allocation of NH3 in power'!B39:B109))+'Pre-allocation of NH3 in power'!B39*'Indirect NH3 demand sources'!B$5</f>
        <v>0</v>
      </c>
      <c r="C39">
        <f>'Electricity shares'!C39*'Indirect NH3 demand sources'!C$5*(1-SUM('Pre-allocation of NH3 in power'!C39:C109))+'Pre-allocation of NH3 in power'!C39*'Indirect NH3 demand sources'!C$5</f>
        <v>0</v>
      </c>
      <c r="D39">
        <f>'Electricity shares'!D39*'Indirect NH3 demand sources'!D$5*(1-SUM('Pre-allocation of NH3 in power'!D39:D109))+'Pre-allocation of NH3 in power'!D39*'Indirect NH3 demand sources'!D$5</f>
        <v>0</v>
      </c>
      <c r="E39">
        <f>'Electricity shares'!E39*'Indirect NH3 demand sources'!E$5*(1-SUM('Pre-allocation of NH3 in power'!E39:E109))+'Pre-allocation of NH3 in power'!E39*'Indirect NH3 demand sources'!E$5</f>
        <v>0</v>
      </c>
      <c r="F39">
        <f>'Electricity shares'!F39*'Indirect NH3 demand sources'!F$5*(1-SUM('Pre-allocation of NH3 in power'!F39:F109))+'Pre-allocation of NH3 in power'!F39*'Indirect NH3 demand sources'!F$5</f>
        <v>0</v>
      </c>
      <c r="G39">
        <f>'Electricity shares'!G39*'Indirect NH3 demand sources'!G$5*(1-SUM('Pre-allocation of NH3 in power'!G39:G109))+'Pre-allocation of NH3 in power'!G39*'Indirect NH3 demand sources'!G$5</f>
        <v>0</v>
      </c>
      <c r="H39">
        <f>'Electricity shares'!H39*'Indirect NH3 demand sources'!H$5*(1-SUM('Pre-allocation of NH3 in power'!H39:H109))+'Pre-allocation of NH3 in power'!H39*'Indirect NH3 demand sources'!H$5</f>
        <v>0</v>
      </c>
      <c r="I39">
        <f>'Electricity shares'!I39*'Indirect NH3 demand sources'!I$5*(1-SUM('Pre-allocation of NH3 in power'!I39:I109))+'Pre-allocation of NH3 in power'!I39*'Indirect NH3 demand sources'!I$5</f>
        <v>0</v>
      </c>
      <c r="J39">
        <f>'Electricity shares'!J39*'Indirect NH3 demand sources'!J$5*(1-SUM('Pre-allocation of NH3 in power'!J39:J109))+'Pre-allocation of NH3 in power'!J39*'Indirect NH3 demand sources'!J$5</f>
        <v>0</v>
      </c>
      <c r="K39">
        <f>'Electricity shares'!K39*'Indirect NH3 demand sources'!K$5*(1-SUM('Pre-allocation of NH3 in power'!K39:K109))+'Pre-allocation of NH3 in power'!K39*'Indirect NH3 demand sources'!K$5</f>
        <v>0</v>
      </c>
      <c r="L39">
        <f>'Electricity shares'!L39*'Indirect NH3 demand sources'!L$5*(1-SUM('Pre-allocation of NH3 in power'!L39:L109))+'Pre-allocation of NH3 in power'!L39*'Indirect NH3 demand sources'!L$5</f>
        <v>0</v>
      </c>
      <c r="M39">
        <f>'Electricity shares'!M39*'Indirect NH3 demand sources'!M$5*(1-SUM('Pre-allocation of NH3 in power'!M39:M109))+'Pre-allocation of NH3 in power'!M39*'Indirect NH3 demand sources'!M$5</f>
        <v>0</v>
      </c>
      <c r="N39">
        <f>'Electricity shares'!N39*'Indirect NH3 demand sources'!N$5*(1-SUM('Pre-allocation of NH3 in power'!N39:N109))+'Pre-allocation of NH3 in power'!N39*'Indirect NH3 demand sources'!N$5</f>
        <v>0</v>
      </c>
      <c r="O39">
        <f>'Electricity shares'!O39*'Indirect NH3 demand sources'!O$5*(1-SUM('Pre-allocation of NH3 in power'!O39:O109))+'Pre-allocation of NH3 in power'!O39*'Indirect NH3 demand sources'!O$5</f>
        <v>0</v>
      </c>
      <c r="P39">
        <f>'Electricity shares'!P39*'Indirect NH3 demand sources'!P$5*(1-SUM('Pre-allocation of NH3 in power'!P39:P109))+'Pre-allocation of NH3 in power'!P39*'Indirect NH3 demand sources'!P$5</f>
        <v>0</v>
      </c>
      <c r="Q39">
        <f>'Electricity shares'!Q39*'Indirect NH3 demand sources'!Q$5*(1-SUM('Pre-allocation of NH3 in power'!Q39:Q109))+'Pre-allocation of NH3 in power'!Q39*'Indirect NH3 demand sources'!Q$5</f>
        <v>0</v>
      </c>
      <c r="R39">
        <f>'Electricity shares'!R39*'Indirect NH3 demand sources'!R$5*(1-SUM('Pre-allocation of NH3 in power'!R39:R109))+'Pre-allocation of NH3 in power'!R39*'Indirect NH3 demand sources'!R$5</f>
        <v>2.5321729305327178E-3</v>
      </c>
      <c r="S39">
        <f>'Electricity shares'!S39*'Indirect NH3 demand sources'!S$5*(1-SUM('Pre-allocation of NH3 in power'!S39:S109))+'Pre-allocation of NH3 in power'!S39*'Indirect NH3 demand sources'!S$5</f>
        <v>5.1122086545474527E-3</v>
      </c>
      <c r="T39">
        <f>'Electricity shares'!T39*'Indirect NH3 demand sources'!T$5*(1-SUM('Pre-allocation of NH3 in power'!T39:T109))+'Pre-allocation of NH3 in power'!T39*'Indirect NH3 demand sources'!T$5</f>
        <v>7.7411922193670931E-3</v>
      </c>
      <c r="U39">
        <f>'Electricity shares'!U39*'Indirect NH3 demand sources'!U$5*(1-SUM('Pre-allocation of NH3 in power'!U39:U109))+'Pre-allocation of NH3 in power'!U39*'Indirect NH3 demand sources'!U$5</f>
        <v>1.041865734732397E-2</v>
      </c>
      <c r="V39">
        <f>'Electricity shares'!V39*'Indirect NH3 demand sources'!V$5*(1-SUM('Pre-allocation of NH3 in power'!V39:V109))+'Pre-allocation of NH3 in power'!V39*'Indirect NH3 demand sources'!V$5</f>
        <v>1.3147922169937319E-2</v>
      </c>
      <c r="W39">
        <f>'Electricity shares'!W39*'Indirect NH3 demand sources'!W$5*(1-SUM('Pre-allocation of NH3 in power'!W39:W109))+'Pre-allocation of NH3 in power'!W39*'Indirect NH3 demand sources'!W$5</f>
        <v>1.9881004544613341E-2</v>
      </c>
      <c r="X39">
        <f>'Electricity shares'!X39*'Indirect NH3 demand sources'!X$5*(1-SUM('Pre-allocation of NH3 in power'!X39:X109))+'Pre-allocation of NH3 in power'!X39*'Indirect NH3 demand sources'!X$5</f>
        <v>2.6723572762934127E-2</v>
      </c>
      <c r="Y39">
        <f>'Electricity shares'!Y39*'Indirect NH3 demand sources'!Y$5*(1-SUM('Pre-allocation of NH3 in power'!Y39:Y109))+'Pre-allocation of NH3 in power'!Y39*'Indirect NH3 demand sources'!Y$5</f>
        <v>3.367339299389617E-2</v>
      </c>
      <c r="Z39">
        <f>'Electricity shares'!Z39*'Indirect NH3 demand sources'!Z$5*(1-SUM('Pre-allocation of NH3 in power'!Z39:Z109))+'Pre-allocation of NH3 in power'!Z39*'Indirect NH3 demand sources'!Z$5</f>
        <v>4.0728463406520178E-2</v>
      </c>
      <c r="AA39">
        <f>'Electricity shares'!AA39*'Indirect NH3 demand sources'!AA$5*(1-SUM('Pre-allocation of NH3 in power'!AA39:AA109))+'Pre-allocation of NH3 in power'!AA39*'Indirect NH3 demand sources'!AA$5</f>
        <v>4.7893690013501654E-2</v>
      </c>
      <c r="AB39">
        <f>'Electricity shares'!AB39*'Indirect NH3 demand sources'!AB$5*(1-SUM('Pre-allocation of NH3 in power'!AB39:AB109))+'Pre-allocation of NH3 in power'!AB39*'Indirect NH3 demand sources'!AB$5</f>
        <v>5.5100863467252757E-2</v>
      </c>
      <c r="AC39">
        <f>'Electricity shares'!AC39*'Indirect NH3 demand sources'!AC$5*(1-SUM('Pre-allocation of NH3 in power'!AC39:AC109))+'Pre-allocation of NH3 in power'!AC39*'Indirect NH3 demand sources'!AC$5</f>
        <v>6.2407770624847064E-2</v>
      </c>
      <c r="AD39">
        <f>'Electricity shares'!AD39*'Indirect NH3 demand sources'!AD$5*(1-SUM('Pre-allocation of NH3 in power'!AD39:AD109))+'Pre-allocation of NH3 in power'!AD39*'Indirect NH3 demand sources'!AD$5</f>
        <v>6.9813892364608762E-2</v>
      </c>
      <c r="AE39">
        <f>'Electricity shares'!AE39*'Indirect NH3 demand sources'!AE$5*(1-SUM('Pre-allocation of NH3 in power'!AE39:AE109))+'Pre-allocation of NH3 in power'!AE39*'Indirect NH3 demand sources'!AE$5</f>
        <v>7.7320616100030784E-2</v>
      </c>
      <c r="AF39">
        <f>'Electricity shares'!AF39*'Indirect NH3 demand sources'!AF$5*(1-SUM('Pre-allocation of NH3 in power'!AF39:AF109))+'Pre-allocation of NH3 in power'!AF39*'Indirect NH3 demand sources'!AF$5</f>
        <v>8.4927145571858556E-2</v>
      </c>
      <c r="AG39">
        <f>'Electricity shares'!AG39*'Indirect NH3 demand sources'!AG$5*(1-SUM('Pre-allocation of NH3 in power'!AG39:AG109))+'Pre-allocation of NH3 in power'!AG39*'Indirect NH3 demand sources'!AG$5</f>
        <v>9.1195282961246307E-2</v>
      </c>
      <c r="AH39">
        <f>'Electricity shares'!AH39*'Indirect NH3 demand sources'!AH$5*(1-SUM('Pre-allocation of NH3 in power'!AH39:AH109))+'Pre-allocation of NH3 in power'!AH39*'Indirect NH3 demand sources'!AH$5</f>
        <v>9.754606438083753E-2</v>
      </c>
      <c r="AI39">
        <f>'Electricity shares'!AI39*'Indirect NH3 demand sources'!AI$5*(1-SUM('Pre-allocation of NH3 in power'!AI39:AI109))+'Pre-allocation of NH3 in power'!AI39*'Indirect NH3 demand sources'!AI$5</f>
        <v>0.10396149197237148</v>
      </c>
      <c r="AJ39">
        <f>'Electricity shares'!AJ39*'Indirect NH3 demand sources'!AJ$5*(1-SUM('Pre-allocation of NH3 in power'!AJ39:AJ109))+'Pre-allocation of NH3 in power'!AJ39*'Indirect NH3 demand sources'!AJ$5</f>
        <v>0.11042086355823715</v>
      </c>
      <c r="AK39">
        <f>'Electricity shares'!AK39*'Indirect NH3 demand sources'!AK$5*(1-SUM('Pre-allocation of NH3 in power'!AK39:AK109))+'Pre-allocation of NH3 in power'!AK39*'Indirect NH3 demand sources'!AK$5</f>
        <v>0.1169222419883362</v>
      </c>
      <c r="AL39">
        <f>'Electricity shares'!AL39*'Indirect NH3 demand sources'!AL$5*(1-SUM('Pre-allocation of NH3 in power'!AL39:AL109))+'Pre-allocation of NH3 in power'!AL39*'Indirect NH3 demand sources'!AL$5</f>
        <v>0.12348371319265911</v>
      </c>
      <c r="AM39">
        <f>'Electricity shares'!AM39*'Indirect NH3 demand sources'!AM$5*(1-SUM('Pre-allocation of NH3 in power'!AM39:AM109))+'Pre-allocation of NH3 in power'!AM39*'Indirect NH3 demand sources'!AM$5</f>
        <v>0.13006332830242021</v>
      </c>
      <c r="AN39">
        <f>'Electricity shares'!AN39*'Indirect NH3 demand sources'!AN$5*(1-SUM('Pre-allocation of NH3 in power'!AN39:AN109))+'Pre-allocation of NH3 in power'!AN39*'Indirect NH3 demand sources'!AN$5</f>
        <v>0.1366818243904197</v>
      </c>
      <c r="AO39">
        <f>'Electricity shares'!AO39*'Indirect NH3 demand sources'!AO$5*(1-SUM('Pre-allocation of NH3 in power'!AO39:AO109))+'Pre-allocation of NH3 in power'!AO39*'Indirect NH3 demand sources'!AO$5</f>
        <v>0.14333508265676481</v>
      </c>
      <c r="AP39">
        <f>'Electricity shares'!AP39*'Indirect NH3 demand sources'!AP$5*(1-SUM('Pre-allocation of NH3 in power'!AP39:AP109))+'Pre-allocation of NH3 in power'!AP39*'Indirect NH3 demand sources'!AP$5</f>
        <v>0.15001610943856214</v>
      </c>
    </row>
    <row r="40" spans="1:42" x14ac:dyDescent="0.3">
      <c r="A40" t="s">
        <v>115</v>
      </c>
      <c r="B40">
        <f>'Electricity shares'!B40*'Indirect NH3 demand sources'!B$5*(1-SUM('Pre-allocation of NH3 in power'!B40:B110))+'Pre-allocation of NH3 in power'!B40*'Indirect NH3 demand sources'!B$5</f>
        <v>0</v>
      </c>
      <c r="C40">
        <f>'Electricity shares'!C40*'Indirect NH3 demand sources'!C$5*(1-SUM('Pre-allocation of NH3 in power'!C40:C110))+'Pre-allocation of NH3 in power'!C40*'Indirect NH3 demand sources'!C$5</f>
        <v>0</v>
      </c>
      <c r="D40">
        <f>'Electricity shares'!D40*'Indirect NH3 demand sources'!D$5*(1-SUM('Pre-allocation of NH3 in power'!D40:D110))+'Pre-allocation of NH3 in power'!D40*'Indirect NH3 demand sources'!D$5</f>
        <v>0</v>
      </c>
      <c r="E40">
        <f>'Electricity shares'!E40*'Indirect NH3 demand sources'!E$5*(1-SUM('Pre-allocation of NH3 in power'!E40:E110))+'Pre-allocation of NH3 in power'!E40*'Indirect NH3 demand sources'!E$5</f>
        <v>0</v>
      </c>
      <c r="F40">
        <f>'Electricity shares'!F40*'Indirect NH3 demand sources'!F$5*(1-SUM('Pre-allocation of NH3 in power'!F40:F110))+'Pre-allocation of NH3 in power'!F40*'Indirect NH3 demand sources'!F$5</f>
        <v>0</v>
      </c>
      <c r="G40">
        <f>'Electricity shares'!G40*'Indirect NH3 demand sources'!G$5*(1-SUM('Pre-allocation of NH3 in power'!G40:G110))+'Pre-allocation of NH3 in power'!G40*'Indirect NH3 demand sources'!G$5</f>
        <v>0</v>
      </c>
      <c r="H40">
        <f>'Electricity shares'!H40*'Indirect NH3 demand sources'!H$5*(1-SUM('Pre-allocation of NH3 in power'!H40:H110))+'Pre-allocation of NH3 in power'!H40*'Indirect NH3 demand sources'!H$5</f>
        <v>0</v>
      </c>
      <c r="I40">
        <f>'Electricity shares'!I40*'Indirect NH3 demand sources'!I$5*(1-SUM('Pre-allocation of NH3 in power'!I40:I110))+'Pre-allocation of NH3 in power'!I40*'Indirect NH3 demand sources'!I$5</f>
        <v>0</v>
      </c>
      <c r="J40">
        <f>'Electricity shares'!J40*'Indirect NH3 demand sources'!J$5*(1-SUM('Pre-allocation of NH3 in power'!J40:J110))+'Pre-allocation of NH3 in power'!J40*'Indirect NH3 demand sources'!J$5</f>
        <v>0</v>
      </c>
      <c r="K40">
        <f>'Electricity shares'!K40*'Indirect NH3 demand sources'!K$5*(1-SUM('Pre-allocation of NH3 in power'!K40:K110))+'Pre-allocation of NH3 in power'!K40*'Indirect NH3 demand sources'!K$5</f>
        <v>0</v>
      </c>
      <c r="L40">
        <f>'Electricity shares'!L40*'Indirect NH3 demand sources'!L$5*(1-SUM('Pre-allocation of NH3 in power'!L40:L110))+'Pre-allocation of NH3 in power'!L40*'Indirect NH3 demand sources'!L$5</f>
        <v>0</v>
      </c>
      <c r="M40">
        <f>'Electricity shares'!M40*'Indirect NH3 demand sources'!M$5*(1-SUM('Pre-allocation of NH3 in power'!M40:M110))+'Pre-allocation of NH3 in power'!M40*'Indirect NH3 demand sources'!M$5</f>
        <v>0</v>
      </c>
      <c r="N40">
        <f>'Electricity shares'!N40*'Indirect NH3 demand sources'!N$5*(1-SUM('Pre-allocation of NH3 in power'!N40:N110))+'Pre-allocation of NH3 in power'!N40*'Indirect NH3 demand sources'!N$5</f>
        <v>0</v>
      </c>
      <c r="O40">
        <f>'Electricity shares'!O40*'Indirect NH3 demand sources'!O$5*(1-SUM('Pre-allocation of NH3 in power'!O40:O110))+'Pre-allocation of NH3 in power'!O40*'Indirect NH3 demand sources'!O$5</f>
        <v>0</v>
      </c>
      <c r="P40">
        <f>'Electricity shares'!P40*'Indirect NH3 demand sources'!P$5*(1-SUM('Pre-allocation of NH3 in power'!P40:P110))+'Pre-allocation of NH3 in power'!P40*'Indirect NH3 demand sources'!P$5</f>
        <v>0</v>
      </c>
      <c r="Q40">
        <f>'Electricity shares'!Q40*'Indirect NH3 demand sources'!Q$5*(1-SUM('Pre-allocation of NH3 in power'!Q40:Q110))+'Pre-allocation of NH3 in power'!Q40*'Indirect NH3 demand sources'!Q$5</f>
        <v>0</v>
      </c>
      <c r="R40">
        <f>'Electricity shares'!R40*'Indirect NH3 demand sources'!R$5*(1-SUM('Pre-allocation of NH3 in power'!R40:R110))+'Pre-allocation of NH3 in power'!R40*'Indirect NH3 demand sources'!R$5</f>
        <v>4.0533362295072601E-4</v>
      </c>
      <c r="S40">
        <f>'Electricity shares'!S40*'Indirect NH3 demand sources'!S$5*(1-SUM('Pre-allocation of NH3 in power'!S40:S110))+'Pre-allocation of NH3 in power'!S40*'Indirect NH3 demand sources'!S$5</f>
        <v>8.1368539572525039E-4</v>
      </c>
      <c r="T40">
        <f>'Electricity shares'!T40*'Indirect NH3 demand sources'!T$5*(1-SUM('Pre-allocation of NH3 in power'!T40:T110))+'Pre-allocation of NH3 in power'!T40*'Indirect NH3 demand sources'!T$5</f>
        <v>1.2253087019750929E-3</v>
      </c>
      <c r="U40">
        <f>'Electricity shares'!U40*'Indirect NH3 demand sources'!U$5*(1-SUM('Pre-allocation of NH3 in power'!U40:U110))+'Pre-allocation of NH3 in power'!U40*'Indirect NH3 demand sources'!U$5</f>
        <v>1.6403534055183602E-3</v>
      </c>
      <c r="V40">
        <f>'Electricity shares'!V40*'Indirect NH3 demand sources'!V$5*(1-SUM('Pre-allocation of NH3 in power'!V40:V110))+'Pre-allocation of NH3 in power'!V40*'Indirect NH3 demand sources'!V$5</f>
        <v>2.0597494576816066E-3</v>
      </c>
      <c r="W40">
        <f>'Electricity shares'!W40*'Indirect NH3 demand sources'!W$5*(1-SUM('Pre-allocation of NH3 in power'!W40:W110))+'Pre-allocation of NH3 in power'!W40*'Indirect NH3 demand sources'!W$5</f>
        <v>3.1007687278284857E-3</v>
      </c>
      <c r="X40">
        <f>'Electricity shares'!X40*'Indirect NH3 demand sources'!X$5*(1-SUM('Pre-allocation of NH3 in power'!X40:X110))+'Pre-allocation of NH3 in power'!X40*'Indirect NH3 demand sources'!X$5</f>
        <v>4.1500419281044441E-3</v>
      </c>
      <c r="Y40">
        <f>'Electricity shares'!Y40*'Indirect NH3 demand sources'!Y$5*(1-SUM('Pre-allocation of NH3 in power'!Y40:Y110))+'Pre-allocation of NH3 in power'!Y40*'Indirect NH3 demand sources'!Y$5</f>
        <v>5.2086300428490131E-3</v>
      </c>
      <c r="Z40">
        <f>'Electricity shares'!Z40*'Indirect NH3 demand sources'!Z$5*(1-SUM('Pre-allocation of NH3 in power'!Z40:Z110))+'Pre-allocation of NH3 in power'!Z40*'Indirect NH3 demand sources'!Z$5</f>
        <v>6.2772012726272121E-3</v>
      </c>
      <c r="AA40">
        <f>'Electricity shares'!AA40*'Indirect NH3 demand sources'!AA$5*(1-SUM('Pre-allocation of NH3 in power'!AA40:AA110))+'Pre-allocation of NH3 in power'!AA40*'Indirect NH3 demand sources'!AA$5</f>
        <v>7.3570475513622608E-3</v>
      </c>
      <c r="AB40">
        <f>'Electricity shares'!AB40*'Indirect NH3 demand sources'!AB$5*(1-SUM('Pre-allocation of NH3 in power'!AB40:AB110))+'Pre-allocation of NH3 in power'!AB40*'Indirect NH3 demand sources'!AB$5</f>
        <v>8.4434236459328179E-3</v>
      </c>
      <c r="AC40">
        <f>'Electricity shares'!AC40*'Indirect NH3 demand sources'!AC$5*(1-SUM('Pre-allocation of NH3 in power'!AC40:AC110))+'Pre-allocation of NH3 in power'!AC40*'Indirect NH3 demand sources'!AC$5</f>
        <v>9.5427046694960514E-3</v>
      </c>
      <c r="AD40">
        <f>'Electricity shares'!AD40*'Indirect NH3 demand sources'!AD$5*(1-SUM('Pre-allocation of NH3 in power'!AD40:AD110))+'Pre-allocation of NH3 in power'!AD40*'Indirect NH3 demand sources'!AD$5</f>
        <v>1.0656381159016595E-2</v>
      </c>
      <c r="AE40">
        <f>'Electricity shares'!AE40*'Indirect NH3 demand sources'!AE$5*(1-SUM('Pre-allocation of NH3 in power'!AE40:AE110))+'Pre-allocation of NH3 in power'!AE40*'Indirect NH3 demand sources'!AE$5</f>
        <v>1.1785826691269093E-2</v>
      </c>
      <c r="AF40">
        <f>'Electricity shares'!AF40*'Indirect NH3 demand sources'!AF$5*(1-SUM('Pre-allocation of NH3 in power'!AF40:AF110))+'Pre-allocation of NH3 in power'!AF40*'Indirect NH3 demand sources'!AF$5</f>
        <v>1.2934393212543249E-2</v>
      </c>
      <c r="AG40">
        <f>'Electricity shares'!AG40*'Indirect NH3 demand sources'!AG$5*(1-SUM('Pre-allocation of NH3 in power'!AG40:AG110))+'Pre-allocation of NH3 in power'!AG40*'Indirect NH3 demand sources'!AG$5</f>
        <v>1.3880708727863903E-2</v>
      </c>
      <c r="AH40">
        <f>'Electricity shares'!AH40*'Indirect NH3 demand sources'!AH$5*(1-SUM('Pre-allocation of NH3 in power'!AH40:AH110))+'Pre-allocation of NH3 in power'!AH40*'Indirect NH3 demand sources'!AH$5</f>
        <v>1.4843809607945723E-2</v>
      </c>
      <c r="AI40">
        <f>'Electricity shares'!AI40*'Indirect NH3 demand sources'!AI$5*(1-SUM('Pre-allocation of NH3 in power'!AI40:AI110))+'Pre-allocation of NH3 in power'!AI40*'Indirect NH3 demand sources'!AI$5</f>
        <v>1.5823243383597137E-2</v>
      </c>
      <c r="AJ40">
        <f>'Electricity shares'!AJ40*'Indirect NH3 demand sources'!AJ$5*(1-SUM('Pre-allocation of NH3 in power'!AJ40:AJ110))+'Pre-allocation of NH3 in power'!AJ40*'Indirect NH3 demand sources'!AJ$5</f>
        <v>1.681732387656662E-2</v>
      </c>
      <c r="AK40">
        <f>'Electricity shares'!AK40*'Indirect NH3 demand sources'!AK$5*(1-SUM('Pre-allocation of NH3 in power'!AK40:AK110))+'Pre-allocation of NH3 in power'!AK40*'Indirect NH3 demand sources'!AK$5</f>
        <v>1.7829658903285844E-2</v>
      </c>
      <c r="AL40">
        <f>'Electricity shares'!AL40*'Indirect NH3 demand sources'!AL$5*(1-SUM('Pre-allocation of NH3 in power'!AL40:AL110))+'Pre-allocation of NH3 in power'!AL40*'Indirect NH3 demand sources'!AL$5</f>
        <v>1.885867410176317E-2</v>
      </c>
      <c r="AM40">
        <f>'Electricity shares'!AM40*'Indirect NH3 demand sources'!AM$5*(1-SUM('Pre-allocation of NH3 in power'!AM40:AM110))+'Pre-allocation of NH3 in power'!AM40*'Indirect NH3 demand sources'!AM$5</f>
        <v>1.9897379068313441E-2</v>
      </c>
      <c r="AN40">
        <f>'Electricity shares'!AN40*'Indirect NH3 demand sources'!AN$5*(1-SUM('Pre-allocation of NH3 in power'!AN40:AN110))+'Pre-allocation of NH3 in power'!AN40*'Indirect NH3 demand sources'!AN$5</f>
        <v>2.0947454358497219E-2</v>
      </c>
      <c r="AO40">
        <f>'Electricity shares'!AO40*'Indirect NH3 demand sources'!AO$5*(1-SUM('Pre-allocation of NH3 in power'!AO40:AO110))+'Pre-allocation of NH3 in power'!AO40*'Indirect NH3 demand sources'!AO$5</f>
        <v>2.2008172669621344E-2</v>
      </c>
      <c r="AP40">
        <f>'Electricity shares'!AP40*'Indirect NH3 demand sources'!AP$5*(1-SUM('Pre-allocation of NH3 in power'!AP40:AP110))+'Pre-allocation of NH3 in power'!AP40*'Indirect NH3 demand sources'!AP$5</f>
        <v>2.3075528727581687E-2</v>
      </c>
    </row>
    <row r="41" spans="1:42" x14ac:dyDescent="0.3">
      <c r="A41" t="s">
        <v>116</v>
      </c>
      <c r="B41">
        <f>'Electricity shares'!B41*'Indirect NH3 demand sources'!B$5*(1-SUM('Pre-allocation of NH3 in power'!B41:B111))+'Pre-allocation of NH3 in power'!B41*'Indirect NH3 demand sources'!B$5</f>
        <v>0</v>
      </c>
      <c r="C41">
        <f>'Electricity shares'!C41*'Indirect NH3 demand sources'!C$5*(1-SUM('Pre-allocation of NH3 in power'!C41:C111))+'Pre-allocation of NH3 in power'!C41*'Indirect NH3 demand sources'!C$5</f>
        <v>0</v>
      </c>
      <c r="D41">
        <f>'Electricity shares'!D41*'Indirect NH3 demand sources'!D$5*(1-SUM('Pre-allocation of NH3 in power'!D41:D111))+'Pre-allocation of NH3 in power'!D41*'Indirect NH3 demand sources'!D$5</f>
        <v>0</v>
      </c>
      <c r="E41">
        <f>'Electricity shares'!E41*'Indirect NH3 demand sources'!E$5*(1-SUM('Pre-allocation of NH3 in power'!E41:E111))+'Pre-allocation of NH3 in power'!E41*'Indirect NH3 demand sources'!E$5</f>
        <v>0</v>
      </c>
      <c r="F41">
        <f>'Electricity shares'!F41*'Indirect NH3 demand sources'!F$5*(1-SUM('Pre-allocation of NH3 in power'!F41:F111))+'Pre-allocation of NH3 in power'!F41*'Indirect NH3 demand sources'!F$5</f>
        <v>0</v>
      </c>
      <c r="G41">
        <f>'Electricity shares'!G41*'Indirect NH3 demand sources'!G$5*(1-SUM('Pre-allocation of NH3 in power'!G41:G111))+'Pre-allocation of NH3 in power'!G41*'Indirect NH3 demand sources'!G$5</f>
        <v>0</v>
      </c>
      <c r="H41">
        <f>'Electricity shares'!H41*'Indirect NH3 demand sources'!H$5*(1-SUM('Pre-allocation of NH3 in power'!H41:H111))+'Pre-allocation of NH3 in power'!H41*'Indirect NH3 demand sources'!H$5</f>
        <v>0</v>
      </c>
      <c r="I41">
        <f>'Electricity shares'!I41*'Indirect NH3 demand sources'!I$5*(1-SUM('Pre-allocation of NH3 in power'!I41:I111))+'Pre-allocation of NH3 in power'!I41*'Indirect NH3 demand sources'!I$5</f>
        <v>0</v>
      </c>
      <c r="J41">
        <f>'Electricity shares'!J41*'Indirect NH3 demand sources'!J$5*(1-SUM('Pre-allocation of NH3 in power'!J41:J111))+'Pre-allocation of NH3 in power'!J41*'Indirect NH3 demand sources'!J$5</f>
        <v>0</v>
      </c>
      <c r="K41">
        <f>'Electricity shares'!K41*'Indirect NH3 demand sources'!K$5*(1-SUM('Pre-allocation of NH3 in power'!K41:K111))+'Pre-allocation of NH3 in power'!K41*'Indirect NH3 demand sources'!K$5</f>
        <v>0</v>
      </c>
      <c r="L41">
        <f>'Electricity shares'!L41*'Indirect NH3 demand sources'!L$5*(1-SUM('Pre-allocation of NH3 in power'!L41:L111))+'Pre-allocation of NH3 in power'!L41*'Indirect NH3 demand sources'!L$5</f>
        <v>0</v>
      </c>
      <c r="M41">
        <f>'Electricity shares'!M41*'Indirect NH3 demand sources'!M$5*(1-SUM('Pre-allocation of NH3 in power'!M41:M111))+'Pre-allocation of NH3 in power'!M41*'Indirect NH3 demand sources'!M$5</f>
        <v>0</v>
      </c>
      <c r="N41">
        <f>'Electricity shares'!N41*'Indirect NH3 demand sources'!N$5*(1-SUM('Pre-allocation of NH3 in power'!N41:N111))+'Pre-allocation of NH3 in power'!N41*'Indirect NH3 demand sources'!N$5</f>
        <v>0</v>
      </c>
      <c r="O41">
        <f>'Electricity shares'!O41*'Indirect NH3 demand sources'!O$5*(1-SUM('Pre-allocation of NH3 in power'!O41:O111))+'Pre-allocation of NH3 in power'!O41*'Indirect NH3 demand sources'!O$5</f>
        <v>0</v>
      </c>
      <c r="P41">
        <f>'Electricity shares'!P41*'Indirect NH3 demand sources'!P$5*(1-SUM('Pre-allocation of NH3 in power'!P41:P111))+'Pre-allocation of NH3 in power'!P41*'Indirect NH3 demand sources'!P$5</f>
        <v>0</v>
      </c>
      <c r="Q41">
        <f>'Electricity shares'!Q41*'Indirect NH3 demand sources'!Q$5*(1-SUM('Pre-allocation of NH3 in power'!Q41:Q111))+'Pre-allocation of NH3 in power'!Q41*'Indirect NH3 demand sources'!Q$5</f>
        <v>0</v>
      </c>
      <c r="R41">
        <f>'Electricity shares'!R41*'Indirect NH3 demand sources'!R$5*(1-SUM('Pre-allocation of NH3 in power'!R41:R111))+'Pre-allocation of NH3 in power'!R41*'Indirect NH3 demand sources'!R$5</f>
        <v>9.8949917499868076E-3</v>
      </c>
      <c r="S41">
        <f>'Electricity shares'!S41*'Indirect NH3 demand sources'!S$5*(1-SUM('Pre-allocation of NH3 in power'!S41:S111))+'Pre-allocation of NH3 in power'!S41*'Indirect NH3 demand sources'!S$5</f>
        <v>1.9593280388798699E-2</v>
      </c>
      <c r="T41">
        <f>'Electricity shares'!T41*'Indirect NH3 demand sources'!T$5*(1-SUM('Pre-allocation of NH3 in power'!T41:T111))+'Pre-allocation of NH3 in power'!T41*'Indirect NH3 demand sources'!T$5</f>
        <v>2.907675053486361E-2</v>
      </c>
      <c r="U41">
        <f>'Electricity shares'!U41*'Indirect NH3 demand sources'!U$5*(1-SUM('Pre-allocation of NH3 in power'!U41:U111))+'Pre-allocation of NH3 in power'!U41*'Indirect NH3 demand sources'!U$5</f>
        <v>3.833661214411347E-2</v>
      </c>
      <c r="V41">
        <f>'Electricity shares'!V41*'Indirect NH3 demand sources'!V$5*(1-SUM('Pre-allocation of NH3 in power'!V41:V111))+'Pre-allocation of NH3 in power'!V41*'Indirect NH3 demand sources'!V$5</f>
        <v>4.7375470641050306E-2</v>
      </c>
      <c r="W41">
        <f>'Electricity shares'!W41*'Indirect NH3 demand sources'!W$5*(1-SUM('Pre-allocation of NH3 in power'!W41:W111))+'Pre-allocation of NH3 in power'!W41*'Indirect NH3 demand sources'!W$5</f>
        <v>7.0346700584006328E-2</v>
      </c>
      <c r="X41">
        <f>'Electricity shares'!X41*'Indirect NH3 demand sources'!X$5*(1-SUM('Pre-allocation of NH3 in power'!X41:X111))+'Pre-allocation of NH3 in power'!X41*'Indirect NH3 demand sources'!X$5</f>
        <v>9.2807713928149974E-2</v>
      </c>
      <c r="Y41">
        <f>'Electricity shares'!Y41*'Indirect NH3 demand sources'!Y$5*(1-SUM('Pre-allocation of NH3 in power'!Y41:Y111))+'Pre-allocation of NH3 in power'!Y41*'Indirect NH3 demand sources'!Y$5</f>
        <v>0.11474467908381374</v>
      </c>
      <c r="Z41">
        <f>'Electricity shares'!Z41*'Indirect NH3 demand sources'!Z$5*(1-SUM('Pre-allocation of NH3 in power'!Z41:Z111))+'Pre-allocation of NH3 in power'!Z41*'Indirect NH3 demand sources'!Z$5</f>
        <v>0.13613213044077155</v>
      </c>
      <c r="AA41">
        <f>'Electricity shares'!AA41*'Indirect NH3 demand sources'!AA$5*(1-SUM('Pre-allocation of NH3 in power'!AA41:AA111))+'Pre-allocation of NH3 in power'!AA41*'Indirect NH3 demand sources'!AA$5</f>
        <v>0.15695183955660932</v>
      </c>
      <c r="AB41">
        <f>'Electricity shares'!AB41*'Indirect NH3 demand sources'!AB$5*(1-SUM('Pre-allocation of NH3 in power'!AB41:AB111))+'Pre-allocation of NH3 in power'!AB41*'Indirect NH3 demand sources'!AB$5</f>
        <v>0.17762402621541751</v>
      </c>
      <c r="AC41">
        <f>'Electricity shares'!AC41*'Indirect NH3 demand sources'!AC$5*(1-SUM('Pre-allocation of NH3 in power'!AC41:AC111))+'Pre-allocation of NH3 in power'!AC41*'Indirect NH3 demand sources'!AC$5</f>
        <v>0.19780309323413495</v>
      </c>
      <c r="AD41">
        <f>'Electricity shares'!AD41*'Indirect NH3 demand sources'!AD$5*(1-SUM('Pre-allocation of NH3 in power'!AD41:AD111))+'Pre-allocation of NH3 in power'!AD41*'Indirect NH3 demand sources'!AD$5</f>
        <v>0.21748664047843769</v>
      </c>
      <c r="AE41">
        <f>'Electricity shares'!AE41*'Indirect NH3 demand sources'!AE$5*(1-SUM('Pre-allocation of NH3 in power'!AE41:AE111))+'Pre-allocation of NH3 in power'!AE41*'Indirect NH3 demand sources'!AE$5</f>
        <v>0.23662175135871463</v>
      </c>
      <c r="AF41">
        <f>'Electricity shares'!AF41*'Indirect NH3 demand sources'!AF$5*(1-SUM('Pre-allocation of NH3 in power'!AF41:AF111))+'Pre-allocation of NH3 in power'!AF41*'Indirect NH3 demand sources'!AF$5</f>
        <v>0.25522308421330514</v>
      </c>
      <c r="AG41">
        <f>'Electricity shares'!AG41*'Indirect NH3 demand sources'!AG$5*(1-SUM('Pre-allocation of NH3 in power'!AG41:AG111))+'Pre-allocation of NH3 in power'!AG41*'Indirect NH3 demand sources'!AG$5</f>
        <v>0.26902367569032415</v>
      </c>
      <c r="AH41">
        <f>'Electricity shares'!AH41*'Indirect NH3 demand sources'!AH$5*(1-SUM('Pre-allocation of NH3 in power'!AH41:AH111))+'Pre-allocation of NH3 in power'!AH41*'Indirect NH3 demand sources'!AH$5</f>
        <v>0.28239884860770348</v>
      </c>
      <c r="AI41">
        <f>'Electricity shares'!AI41*'Indirect NH3 demand sources'!AI$5*(1-SUM('Pre-allocation of NH3 in power'!AI41:AI111))+'Pre-allocation of NH3 in power'!AI41*'Indirect NH3 demand sources'!AI$5</f>
        <v>0.29533753508958804</v>
      </c>
      <c r="AJ41">
        <f>'Electricity shares'!AJ41*'Indirect NH3 demand sources'!AJ$5*(1-SUM('Pre-allocation of NH3 in power'!AJ41:AJ111))+'Pre-allocation of NH3 in power'!AJ41*'Indirect NH3 demand sources'!AJ$5</f>
        <v>0.30781607327286536</v>
      </c>
      <c r="AK41">
        <f>'Electricity shares'!AK41*'Indirect NH3 demand sources'!AK$5*(1-SUM('Pre-allocation of NH3 in power'!AK41:AK111))+'Pre-allocation of NH3 in power'!AK41*'Indirect NH3 demand sources'!AK$5</f>
        <v>0.31992673583180875</v>
      </c>
      <c r="AL41">
        <f>'Electricity shares'!AL41*'Indirect NH3 demand sources'!AL$5*(1-SUM('Pre-allocation of NH3 in power'!AL41:AL111))+'Pre-allocation of NH3 in power'!AL41*'Indirect NH3 demand sources'!AL$5</f>
        <v>0.33166696384756417</v>
      </c>
      <c r="AM41">
        <f>'Electricity shares'!AM41*'Indirect NH3 demand sources'!AM$5*(1-SUM('Pre-allocation of NH3 in power'!AM41:AM111))+'Pre-allocation of NH3 in power'!AM41*'Indirect NH3 demand sources'!AM$5</f>
        <v>0.34298716479930652</v>
      </c>
      <c r="AN41">
        <f>'Electricity shares'!AN41*'Indirect NH3 demand sources'!AN$5*(1-SUM('Pre-allocation of NH3 in power'!AN41:AN111))+'Pre-allocation of NH3 in power'!AN41*'Indirect NH3 demand sources'!AN$5</f>
        <v>0.35397668636690099</v>
      </c>
      <c r="AO41">
        <f>'Electricity shares'!AO41*'Indirect NH3 demand sources'!AO$5*(1-SUM('Pre-allocation of NH3 in power'!AO41:AO111))+'Pre-allocation of NH3 in power'!AO41*'Indirect NH3 demand sources'!AO$5</f>
        <v>0.3646878116945762</v>
      </c>
      <c r="AP41">
        <f>'Electricity shares'!AP41*'Indirect NH3 demand sources'!AP$5*(1-SUM('Pre-allocation of NH3 in power'!AP41:AP111))+'Pre-allocation of NH3 in power'!AP41*'Indirect NH3 demand sources'!AP$5</f>
        <v>0.37511568459731065</v>
      </c>
    </row>
    <row r="42" spans="1:42" x14ac:dyDescent="0.3">
      <c r="A42" t="s">
        <v>117</v>
      </c>
      <c r="B42">
        <f>'Electricity shares'!B42*'Indirect NH3 demand sources'!B$5*(1-SUM('Pre-allocation of NH3 in power'!B42:B112))+'Pre-allocation of NH3 in power'!B42*'Indirect NH3 demand sources'!B$5</f>
        <v>0</v>
      </c>
      <c r="C42">
        <f>'Electricity shares'!C42*'Indirect NH3 demand sources'!C$5*(1-SUM('Pre-allocation of NH3 in power'!C42:C112))+'Pre-allocation of NH3 in power'!C42*'Indirect NH3 demand sources'!C$5</f>
        <v>0</v>
      </c>
      <c r="D42">
        <f>'Electricity shares'!D42*'Indirect NH3 demand sources'!D$5*(1-SUM('Pre-allocation of NH3 in power'!D42:D112))+'Pre-allocation of NH3 in power'!D42*'Indirect NH3 demand sources'!D$5</f>
        <v>0</v>
      </c>
      <c r="E42">
        <f>'Electricity shares'!E42*'Indirect NH3 demand sources'!E$5*(1-SUM('Pre-allocation of NH3 in power'!E42:E112))+'Pre-allocation of NH3 in power'!E42*'Indirect NH3 demand sources'!E$5</f>
        <v>0</v>
      </c>
      <c r="F42">
        <f>'Electricity shares'!F42*'Indirect NH3 demand sources'!F$5*(1-SUM('Pre-allocation of NH3 in power'!F42:F112))+'Pre-allocation of NH3 in power'!F42*'Indirect NH3 demand sources'!F$5</f>
        <v>0</v>
      </c>
      <c r="G42">
        <f>'Electricity shares'!G42*'Indirect NH3 demand sources'!G$5*(1-SUM('Pre-allocation of NH3 in power'!G42:G112))+'Pre-allocation of NH3 in power'!G42*'Indirect NH3 demand sources'!G$5</f>
        <v>0</v>
      </c>
      <c r="H42">
        <f>'Electricity shares'!H42*'Indirect NH3 demand sources'!H$5*(1-SUM('Pre-allocation of NH3 in power'!H42:H112))+'Pre-allocation of NH3 in power'!H42*'Indirect NH3 demand sources'!H$5</f>
        <v>0</v>
      </c>
      <c r="I42">
        <f>'Electricity shares'!I42*'Indirect NH3 demand sources'!I$5*(1-SUM('Pre-allocation of NH3 in power'!I42:I112))+'Pre-allocation of NH3 in power'!I42*'Indirect NH3 demand sources'!I$5</f>
        <v>0</v>
      </c>
      <c r="J42">
        <f>'Electricity shares'!J42*'Indirect NH3 demand sources'!J$5*(1-SUM('Pre-allocation of NH3 in power'!J42:J112))+'Pre-allocation of NH3 in power'!J42*'Indirect NH3 demand sources'!J$5</f>
        <v>0</v>
      </c>
      <c r="K42">
        <f>'Electricity shares'!K42*'Indirect NH3 demand sources'!K$5*(1-SUM('Pre-allocation of NH3 in power'!K42:K112))+'Pre-allocation of NH3 in power'!K42*'Indirect NH3 demand sources'!K$5</f>
        <v>0</v>
      </c>
      <c r="L42">
        <f>'Electricity shares'!L42*'Indirect NH3 demand sources'!L$5*(1-SUM('Pre-allocation of NH3 in power'!L42:L112))+'Pre-allocation of NH3 in power'!L42*'Indirect NH3 demand sources'!L$5</f>
        <v>0</v>
      </c>
      <c r="M42">
        <f>'Electricity shares'!M42*'Indirect NH3 demand sources'!M$5*(1-SUM('Pre-allocation of NH3 in power'!M42:M112))+'Pre-allocation of NH3 in power'!M42*'Indirect NH3 demand sources'!M$5</f>
        <v>0</v>
      </c>
      <c r="N42">
        <f>'Electricity shares'!N42*'Indirect NH3 demand sources'!N$5*(1-SUM('Pre-allocation of NH3 in power'!N42:N112))+'Pre-allocation of NH3 in power'!N42*'Indirect NH3 demand sources'!N$5</f>
        <v>0</v>
      </c>
      <c r="O42">
        <f>'Electricity shares'!O42*'Indirect NH3 demand sources'!O$5*(1-SUM('Pre-allocation of NH3 in power'!O42:O112))+'Pre-allocation of NH3 in power'!O42*'Indirect NH3 demand sources'!O$5</f>
        <v>0</v>
      </c>
      <c r="P42">
        <f>'Electricity shares'!P42*'Indirect NH3 demand sources'!P$5*(1-SUM('Pre-allocation of NH3 in power'!P42:P112))+'Pre-allocation of NH3 in power'!P42*'Indirect NH3 demand sources'!P$5</f>
        <v>0</v>
      </c>
      <c r="Q42">
        <f>'Electricity shares'!Q42*'Indirect NH3 demand sources'!Q$5*(1-SUM('Pre-allocation of NH3 in power'!Q42:Q112))+'Pre-allocation of NH3 in power'!Q42*'Indirect NH3 demand sources'!Q$5</f>
        <v>0</v>
      </c>
      <c r="R42">
        <f>'Electricity shares'!R42*'Indirect NH3 demand sources'!R$5*(1-SUM('Pre-allocation of NH3 in power'!R42:R112))+'Pre-allocation of NH3 in power'!R42*'Indirect NH3 demand sources'!R$5</f>
        <v>3.2958909742896223E-4</v>
      </c>
      <c r="S42">
        <f>'Electricity shares'!S42*'Indirect NH3 demand sources'!S$5*(1-SUM('Pre-allocation of NH3 in power'!S42:S112))+'Pre-allocation of NH3 in power'!S42*'Indirect NH3 demand sources'!S$5</f>
        <v>6.4923697180613077E-4</v>
      </c>
      <c r="T42">
        <f>'Electricity shares'!T42*'Indirect NH3 demand sources'!T$5*(1-SUM('Pre-allocation of NH3 in power'!T42:T112))+'Pre-allocation of NH3 in power'!T42*'Indirect NH3 demand sources'!T$5</f>
        <v>9.5866193038905917E-4</v>
      </c>
      <c r="U42">
        <f>'Electricity shares'!U42*'Indirect NH3 demand sources'!U$5*(1-SUM('Pre-allocation of NH3 in power'!U42:U112))+'Pre-allocation of NH3 in power'!U42*'Indirect NH3 demand sources'!U$5</f>
        <v>1.2581955637714017E-3</v>
      </c>
      <c r="V42">
        <f>'Electricity shares'!V42*'Indirect NH3 demand sources'!V$5*(1-SUM('Pre-allocation of NH3 in power'!V42:V112))+'Pre-allocation of NH3 in power'!V42*'Indirect NH3 demand sources'!V$5</f>
        <v>1.5480886552544208E-3</v>
      </c>
      <c r="W42">
        <f>'Electricity shares'!W42*'Indirect NH3 demand sources'!W$5*(1-SUM('Pre-allocation of NH3 in power'!W42:W112))+'Pre-allocation of NH3 in power'!W42*'Indirect NH3 demand sources'!W$5</f>
        <v>2.2924508052692095E-3</v>
      </c>
      <c r="X42">
        <f>'Electricity shares'!X42*'Indirect NH3 demand sources'!X$5*(1-SUM('Pre-allocation of NH3 in power'!X42:X112))+'Pre-allocation of NH3 in power'!X42*'Indirect NH3 demand sources'!X$5</f>
        <v>3.0166012713127694E-3</v>
      </c>
      <c r="Y42">
        <f>'Electricity shares'!Y42*'Indirect NH3 demand sources'!Y$5*(1-SUM('Pre-allocation of NH3 in power'!Y42:Y112))+'Pre-allocation of NH3 in power'!Y42*'Indirect NH3 demand sources'!Y$5</f>
        <v>3.7203575893721657E-3</v>
      </c>
      <c r="Z42">
        <f>'Electricity shares'!Z42*'Indirect NH3 demand sources'!Z$5*(1-SUM('Pre-allocation of NH3 in power'!Z42:Z112))+'Pre-allocation of NH3 in power'!Z42*'Indirect NH3 demand sources'!Z$5</f>
        <v>4.4031202185307039E-3</v>
      </c>
      <c r="AA42">
        <f>'Electricity shares'!AA42*'Indirect NH3 demand sources'!AA$5*(1-SUM('Pre-allocation of NH3 in power'!AA42:AA112))+'Pre-allocation of NH3 in power'!AA42*'Indirect NH3 demand sources'!AA$5</f>
        <v>5.0646467028687579E-3</v>
      </c>
      <c r="AB42">
        <f>'Electricity shares'!AB42*'Indirect NH3 demand sources'!AB$5*(1-SUM('Pre-allocation of NH3 in power'!AB42:AB112))+'Pre-allocation of NH3 in power'!AB42*'Indirect NH3 demand sources'!AB$5</f>
        <v>5.717131372382213E-3</v>
      </c>
      <c r="AC42">
        <f>'Electricity shares'!AC42*'Indirect NH3 demand sources'!AC$5*(1-SUM('Pre-allocation of NH3 in power'!AC42:AC112))+'Pre-allocation of NH3 in power'!AC42*'Indirect NH3 demand sources'!AC$5</f>
        <v>6.3506249139298329E-3</v>
      </c>
      <c r="AD42">
        <f>'Electricity shares'!AD42*'Indirect NH3 demand sources'!AD$5*(1-SUM('Pre-allocation of NH3 in power'!AD42:AD112))+'Pre-allocation of NH3 in power'!AD42*'Indirect NH3 demand sources'!AD$5</f>
        <v>6.9646588205198069E-3</v>
      </c>
      <c r="AE42">
        <f>'Electricity shares'!AE42*'Indirect NH3 demand sources'!AE$5*(1-SUM('Pre-allocation of NH3 in power'!AE42:AE112))+'Pre-allocation of NH3 in power'!AE42*'Indirect NH3 demand sources'!AE$5</f>
        <v>7.5592519966071296E-3</v>
      </c>
      <c r="AF42">
        <f>'Electricity shares'!AF42*'Indirect NH3 demand sources'!AF$5*(1-SUM('Pre-allocation of NH3 in power'!AF42:AF112))+'Pre-allocation of NH3 in power'!AF42*'Indirect NH3 demand sources'!AF$5</f>
        <v>8.1340826128387268E-3</v>
      </c>
      <c r="AG42">
        <f>'Electricity shares'!AG42*'Indirect NH3 demand sources'!AG$5*(1-SUM('Pre-allocation of NH3 in power'!AG42:AG112))+'Pre-allocation of NH3 in power'!AG42*'Indirect NH3 demand sources'!AG$5</f>
        <v>8.5540688994570555E-3</v>
      </c>
      <c r="AH42">
        <f>'Electricity shares'!AH42*'Indirect NH3 demand sources'!AH$5*(1-SUM('Pre-allocation of NH3 in power'!AH42:AH112))+'Pre-allocation of NH3 in power'!AH42*'Indirect NH3 demand sources'!AH$5</f>
        <v>8.9589641302330082E-3</v>
      </c>
      <c r="AI42">
        <f>'Electricity shares'!AI42*'Indirect NH3 demand sources'!AI$5*(1-SUM('Pre-allocation of NH3 in power'!AI42:AI112))+'Pre-allocation of NH3 in power'!AI42*'Indirect NH3 demand sources'!AI$5</f>
        <v>9.3480696149999855E-3</v>
      </c>
      <c r="AJ42">
        <f>'Electricity shares'!AJ42*'Indirect NH3 demand sources'!AJ$5*(1-SUM('Pre-allocation of NH3 in power'!AJ42:AJ112))+'Pre-allocation of NH3 in power'!AJ42*'Indirect NH3 demand sources'!AJ$5</f>
        <v>9.7217962283245914E-3</v>
      </c>
      <c r="AK42">
        <f>'Electricity shares'!AK42*'Indirect NH3 demand sources'!AK$5*(1-SUM('Pre-allocation of NH3 in power'!AK42:AK112))+'Pre-allocation of NH3 in power'!AK42*'Indirect NH3 demand sources'!AK$5</f>
        <v>1.0082194257448031E-2</v>
      </c>
      <c r="AL42">
        <f>'Electricity shares'!AL42*'Indirect NH3 demand sources'!AL$5*(1-SUM('Pre-allocation of NH3 in power'!AL42:AL112))+'Pre-allocation of NH3 in power'!AL42*'Indirect NH3 demand sources'!AL$5</f>
        <v>1.0429882647142182E-2</v>
      </c>
      <c r="AM42">
        <f>'Electricity shares'!AM42*'Indirect NH3 demand sources'!AM$5*(1-SUM('Pre-allocation of NH3 in power'!AM42:AM112))+'Pre-allocation of NH3 in power'!AM42*'Indirect NH3 demand sources'!AM$5</f>
        <v>1.0763495388323406E-2</v>
      </c>
      <c r="AN42">
        <f>'Electricity shares'!AN42*'Indirect NH3 demand sources'!AN$5*(1-SUM('Pre-allocation of NH3 in power'!AN42:AN112))+'Pre-allocation of NH3 in power'!AN42*'Indirect NH3 demand sources'!AN$5</f>
        <v>1.1085988547202516E-2</v>
      </c>
      <c r="AO42">
        <f>'Electricity shares'!AO42*'Indirect NH3 demand sources'!AO$5*(1-SUM('Pre-allocation of NH3 in power'!AO42:AO112))+'Pre-allocation of NH3 in power'!AO42*'Indirect NH3 demand sources'!AO$5</f>
        <v>1.1398705596431396E-2</v>
      </c>
      <c r="AP42">
        <f>'Electricity shares'!AP42*'Indirect NH3 demand sources'!AP$5*(1-SUM('Pre-allocation of NH3 in power'!AP42:AP112))+'Pre-allocation of NH3 in power'!AP42*'Indirect NH3 demand sources'!AP$5</f>
        <v>1.1702043165838456E-2</v>
      </c>
    </row>
    <row r="43" spans="1:42" x14ac:dyDescent="0.3">
      <c r="A43" t="s">
        <v>118</v>
      </c>
      <c r="B43">
        <f>'Electricity shares'!B43*'Indirect NH3 demand sources'!B$5*(1-SUM('Pre-allocation of NH3 in power'!B43:B113))+'Pre-allocation of NH3 in power'!B43*'Indirect NH3 demand sources'!B$5</f>
        <v>0</v>
      </c>
      <c r="C43">
        <f>'Electricity shares'!C43*'Indirect NH3 demand sources'!C$5*(1-SUM('Pre-allocation of NH3 in power'!C43:C113))+'Pre-allocation of NH3 in power'!C43*'Indirect NH3 demand sources'!C$5</f>
        <v>0</v>
      </c>
      <c r="D43">
        <f>'Electricity shares'!D43*'Indirect NH3 demand sources'!D$5*(1-SUM('Pre-allocation of NH3 in power'!D43:D113))+'Pre-allocation of NH3 in power'!D43*'Indirect NH3 demand sources'!D$5</f>
        <v>0</v>
      </c>
      <c r="E43">
        <f>'Electricity shares'!E43*'Indirect NH3 demand sources'!E$5*(1-SUM('Pre-allocation of NH3 in power'!E43:E113))+'Pre-allocation of NH3 in power'!E43*'Indirect NH3 demand sources'!E$5</f>
        <v>0</v>
      </c>
      <c r="F43">
        <f>'Electricity shares'!F43*'Indirect NH3 demand sources'!F$5*(1-SUM('Pre-allocation of NH3 in power'!F43:F113))+'Pre-allocation of NH3 in power'!F43*'Indirect NH3 demand sources'!F$5</f>
        <v>0</v>
      </c>
      <c r="G43">
        <f>'Electricity shares'!G43*'Indirect NH3 demand sources'!G$5*(1-SUM('Pre-allocation of NH3 in power'!G43:G113))+'Pre-allocation of NH3 in power'!G43*'Indirect NH3 demand sources'!G$5</f>
        <v>0</v>
      </c>
      <c r="H43">
        <f>'Electricity shares'!H43*'Indirect NH3 demand sources'!H$5*(1-SUM('Pre-allocation of NH3 in power'!H43:H113))+'Pre-allocation of NH3 in power'!H43*'Indirect NH3 demand sources'!H$5</f>
        <v>0</v>
      </c>
      <c r="I43">
        <f>'Electricity shares'!I43*'Indirect NH3 demand sources'!I$5*(1-SUM('Pre-allocation of NH3 in power'!I43:I113))+'Pre-allocation of NH3 in power'!I43*'Indirect NH3 demand sources'!I$5</f>
        <v>0</v>
      </c>
      <c r="J43">
        <f>'Electricity shares'!J43*'Indirect NH3 demand sources'!J$5*(1-SUM('Pre-allocation of NH3 in power'!J43:J113))+'Pre-allocation of NH3 in power'!J43*'Indirect NH3 demand sources'!J$5</f>
        <v>0</v>
      </c>
      <c r="K43">
        <f>'Electricity shares'!K43*'Indirect NH3 demand sources'!K$5*(1-SUM('Pre-allocation of NH3 in power'!K43:K113))+'Pre-allocation of NH3 in power'!K43*'Indirect NH3 demand sources'!K$5</f>
        <v>0</v>
      </c>
      <c r="L43">
        <f>'Electricity shares'!L43*'Indirect NH3 demand sources'!L$5*(1-SUM('Pre-allocation of NH3 in power'!L43:L113))+'Pre-allocation of NH3 in power'!L43*'Indirect NH3 demand sources'!L$5</f>
        <v>0</v>
      </c>
      <c r="M43">
        <f>'Electricity shares'!M43*'Indirect NH3 demand sources'!M$5*(1-SUM('Pre-allocation of NH3 in power'!M43:M113))+'Pre-allocation of NH3 in power'!M43*'Indirect NH3 demand sources'!M$5</f>
        <v>0</v>
      </c>
      <c r="N43">
        <f>'Electricity shares'!N43*'Indirect NH3 demand sources'!N$5*(1-SUM('Pre-allocation of NH3 in power'!N43:N113))+'Pre-allocation of NH3 in power'!N43*'Indirect NH3 demand sources'!N$5</f>
        <v>0</v>
      </c>
      <c r="O43">
        <f>'Electricity shares'!O43*'Indirect NH3 demand sources'!O$5*(1-SUM('Pre-allocation of NH3 in power'!O43:O113))+'Pre-allocation of NH3 in power'!O43*'Indirect NH3 demand sources'!O$5</f>
        <v>0</v>
      </c>
      <c r="P43">
        <f>'Electricity shares'!P43*'Indirect NH3 demand sources'!P$5*(1-SUM('Pre-allocation of NH3 in power'!P43:P113))+'Pre-allocation of NH3 in power'!P43*'Indirect NH3 demand sources'!P$5</f>
        <v>0</v>
      </c>
      <c r="Q43">
        <f>'Electricity shares'!Q43*'Indirect NH3 demand sources'!Q$5*(1-SUM('Pre-allocation of NH3 in power'!Q43:Q113))+'Pre-allocation of NH3 in power'!Q43*'Indirect NH3 demand sources'!Q$5</f>
        <v>0</v>
      </c>
      <c r="R43">
        <f>'Electricity shares'!R43*'Indirect NH3 demand sources'!R$5*(1-SUM('Pre-allocation of NH3 in power'!R43:R113))+'Pre-allocation of NH3 in power'!R43*'Indirect NH3 demand sources'!R$5</f>
        <v>0.18223825363680873</v>
      </c>
      <c r="S43">
        <f>'Electricity shares'!S43*'Indirect NH3 demand sources'!S$5*(1-SUM('Pre-allocation of NH3 in power'!S43:S113))+'Pre-allocation of NH3 in power'!S43*'Indirect NH3 demand sources'!S$5</f>
        <v>0.36498103492499379</v>
      </c>
      <c r="T43">
        <f>'Electricity shares'!T43*'Indirect NH3 demand sources'!T$5*(1-SUM('Pre-allocation of NH3 in power'!T43:T113))+'Pre-allocation of NH3 in power'!T43*'Indirect NH3 demand sources'!T$5</f>
        <v>0.5481196435899065</v>
      </c>
      <c r="U43">
        <f>'Electricity shares'!U43*'Indirect NH3 demand sources'!U$5*(1-SUM('Pre-allocation of NH3 in power'!U43:U113))+'Pre-allocation of NH3 in power'!U43*'Indirect NH3 demand sources'!U$5</f>
        <v>0.73149533423801416</v>
      </c>
      <c r="V43">
        <f>'Electricity shares'!V43*'Indirect NH3 demand sources'!V$5*(1-SUM('Pre-allocation of NH3 in power'!V43:V113))+'Pre-allocation of NH3 in power'!V43*'Indirect NH3 demand sources'!V$5</f>
        <v>0.91462017812140306</v>
      </c>
      <c r="W43">
        <f>'Electricity shares'!W43*'Indirect NH3 demand sources'!W$5*(1-SUM('Pre-allocation of NH3 in power'!W43:W113))+'Pre-allocation of NH3 in power'!W43*'Indirect NH3 demand sources'!W$5</f>
        <v>1.3722677621291328</v>
      </c>
      <c r="X43">
        <f>'Electricity shares'!X43*'Indirect NH3 demand sources'!X$5*(1-SUM('Pre-allocation of NH3 in power'!X43:X113))+'Pre-allocation of NH3 in power'!X43*'Indirect NH3 demand sources'!X$5</f>
        <v>1.8297783578750901</v>
      </c>
      <c r="Y43">
        <f>'Electricity shares'!Y43*'Indirect NH3 demand sources'!Y$5*(1-SUM('Pre-allocation of NH3 in power'!Y43:Y113))+'Pre-allocation of NH3 in power'!Y43*'Indirect NH3 demand sources'!Y$5</f>
        <v>2.2867593492195404</v>
      </c>
      <c r="Z43">
        <f>'Electricity shares'!Z43*'Indirect NH3 demand sources'!Z$5*(1-SUM('Pre-allocation of NH3 in power'!Z43:Z113))+'Pre-allocation of NH3 in power'!Z43*'Indirect NH3 demand sources'!Z$5</f>
        <v>2.7428744463381651</v>
      </c>
      <c r="AA43">
        <f>'Electricity shares'!AA43*'Indirect NH3 demand sources'!AA$5*(1-SUM('Pre-allocation of NH3 in power'!AA43:AA113))+'Pre-allocation of NH3 in power'!AA43*'Indirect NH3 demand sources'!AA$5</f>
        <v>3.1978418070671859</v>
      </c>
      <c r="AB43">
        <f>'Electricity shares'!AB43*'Indirect NH3 demand sources'!AB$5*(1-SUM('Pre-allocation of NH3 in power'!AB43:AB113))+'Pre-allocation of NH3 in power'!AB43*'Indirect NH3 demand sources'!AB$5</f>
        <v>3.649952436922498</v>
      </c>
      <c r="AC43">
        <f>'Electricity shares'!AC43*'Indirect NH3 demand sources'!AC$5*(1-SUM('Pre-allocation of NH3 in power'!AC43:AC113))+'Pre-allocation of NH3 in power'!AC43*'Indirect NH3 demand sources'!AC$5</f>
        <v>4.100326527591764</v>
      </c>
      <c r="AD43">
        <f>'Electricity shares'!AD43*'Indirect NH3 demand sources'!AD$5*(1-SUM('Pre-allocation of NH3 in power'!AD43:AD113))+'Pre-allocation of NH3 in power'!AD43*'Indirect NH3 demand sources'!AD$5</f>
        <v>4.5488908234006251</v>
      </c>
      <c r="AE43">
        <f>'Electricity shares'!AE43*'Indirect NH3 demand sources'!AE$5*(1-SUM('Pre-allocation of NH3 in power'!AE43:AE113))+'Pre-allocation of NH3 in power'!AE43*'Indirect NH3 demand sources'!AE$5</f>
        <v>4.9955329874579393</v>
      </c>
      <c r="AF43">
        <f>'Electricity shares'!AF43*'Indirect NH3 demand sources'!AF$5*(1-SUM('Pre-allocation of NH3 in power'!AF43:AF113))+'Pre-allocation of NH3 in power'!AF43*'Indirect NH3 demand sources'!AF$5</f>
        <v>5.4403686844673471</v>
      </c>
      <c r="AG43">
        <f>'Electricity shares'!AG43*'Indirect NH3 demand sources'!AG$5*(1-SUM('Pre-allocation of NH3 in power'!AG43:AG113))+'Pre-allocation of NH3 in power'!AG43*'Indirect NH3 demand sources'!AG$5</f>
        <v>5.7924179660273012</v>
      </c>
      <c r="AH43">
        <f>'Electricity shares'!AH43*'Indirect NH3 demand sources'!AH$5*(1-SUM('Pre-allocation of NH3 in power'!AH43:AH113))+'Pre-allocation of NH3 in power'!AH43*'Indirect NH3 demand sources'!AH$5</f>
        <v>6.1421991687476103</v>
      </c>
      <c r="AI43">
        <f>'Electricity shares'!AI43*'Indirect NH3 demand sources'!AI$5*(1-SUM('Pre-allocation of NH3 in power'!AI43:AI113))+'Pre-allocation of NH3 in power'!AI43*'Indirect NH3 demand sources'!AI$5</f>
        <v>6.4902862502053908</v>
      </c>
      <c r="AJ43">
        <f>'Electricity shares'!AJ43*'Indirect NH3 demand sources'!AJ$5*(1-SUM('Pre-allocation of NH3 in power'!AJ43:AJ113))+'Pre-allocation of NH3 in power'!AJ43*'Indirect NH3 demand sources'!AJ$5</f>
        <v>6.8372592209719194</v>
      </c>
      <c r="AK43">
        <f>'Electricity shares'!AK43*'Indirect NH3 demand sources'!AK$5*(1-SUM('Pre-allocation of NH3 in power'!AK43:AK113))+'Pre-allocation of NH3 in power'!AK43*'Indirect NH3 demand sources'!AK$5</f>
        <v>7.1819878527184766</v>
      </c>
      <c r="AL43">
        <f>'Electricity shares'!AL43*'Indirect NH3 demand sources'!AL$5*(1-SUM('Pre-allocation of NH3 in power'!AL43:AL113))+'Pre-allocation of NH3 in power'!AL43*'Indirect NH3 demand sources'!AL$5</f>
        <v>7.524229079668264</v>
      </c>
      <c r="AM43">
        <f>'Electricity shares'!AM43*'Indirect NH3 demand sources'!AM$5*(1-SUM('Pre-allocation of NH3 in power'!AM43:AM113))+'Pre-allocation of NH3 in power'!AM43*'Indirect NH3 demand sources'!AM$5</f>
        <v>7.8641111330117823</v>
      </c>
      <c r="AN43">
        <f>'Electricity shares'!AN43*'Indirect NH3 demand sources'!AN$5*(1-SUM('Pre-allocation of NH3 in power'!AN43:AN113))+'Pre-allocation of NH3 in power'!AN43*'Indirect NH3 demand sources'!AN$5</f>
        <v>8.201785376264942</v>
      </c>
      <c r="AO43">
        <f>'Electricity shares'!AO43*'Indirect NH3 demand sources'!AO$5*(1-SUM('Pre-allocation of NH3 in power'!AO43:AO113))+'Pre-allocation of NH3 in power'!AO43*'Indirect NH3 demand sources'!AO$5</f>
        <v>8.5374856178290379</v>
      </c>
      <c r="AP43">
        <f>'Electricity shares'!AP43*'Indirect NH3 demand sources'!AP$5*(1-SUM('Pre-allocation of NH3 in power'!AP43:AP113))+'Pre-allocation of NH3 in power'!AP43*'Indirect NH3 demand sources'!AP$5</f>
        <v>8.8710038103365854</v>
      </c>
    </row>
    <row r="44" spans="1:42" x14ac:dyDescent="0.3">
      <c r="A44" t="s">
        <v>119</v>
      </c>
      <c r="B44">
        <f>'Electricity shares'!B44*'Indirect NH3 demand sources'!B$5*(1-SUM('Pre-allocation of NH3 in power'!B44:B114))+'Pre-allocation of NH3 in power'!B44*'Indirect NH3 demand sources'!B$5</f>
        <v>0</v>
      </c>
      <c r="C44">
        <f>'Electricity shares'!C44*'Indirect NH3 demand sources'!C$5*(1-SUM('Pre-allocation of NH3 in power'!C44:C114))+'Pre-allocation of NH3 in power'!C44*'Indirect NH3 demand sources'!C$5</f>
        <v>0</v>
      </c>
      <c r="D44">
        <f>'Electricity shares'!D44*'Indirect NH3 demand sources'!D$5*(1-SUM('Pre-allocation of NH3 in power'!D44:D114))+'Pre-allocation of NH3 in power'!D44*'Indirect NH3 demand sources'!D$5</f>
        <v>0</v>
      </c>
      <c r="E44">
        <f>'Electricity shares'!E44*'Indirect NH3 demand sources'!E$5*(1-SUM('Pre-allocation of NH3 in power'!E44:E114))+'Pre-allocation of NH3 in power'!E44*'Indirect NH3 demand sources'!E$5</f>
        <v>0</v>
      </c>
      <c r="F44">
        <f>'Electricity shares'!F44*'Indirect NH3 demand sources'!F$5*(1-SUM('Pre-allocation of NH3 in power'!F44:F114))+'Pre-allocation of NH3 in power'!F44*'Indirect NH3 demand sources'!F$5</f>
        <v>0</v>
      </c>
      <c r="G44">
        <f>'Electricity shares'!G44*'Indirect NH3 demand sources'!G$5*(1-SUM('Pre-allocation of NH3 in power'!G44:G114))+'Pre-allocation of NH3 in power'!G44*'Indirect NH3 demand sources'!G$5</f>
        <v>0</v>
      </c>
      <c r="H44">
        <f>'Electricity shares'!H44*'Indirect NH3 demand sources'!H$5*(1-SUM('Pre-allocation of NH3 in power'!H44:H114))+'Pre-allocation of NH3 in power'!H44*'Indirect NH3 demand sources'!H$5</f>
        <v>0</v>
      </c>
      <c r="I44">
        <f>'Electricity shares'!I44*'Indirect NH3 demand sources'!I$5*(1-SUM('Pre-allocation of NH3 in power'!I44:I114))+'Pre-allocation of NH3 in power'!I44*'Indirect NH3 demand sources'!I$5</f>
        <v>0</v>
      </c>
      <c r="J44">
        <f>'Electricity shares'!J44*'Indirect NH3 demand sources'!J$5*(1-SUM('Pre-allocation of NH3 in power'!J44:J114))+'Pre-allocation of NH3 in power'!J44*'Indirect NH3 demand sources'!J$5</f>
        <v>0</v>
      </c>
      <c r="K44">
        <f>'Electricity shares'!K44*'Indirect NH3 demand sources'!K$5*(1-SUM('Pre-allocation of NH3 in power'!K44:K114))+'Pre-allocation of NH3 in power'!K44*'Indirect NH3 demand sources'!K$5</f>
        <v>0</v>
      </c>
      <c r="L44">
        <f>'Electricity shares'!L44*'Indirect NH3 demand sources'!L$5*(1-SUM('Pre-allocation of NH3 in power'!L44:L114))+'Pre-allocation of NH3 in power'!L44*'Indirect NH3 demand sources'!L$5</f>
        <v>0</v>
      </c>
      <c r="M44">
        <f>'Electricity shares'!M44*'Indirect NH3 demand sources'!M$5*(1-SUM('Pre-allocation of NH3 in power'!M44:M114))+'Pre-allocation of NH3 in power'!M44*'Indirect NH3 demand sources'!M$5</f>
        <v>0</v>
      </c>
      <c r="N44">
        <f>'Electricity shares'!N44*'Indirect NH3 demand sources'!N$5*(1-SUM('Pre-allocation of NH3 in power'!N44:N114))+'Pre-allocation of NH3 in power'!N44*'Indirect NH3 demand sources'!N$5</f>
        <v>0</v>
      </c>
      <c r="O44">
        <f>'Electricity shares'!O44*'Indirect NH3 demand sources'!O$5*(1-SUM('Pre-allocation of NH3 in power'!O44:O114))+'Pre-allocation of NH3 in power'!O44*'Indirect NH3 demand sources'!O$5</f>
        <v>0</v>
      </c>
      <c r="P44">
        <f>'Electricity shares'!P44*'Indirect NH3 demand sources'!P$5*(1-SUM('Pre-allocation of NH3 in power'!P44:P114))+'Pre-allocation of NH3 in power'!P44*'Indirect NH3 demand sources'!P$5</f>
        <v>0</v>
      </c>
      <c r="Q44">
        <f>'Electricity shares'!Q44*'Indirect NH3 demand sources'!Q$5*(1-SUM('Pre-allocation of NH3 in power'!Q44:Q114))+'Pre-allocation of NH3 in power'!Q44*'Indirect NH3 demand sources'!Q$5</f>
        <v>0</v>
      </c>
      <c r="R44">
        <f>'Electricity shares'!R44*'Indirect NH3 demand sources'!R$5*(1-SUM('Pre-allocation of NH3 in power'!R44:R114))+'Pre-allocation of NH3 in power'!R44*'Indirect NH3 demand sources'!R$5</f>
        <v>2.4849608361787415E-2</v>
      </c>
      <c r="S44">
        <f>'Electricity shares'!S44*'Indirect NH3 demand sources'!S$5*(1-SUM('Pre-allocation of NH3 in power'!S44:S114))+'Pre-allocation of NH3 in power'!S44*'Indirect NH3 demand sources'!S$5</f>
        <v>5.0933376704771161E-2</v>
      </c>
      <c r="T44">
        <f>'Electricity shares'!T44*'Indirect NH3 demand sources'!T$5*(1-SUM('Pre-allocation of NH3 in power'!T44:T114))+'Pre-allocation of NH3 in power'!T44*'Indirect NH3 demand sources'!T$5</f>
        <v>7.8310378954808996E-2</v>
      </c>
      <c r="U44">
        <f>'Electricity shares'!U44*'Indirect NH3 demand sources'!U$5*(1-SUM('Pre-allocation of NH3 in power'!U44:U114))+'Pre-allocation of NH3 in power'!U44*'Indirect NH3 demand sources'!U$5</f>
        <v>0.10701260879725881</v>
      </c>
      <c r="V44">
        <f>'Electricity shares'!V44*'Indirect NH3 demand sources'!V$5*(1-SUM('Pre-allocation of NH3 in power'!V44:V114))+'Pre-allocation of NH3 in power'!V44*'Indirect NH3 demand sources'!V$5</f>
        <v>0.1371312130234596</v>
      </c>
      <c r="W44">
        <f>'Electricity shares'!W44*'Indirect NH3 demand sources'!W$5*(1-SUM('Pre-allocation of NH3 in power'!W44:W114))+'Pre-allocation of NH3 in power'!W44*'Indirect NH3 demand sources'!W$5</f>
        <v>0.20918007107301845</v>
      </c>
      <c r="X44">
        <f>'Electricity shares'!X44*'Indirect NH3 demand sources'!X$5*(1-SUM('Pre-allocation of NH3 in power'!X44:X114))+'Pre-allocation of NH3 in power'!X44*'Indirect NH3 demand sources'!X$5</f>
        <v>0.28374216935248014</v>
      </c>
      <c r="Y44">
        <f>'Electricity shares'!Y44*'Indirect NH3 demand sources'!Y$5*(1-SUM('Pre-allocation of NH3 in power'!Y44:Y114))+'Pre-allocation of NH3 in power'!Y44*'Indirect NH3 demand sources'!Y$5</f>
        <v>0.36093761734743557</v>
      </c>
      <c r="Z44">
        <f>'Electricity shares'!Z44*'Indirect NH3 demand sources'!Z$5*(1-SUM('Pre-allocation of NH3 in power'!Z44:Z114))+'Pre-allocation of NH3 in power'!Z44*'Indirect NH3 demand sources'!Z$5</f>
        <v>0.44087718036943746</v>
      </c>
      <c r="AA44">
        <f>'Electricity shares'!AA44*'Indirect NH3 demand sources'!AA$5*(1-SUM('Pre-allocation of NH3 in power'!AA44:AA114))+'Pre-allocation of NH3 in power'!AA44*'Indirect NH3 demand sources'!AA$5</f>
        <v>0.5236632340465871</v>
      </c>
      <c r="AB44">
        <f>'Electricity shares'!AB44*'Indirect NH3 demand sources'!AB$5*(1-SUM('Pre-allocation of NH3 in power'!AB44:AB114))+'Pre-allocation of NH3 in power'!AB44*'Indirect NH3 demand sources'!AB$5</f>
        <v>0.60799142151614449</v>
      </c>
      <c r="AC44">
        <f>'Electricity shares'!AC44*'Indirect NH3 demand sources'!AC$5*(1-SUM('Pre-allocation of NH3 in power'!AC44:AC114))+'Pre-allocation of NH3 in power'!AC44*'Indirect NH3 demand sources'!AC$5</f>
        <v>0.69506010131005047</v>
      </c>
      <c r="AD44">
        <f>'Electricity shares'!AD44*'Indirect NH3 demand sources'!AD$5*(1-SUM('Pre-allocation of NH3 in power'!AD44:AD114))+'Pre-allocation of NH3 in power'!AD44*'Indirect NH3 demand sources'!AD$5</f>
        <v>0.78482633807984425</v>
      </c>
      <c r="AE44">
        <f>'Electricity shares'!AE44*'Indirect NH3 demand sources'!AE$5*(1-SUM('Pre-allocation of NH3 in power'!AE44:AE114))+'Pre-allocation of NH3 in power'!AE44*'Indirect NH3 demand sources'!AE$5</f>
        <v>0.87773642650866879</v>
      </c>
      <c r="AF44">
        <f>'Electricity shares'!AF44*'Indirect NH3 demand sources'!AF$5*(1-SUM('Pre-allocation of NH3 in power'!AF44:AF114))+'Pre-allocation of NH3 in power'!AF44*'Indirect NH3 demand sources'!AF$5</f>
        <v>0.97378383458143014</v>
      </c>
      <c r="AG44">
        <f>'Electricity shares'!AG44*'Indirect NH3 demand sources'!AG$5*(1-SUM('Pre-allocation of NH3 in power'!AG44:AG114))+'Pre-allocation of NH3 in power'!AG44*'Indirect NH3 demand sources'!AG$5</f>
        <v>1.0569973310968028</v>
      </c>
      <c r="AH44">
        <f>'Electricity shares'!AH44*'Indirect NH3 demand sources'!AH$5*(1-SUM('Pre-allocation of NH3 in power'!AH44:AH114))+'Pre-allocation of NH3 in power'!AH44*'Indirect NH3 demand sources'!AH$5</f>
        <v>1.1440310475644833</v>
      </c>
      <c r="AI44">
        <f>'Electricity shares'!AI44*'Indirect NH3 demand sources'!AI$5*(1-SUM('Pre-allocation of NH3 in power'!AI44:AI114))+'Pre-allocation of NH3 in power'!AI44*'Indirect NH3 demand sources'!AI$5</f>
        <v>1.2353363619388782</v>
      </c>
      <c r="AJ44">
        <f>'Electricity shares'!AJ44*'Indirect NH3 demand sources'!AJ$5*(1-SUM('Pre-allocation of NH3 in power'!AJ44:AJ114))+'Pre-allocation of NH3 in power'!AJ44*'Indirect NH3 demand sources'!AJ$5</f>
        <v>1.3311673530957637</v>
      </c>
      <c r="AK44">
        <f>'Electricity shares'!AK44*'Indirect NH3 demand sources'!AK$5*(1-SUM('Pre-allocation of NH3 in power'!AK44:AK114))+'Pre-allocation of NH3 in power'!AK44*'Indirect NH3 demand sources'!AK$5</f>
        <v>1.4320775678644542</v>
      </c>
      <c r="AL44">
        <f>'Electricity shares'!AL44*'Indirect NH3 demand sources'!AL$5*(1-SUM('Pre-allocation of NH3 in power'!AL44:AL114))+'Pre-allocation of NH3 in power'!AL44*'Indirect NH3 demand sources'!AL$5</f>
        <v>1.5388755981265794</v>
      </c>
      <c r="AM44">
        <f>'Electricity shares'!AM44*'Indirect NH3 demand sources'!AM$5*(1-SUM('Pre-allocation of NH3 in power'!AM44:AM114))+'Pre-allocation of NH3 in power'!AM44*'Indirect NH3 demand sources'!AM$5</f>
        <v>1.6491723563437484</v>
      </c>
      <c r="AN44">
        <f>'Electricity shares'!AN44*'Indirect NH3 demand sources'!AN$5*(1-SUM('Pre-allocation of NH3 in power'!AN44:AN114))+'Pre-allocation of NH3 in power'!AN44*'Indirect NH3 demand sources'!AN$5</f>
        <v>1.7655430883374519</v>
      </c>
      <c r="AO44">
        <f>'Electricity shares'!AO44*'Indirect NH3 demand sources'!AO$5*(1-SUM('Pre-allocation of NH3 in power'!AO44:AO114))+'Pre-allocation of NH3 in power'!AO44*'Indirect NH3 demand sources'!AO$5</f>
        <v>1.886938668722461</v>
      </c>
      <c r="AP44">
        <f>'Electricity shares'!AP44*'Indirect NH3 demand sources'!AP$5*(1-SUM('Pre-allocation of NH3 in power'!AP44:AP114))+'Pre-allocation of NH3 in power'!AP44*'Indirect NH3 demand sources'!AP$5</f>
        <v>2.0137415743166045</v>
      </c>
    </row>
    <row r="45" spans="1:42" x14ac:dyDescent="0.3">
      <c r="A45" t="s">
        <v>120</v>
      </c>
      <c r="B45">
        <f>'Electricity shares'!B45*'Indirect NH3 demand sources'!B$5*(1-SUM('Pre-allocation of NH3 in power'!B45:B115))+'Pre-allocation of NH3 in power'!B45*'Indirect NH3 demand sources'!B$5</f>
        <v>0</v>
      </c>
      <c r="C45">
        <f>'Electricity shares'!C45*'Indirect NH3 demand sources'!C$5*(1-SUM('Pre-allocation of NH3 in power'!C45:C115))+'Pre-allocation of NH3 in power'!C45*'Indirect NH3 demand sources'!C$5</f>
        <v>0</v>
      </c>
      <c r="D45">
        <f>'Electricity shares'!D45*'Indirect NH3 demand sources'!D$5*(1-SUM('Pre-allocation of NH3 in power'!D45:D115))+'Pre-allocation of NH3 in power'!D45*'Indirect NH3 demand sources'!D$5</f>
        <v>0</v>
      </c>
      <c r="E45">
        <f>'Electricity shares'!E45*'Indirect NH3 demand sources'!E$5*(1-SUM('Pre-allocation of NH3 in power'!E45:E115))+'Pre-allocation of NH3 in power'!E45*'Indirect NH3 demand sources'!E$5</f>
        <v>0</v>
      </c>
      <c r="F45">
        <f>'Electricity shares'!F45*'Indirect NH3 demand sources'!F$5*(1-SUM('Pre-allocation of NH3 in power'!F45:F115))+'Pre-allocation of NH3 in power'!F45*'Indirect NH3 demand sources'!F$5</f>
        <v>0</v>
      </c>
      <c r="G45">
        <f>'Electricity shares'!G45*'Indirect NH3 demand sources'!G$5*(1-SUM('Pre-allocation of NH3 in power'!G45:G115))+'Pre-allocation of NH3 in power'!G45*'Indirect NH3 demand sources'!G$5</f>
        <v>0</v>
      </c>
      <c r="H45">
        <f>'Electricity shares'!H45*'Indirect NH3 demand sources'!H$5*(1-SUM('Pre-allocation of NH3 in power'!H45:H115))+'Pre-allocation of NH3 in power'!H45*'Indirect NH3 demand sources'!H$5</f>
        <v>0</v>
      </c>
      <c r="I45">
        <f>'Electricity shares'!I45*'Indirect NH3 demand sources'!I$5*(1-SUM('Pre-allocation of NH3 in power'!I45:I115))+'Pre-allocation of NH3 in power'!I45*'Indirect NH3 demand sources'!I$5</f>
        <v>0</v>
      </c>
      <c r="J45">
        <f>'Electricity shares'!J45*'Indirect NH3 demand sources'!J$5*(1-SUM('Pre-allocation of NH3 in power'!J45:J115))+'Pre-allocation of NH3 in power'!J45*'Indirect NH3 demand sources'!J$5</f>
        <v>0</v>
      </c>
      <c r="K45">
        <f>'Electricity shares'!K45*'Indirect NH3 demand sources'!K$5*(1-SUM('Pre-allocation of NH3 in power'!K45:K115))+'Pre-allocation of NH3 in power'!K45*'Indirect NH3 demand sources'!K$5</f>
        <v>0</v>
      </c>
      <c r="L45">
        <f>'Electricity shares'!L45*'Indirect NH3 demand sources'!L$5*(1-SUM('Pre-allocation of NH3 in power'!L45:L115))+'Pre-allocation of NH3 in power'!L45*'Indirect NH3 demand sources'!L$5</f>
        <v>0</v>
      </c>
      <c r="M45">
        <f>'Electricity shares'!M45*'Indirect NH3 demand sources'!M$5*(1-SUM('Pre-allocation of NH3 in power'!M45:M115))+'Pre-allocation of NH3 in power'!M45*'Indirect NH3 demand sources'!M$5</f>
        <v>0</v>
      </c>
      <c r="N45">
        <f>'Electricity shares'!N45*'Indirect NH3 demand sources'!N$5*(1-SUM('Pre-allocation of NH3 in power'!N45:N115))+'Pre-allocation of NH3 in power'!N45*'Indirect NH3 demand sources'!N$5</f>
        <v>0</v>
      </c>
      <c r="O45">
        <f>'Electricity shares'!O45*'Indirect NH3 demand sources'!O$5*(1-SUM('Pre-allocation of NH3 in power'!O45:O115))+'Pre-allocation of NH3 in power'!O45*'Indirect NH3 demand sources'!O$5</f>
        <v>0</v>
      </c>
      <c r="P45">
        <f>'Electricity shares'!P45*'Indirect NH3 demand sources'!P$5*(1-SUM('Pre-allocation of NH3 in power'!P45:P115))+'Pre-allocation of NH3 in power'!P45*'Indirect NH3 demand sources'!P$5</f>
        <v>0</v>
      </c>
      <c r="Q45">
        <f>'Electricity shares'!Q45*'Indirect NH3 demand sources'!Q$5*(1-SUM('Pre-allocation of NH3 in power'!Q45:Q115))+'Pre-allocation of NH3 in power'!Q45*'Indirect NH3 demand sources'!Q$5</f>
        <v>0</v>
      </c>
      <c r="R45">
        <f>'Electricity shares'!R45*'Indirect NH3 demand sources'!R$5*(1-SUM('Pre-allocation of NH3 in power'!R45:R115))+'Pre-allocation of NH3 in power'!R45*'Indirect NH3 demand sources'!R$5</f>
        <v>3.8635715760631175E-3</v>
      </c>
      <c r="S45">
        <f>'Electricity shares'!S45*'Indirect NH3 demand sources'!S$5*(1-SUM('Pre-allocation of NH3 in power'!S45:S115))+'Pre-allocation of NH3 in power'!S45*'Indirect NH3 demand sources'!S$5</f>
        <v>7.6232418372843141E-3</v>
      </c>
      <c r="T45">
        <f>'Electricity shares'!T45*'Indirect NH3 demand sources'!T$5*(1-SUM('Pre-allocation of NH3 in power'!T45:T115))+'Pre-allocation of NH3 in power'!T45*'Indirect NH3 demand sources'!T$5</f>
        <v>1.1269927379085729E-2</v>
      </c>
      <c r="U45">
        <f>'Electricity shares'!U45*'Indirect NH3 demand sources'!U$5*(1-SUM('Pre-allocation of NH3 in power'!U45:U115))+'Pre-allocation of NH3 in power'!U45*'Indirect NH3 demand sources'!U$5</f>
        <v>1.4799207102359178E-2</v>
      </c>
      <c r="V45">
        <f>'Electricity shares'!V45*'Indirect NH3 demand sources'!V$5*(1-SUM('Pre-allocation of NH3 in power'!V45:V115))+'Pre-allocation of NH3 in power'!V45*'Indirect NH3 demand sources'!V$5</f>
        <v>1.8213073159795694E-2</v>
      </c>
      <c r="W45">
        <f>'Electricity shares'!W45*'Indirect NH3 demand sources'!W$5*(1-SUM('Pre-allocation of NH3 in power'!W45:W115))+'Pre-allocation of NH3 in power'!W45*'Indirect NH3 demand sources'!W$5</f>
        <v>2.7021074218082506E-2</v>
      </c>
      <c r="X45">
        <f>'Electricity shares'!X45*'Indirect NH3 demand sources'!X$5*(1-SUM('Pre-allocation of NH3 in power'!X45:X115))+'Pre-allocation of NH3 in power'!X45*'Indirect NH3 demand sources'!X$5</f>
        <v>3.561088262657422E-2</v>
      </c>
      <c r="Y45">
        <f>'Electricity shares'!Y45*'Indirect NH3 demand sources'!Y$5*(1-SUM('Pre-allocation of NH3 in power'!Y45:Y115))+'Pre-allocation of NH3 in power'!Y45*'Indirect NH3 demand sources'!Y$5</f>
        <v>4.3979557587460118E-2</v>
      </c>
      <c r="Z45">
        <f>'Electricity shares'!Z45*'Indirect NH3 demand sources'!Z$5*(1-SUM('Pre-allocation of NH3 in power'!Z45:Z115))+'Pre-allocation of NH3 in power'!Z45*'Indirect NH3 demand sources'!Z$5</f>
        <v>5.2113907661271261E-2</v>
      </c>
      <c r="AA45">
        <f>'Electricity shares'!AA45*'Indirect NH3 demand sources'!AA$5*(1-SUM('Pre-allocation of NH3 in power'!AA45:AA115))+'Pre-allocation of NH3 in power'!AA45*'Indirect NH3 demand sources'!AA$5</f>
        <v>6.0011436028342982E-2</v>
      </c>
      <c r="AB45">
        <f>'Electricity shares'!AB45*'Indirect NH3 demand sources'!AB$5*(1-SUM('Pre-allocation of NH3 in power'!AB45:AB115))+'Pre-allocation of NH3 in power'!AB45*'Indirect NH3 demand sources'!AB$5</f>
        <v>6.7856934185517345E-2</v>
      </c>
      <c r="AC45">
        <f>'Electricity shares'!AC45*'Indirect NH3 demand sources'!AC$5*(1-SUM('Pre-allocation of NH3 in power'!AC45:AC115))+'Pre-allocation of NH3 in power'!AC45*'Indirect NH3 demand sources'!AC$5</f>
        <v>7.5509313485613155E-2</v>
      </c>
      <c r="AD45">
        <f>'Electricity shares'!AD45*'Indirect NH3 demand sources'!AD$5*(1-SUM('Pre-allocation of NH3 in power'!AD45:AD115))+'Pre-allocation of NH3 in power'!AD45*'Indirect NH3 demand sources'!AD$5</f>
        <v>8.2992967871673054E-2</v>
      </c>
      <c r="AE45">
        <f>'Electricity shares'!AE45*'Indirect NH3 demand sources'!AE$5*(1-SUM('Pre-allocation of NH3 in power'!AE45:AE115))+'Pre-allocation of NH3 in power'!AE45*'Indirect NH3 demand sources'!AE$5</f>
        <v>9.0277415804724648E-2</v>
      </c>
      <c r="AF45">
        <f>'Electricity shares'!AF45*'Indirect NH3 demand sources'!AF$5*(1-SUM('Pre-allocation of NH3 in power'!AF45:AF115))+'Pre-allocation of NH3 in power'!AF45*'Indirect NH3 demand sources'!AF$5</f>
        <v>9.7368898423003253E-2</v>
      </c>
      <c r="AG45">
        <f>'Electricity shares'!AG45*'Indirect NH3 demand sources'!AG$5*(1-SUM('Pre-allocation of NH3 in power'!AG45:AG115))+'Pre-allocation of NH3 in power'!AG45*'Indirect NH3 demand sources'!AG$5</f>
        <v>0.10263657294936589</v>
      </c>
      <c r="AH45">
        <f>'Electricity shares'!AH45*'Indirect NH3 demand sources'!AH$5*(1-SUM('Pre-allocation of NH3 in power'!AH45:AH115))+'Pre-allocation of NH3 in power'!AH45*'Indirect NH3 demand sources'!AH$5</f>
        <v>0.1077508342274927</v>
      </c>
      <c r="AI45">
        <f>'Electricity shares'!AI45*'Indirect NH3 demand sources'!AI$5*(1-SUM('Pre-allocation of NH3 in power'!AI45:AI115))+'Pre-allocation of NH3 in power'!AI45*'Indirect NH3 demand sources'!AI$5</f>
        <v>0.11265433220509442</v>
      </c>
      <c r="AJ45">
        <f>'Electricity shares'!AJ45*'Indirect NH3 demand sources'!AJ$5*(1-SUM('Pre-allocation of NH3 in power'!AJ45:AJ115))+'Pre-allocation of NH3 in power'!AJ45*'Indirect NH3 demand sources'!AJ$5</f>
        <v>0.11736152259568643</v>
      </c>
      <c r="AK45">
        <f>'Electricity shares'!AK45*'Indirect NH3 demand sources'!AK$5*(1-SUM('Pre-allocation of NH3 in power'!AK45:AK115))+'Pre-allocation of NH3 in power'!AK45*'Indirect NH3 demand sources'!AK$5</f>
        <v>0.12188418227257269</v>
      </c>
      <c r="AL45">
        <f>'Electricity shares'!AL45*'Indirect NH3 demand sources'!AL$5*(1-SUM('Pre-allocation of NH3 in power'!AL45:AL115))+'Pre-allocation of NH3 in power'!AL45*'Indirect NH3 demand sources'!AL$5</f>
        <v>0.12621047378817185</v>
      </c>
      <c r="AM45">
        <f>'Electricity shares'!AM45*'Indirect NH3 demand sources'!AM$5*(1-SUM('Pre-allocation of NH3 in power'!AM45:AM115))+'Pre-allocation of NH3 in power'!AM45*'Indirect NH3 demand sources'!AM$5</f>
        <v>0.13033509787699943</v>
      </c>
      <c r="AN45">
        <f>'Electricity shares'!AN45*'Indirect NH3 demand sources'!AN$5*(1-SUM('Pre-allocation of NH3 in power'!AN45:AN115))+'Pre-allocation of NH3 in power'!AN45*'Indirect NH3 demand sources'!AN$5</f>
        <v>0.13428268237775765</v>
      </c>
      <c r="AO45">
        <f>'Electricity shares'!AO45*'Indirect NH3 demand sources'!AO$5*(1-SUM('Pre-allocation of NH3 in power'!AO45:AO115))+'Pre-allocation of NH3 in power'!AO45*'Indirect NH3 demand sources'!AO$5</f>
        <v>0.1380438149368331</v>
      </c>
      <c r="AP45">
        <f>'Electricity shares'!AP45*'Indirect NH3 demand sources'!AP$5*(1-SUM('Pre-allocation of NH3 in power'!AP45:AP115))+'Pre-allocation of NH3 in power'!AP45*'Indirect NH3 demand sources'!AP$5</f>
        <v>0.14159789038296747</v>
      </c>
    </row>
    <row r="46" spans="1:42" x14ac:dyDescent="0.3">
      <c r="A46" t="s">
        <v>121</v>
      </c>
      <c r="B46">
        <f>'Electricity shares'!B46*'Indirect NH3 demand sources'!B$5*(1-SUM('Pre-allocation of NH3 in power'!B46:B116))+'Pre-allocation of NH3 in power'!B46*'Indirect NH3 demand sources'!B$5</f>
        <v>0</v>
      </c>
      <c r="C46">
        <f>'Electricity shares'!C46*'Indirect NH3 demand sources'!C$5*(1-SUM('Pre-allocation of NH3 in power'!C46:C116))+'Pre-allocation of NH3 in power'!C46*'Indirect NH3 demand sources'!C$5</f>
        <v>0</v>
      </c>
      <c r="D46">
        <f>'Electricity shares'!D46*'Indirect NH3 demand sources'!D$5*(1-SUM('Pre-allocation of NH3 in power'!D46:D116))+'Pre-allocation of NH3 in power'!D46*'Indirect NH3 demand sources'!D$5</f>
        <v>0</v>
      </c>
      <c r="E46">
        <f>'Electricity shares'!E46*'Indirect NH3 demand sources'!E$5*(1-SUM('Pre-allocation of NH3 in power'!E46:E116))+'Pre-allocation of NH3 in power'!E46*'Indirect NH3 demand sources'!E$5</f>
        <v>0</v>
      </c>
      <c r="F46">
        <f>'Electricity shares'!F46*'Indirect NH3 demand sources'!F$5*(1-SUM('Pre-allocation of NH3 in power'!F46:F116))+'Pre-allocation of NH3 in power'!F46*'Indirect NH3 demand sources'!F$5</f>
        <v>0</v>
      </c>
      <c r="G46">
        <f>'Electricity shares'!G46*'Indirect NH3 demand sources'!G$5*(1-SUM('Pre-allocation of NH3 in power'!G46:G116))+'Pre-allocation of NH3 in power'!G46*'Indirect NH3 demand sources'!G$5</f>
        <v>0</v>
      </c>
      <c r="H46">
        <f>'Electricity shares'!H46*'Indirect NH3 demand sources'!H$5*(1-SUM('Pre-allocation of NH3 in power'!H46:H116))+'Pre-allocation of NH3 in power'!H46*'Indirect NH3 demand sources'!H$5</f>
        <v>0</v>
      </c>
      <c r="I46">
        <f>'Electricity shares'!I46*'Indirect NH3 demand sources'!I$5*(1-SUM('Pre-allocation of NH3 in power'!I46:I116))+'Pre-allocation of NH3 in power'!I46*'Indirect NH3 demand sources'!I$5</f>
        <v>0</v>
      </c>
      <c r="J46">
        <f>'Electricity shares'!J46*'Indirect NH3 demand sources'!J$5*(1-SUM('Pre-allocation of NH3 in power'!J46:J116))+'Pre-allocation of NH3 in power'!J46*'Indirect NH3 demand sources'!J$5</f>
        <v>0</v>
      </c>
      <c r="K46">
        <f>'Electricity shares'!K46*'Indirect NH3 demand sources'!K$5*(1-SUM('Pre-allocation of NH3 in power'!K46:K116))+'Pre-allocation of NH3 in power'!K46*'Indirect NH3 demand sources'!K$5</f>
        <v>0</v>
      </c>
      <c r="L46">
        <f>'Electricity shares'!L46*'Indirect NH3 demand sources'!L$5*(1-SUM('Pre-allocation of NH3 in power'!L46:L116))+'Pre-allocation of NH3 in power'!L46*'Indirect NH3 demand sources'!L$5</f>
        <v>0</v>
      </c>
      <c r="M46">
        <f>'Electricity shares'!M46*'Indirect NH3 demand sources'!M$5*(1-SUM('Pre-allocation of NH3 in power'!M46:M116))+'Pre-allocation of NH3 in power'!M46*'Indirect NH3 demand sources'!M$5</f>
        <v>0</v>
      </c>
      <c r="N46">
        <f>'Electricity shares'!N46*'Indirect NH3 demand sources'!N$5*(1-SUM('Pre-allocation of NH3 in power'!N46:N116))+'Pre-allocation of NH3 in power'!N46*'Indirect NH3 demand sources'!N$5</f>
        <v>0</v>
      </c>
      <c r="O46">
        <f>'Electricity shares'!O46*'Indirect NH3 demand sources'!O$5*(1-SUM('Pre-allocation of NH3 in power'!O46:O116))+'Pre-allocation of NH3 in power'!O46*'Indirect NH3 demand sources'!O$5</f>
        <v>0</v>
      </c>
      <c r="P46">
        <f>'Electricity shares'!P46*'Indirect NH3 demand sources'!P$5*(1-SUM('Pre-allocation of NH3 in power'!P46:P116))+'Pre-allocation of NH3 in power'!P46*'Indirect NH3 demand sources'!P$5</f>
        <v>0</v>
      </c>
      <c r="Q46">
        <f>'Electricity shares'!Q46*'Indirect NH3 demand sources'!Q$5*(1-SUM('Pre-allocation of NH3 in power'!Q46:Q116))+'Pre-allocation of NH3 in power'!Q46*'Indirect NH3 demand sources'!Q$5</f>
        <v>0</v>
      </c>
      <c r="R46">
        <f>'Electricity shares'!R46*'Indirect NH3 demand sources'!R$5*(1-SUM('Pre-allocation of NH3 in power'!R46:R116))+'Pre-allocation of NH3 in power'!R46*'Indirect NH3 demand sources'!R$5</f>
        <v>8.3844485853409121E-3</v>
      </c>
      <c r="S46">
        <f>'Electricity shares'!S46*'Indirect NH3 demand sources'!S$5*(1-SUM('Pre-allocation of NH3 in power'!S46:S116))+'Pre-allocation of NH3 in power'!S46*'Indirect NH3 demand sources'!S$5</f>
        <v>1.6820239416530127E-2</v>
      </c>
      <c r="T46">
        <f>'Electricity shares'!T46*'Indirect NH3 demand sources'!T$5*(1-SUM('Pre-allocation of NH3 in power'!T46:T116))+'Pre-allocation of NH3 in power'!T46*'Indirect NH3 demand sources'!T$5</f>
        <v>2.5295119230270464E-2</v>
      </c>
      <c r="U46">
        <f>'Electricity shares'!U46*'Indirect NH3 demand sources'!U$5*(1-SUM('Pre-allocation of NH3 in power'!U46:U116))+'Pre-allocation of NH3 in power'!U46*'Indirect NH3 demand sources'!U$5</f>
        <v>3.3803755969363469E-2</v>
      </c>
      <c r="V46">
        <f>'Electricity shares'!V46*'Indirect NH3 demand sources'!V$5*(1-SUM('Pre-allocation of NH3 in power'!V46:V116))+'Pre-allocation of NH3 in power'!V46*'Indirect NH3 demand sources'!V$5</f>
        <v>4.2359632581637045E-2</v>
      </c>
      <c r="W46">
        <f>'Electricity shares'!W46*'Indirect NH3 demand sources'!W$5*(1-SUM('Pre-allocation of NH3 in power'!W46:W116))+'Pre-allocation of NH3 in power'!W46*'Indirect NH3 demand sources'!W$5</f>
        <v>6.3759590601613278E-2</v>
      </c>
      <c r="X46">
        <f>'Electricity shares'!X46*'Indirect NH3 demand sources'!X$5*(1-SUM('Pre-allocation of NH3 in power'!X46:X116))+'Pre-allocation of NH3 in power'!X46*'Indirect NH3 demand sources'!X$5</f>
        <v>8.5272638089568781E-2</v>
      </c>
      <c r="Y46">
        <f>'Electricity shares'!Y46*'Indirect NH3 demand sources'!Y$5*(1-SUM('Pre-allocation of NH3 in power'!Y46:Y116))+'Pre-allocation of NH3 in power'!Y46*'Indirect NH3 demand sources'!Y$5</f>
        <v>0.10687380450480373</v>
      </c>
      <c r="Z46">
        <f>'Electricity shares'!Z46*'Indirect NH3 demand sources'!Z$5*(1-SUM('Pre-allocation of NH3 in power'!Z46:Z116))+'Pre-allocation of NH3 in power'!Z46*'Indirect NH3 demand sources'!Z$5</f>
        <v>0.1285340990514357</v>
      </c>
      <c r="AA46">
        <f>'Electricity shares'!AA46*'Indirect NH3 demand sources'!AA$5*(1-SUM('Pre-allocation of NH3 in power'!AA46:AA116))+'Pre-allocation of NH3 in power'!AA46*'Indirect NH3 demand sources'!AA$5</f>
        <v>0.15022131797833893</v>
      </c>
      <c r="AB46">
        <f>'Electricity shares'!AB46*'Indirect NH3 demand sources'!AB$5*(1-SUM('Pre-allocation of NH3 in power'!AB46:AB116))+'Pre-allocation of NH3 in power'!AB46*'Indirect NH3 demand sources'!AB$5</f>
        <v>0.17232601276554738</v>
      </c>
      <c r="AC46">
        <f>'Electricity shares'!AC46*'Indirect NH3 demand sources'!AC$5*(1-SUM('Pre-allocation of NH3 in power'!AC46:AC116))+'Pre-allocation of NH3 in power'!AC46*'Indirect NH3 demand sources'!AC$5</f>
        <v>0.19451216644443894</v>
      </c>
      <c r="AD46">
        <f>'Electricity shares'!AD46*'Indirect NH3 demand sources'!AD$5*(1-SUM('Pre-allocation of NH3 in power'!AD46:AD116))+'Pre-allocation of NH3 in power'!AD46*'Indirect NH3 demand sources'!AD$5</f>
        <v>0.21675172155312261</v>
      </c>
      <c r="AE46">
        <f>'Electricity shares'!AE46*'Indirect NH3 demand sources'!AE$5*(1-SUM('Pre-allocation of NH3 in power'!AE46:AE116))+'Pre-allocation of NH3 in power'!AE46*'Indirect NH3 demand sources'!AE$5</f>
        <v>0.23901732630948444</v>
      </c>
      <c r="AF46">
        <f>'Electricity shares'!AF46*'Indirect NH3 demand sources'!AF$5*(1-SUM('Pre-allocation of NH3 in power'!AF46:AF116))+'Pre-allocation of NH3 in power'!AF46*'Indirect NH3 demand sources'!AF$5</f>
        <v>0.26130291377010523</v>
      </c>
      <c r="AG46">
        <f>'Electricity shares'!AG46*'Indirect NH3 demand sources'!AG$5*(1-SUM('Pre-allocation of NH3 in power'!AG46:AG116))+'Pre-allocation of NH3 in power'!AG46*'Indirect NH3 demand sources'!AG$5</f>
        <v>0.27919600575345638</v>
      </c>
      <c r="AH46">
        <f>'Electricity shares'!AH46*'Indirect NH3 demand sources'!AH$5*(1-SUM('Pre-allocation of NH3 in power'!AH46:AH116))+'Pre-allocation of NH3 in power'!AH46*'Indirect NH3 demand sources'!AH$5</f>
        <v>0.29710516992239422</v>
      </c>
      <c r="AI46">
        <f>'Electricity shares'!AI46*'Indirect NH3 demand sources'!AI$5*(1-SUM('Pre-allocation of NH3 in power'!AI46:AI116))+'Pre-allocation of NH3 in power'!AI46*'Indirect NH3 demand sources'!AI$5</f>
        <v>0.31503202336280639</v>
      </c>
      <c r="AJ46">
        <f>'Electricity shares'!AJ46*'Indirect NH3 demand sources'!AJ$5*(1-SUM('Pre-allocation of NH3 in power'!AJ46:AJ116))+'Pre-allocation of NH3 in power'!AJ46*'Indirect NH3 demand sources'!AJ$5</f>
        <v>0.33297476320001157</v>
      </c>
      <c r="AK46">
        <f>'Electricity shares'!AK46*'Indirect NH3 demand sources'!AK$5*(1-SUM('Pre-allocation of NH3 in power'!AK46:AK116))+'Pre-allocation of NH3 in power'!AK46*'Indirect NH3 demand sources'!AK$5</f>
        <v>0.35100909429032578</v>
      </c>
      <c r="AL46">
        <f>'Electricity shares'!AL46*'Indirect NH3 demand sources'!AL$5*(1-SUM('Pre-allocation of NH3 in power'!AL46:AL116))+'Pre-allocation of NH3 in power'!AL46*'Indirect NH3 demand sources'!AL$5</f>
        <v>0.3690905410766841</v>
      </c>
      <c r="AM46">
        <f>'Electricity shares'!AM46*'Indirect NH3 demand sources'!AM$5*(1-SUM('Pre-allocation of NH3 in power'!AM46:AM116))+'Pre-allocation of NH3 in power'!AM46*'Indirect NH3 demand sources'!AM$5</f>
        <v>0.38713434126632407</v>
      </c>
      <c r="AN46">
        <f>'Electricity shares'!AN46*'Indirect NH3 demand sources'!AN$5*(1-SUM('Pre-allocation of NH3 in power'!AN46:AN116))+'Pre-allocation of NH3 in power'!AN46*'Indirect NH3 demand sources'!AN$5</f>
        <v>0.4052700169396608</v>
      </c>
      <c r="AO46">
        <f>'Electricity shares'!AO46*'Indirect NH3 demand sources'!AO$5*(1-SUM('Pre-allocation of NH3 in power'!AO46:AO116))+'Pre-allocation of NH3 in power'!AO46*'Indirect NH3 demand sources'!AO$5</f>
        <v>0.42355754094681886</v>
      </c>
      <c r="AP46">
        <f>'Electricity shares'!AP46*'Indirect NH3 demand sources'!AP$5*(1-SUM('Pre-allocation of NH3 in power'!AP46:AP116))+'Pre-allocation of NH3 in power'!AP46*'Indirect NH3 demand sources'!AP$5</f>
        <v>0.4419689683056508</v>
      </c>
    </row>
    <row r="47" spans="1:42" x14ac:dyDescent="0.3">
      <c r="A47" t="s">
        <v>122</v>
      </c>
      <c r="B47">
        <f>'Electricity shares'!B47*'Indirect NH3 demand sources'!B$5*(1-SUM('Pre-allocation of NH3 in power'!B47:B117))+'Pre-allocation of NH3 in power'!B47*'Indirect NH3 demand sources'!B$5</f>
        <v>0</v>
      </c>
      <c r="C47">
        <f>'Electricity shares'!C47*'Indirect NH3 demand sources'!C$5*(1-SUM('Pre-allocation of NH3 in power'!C47:C117))+'Pre-allocation of NH3 in power'!C47*'Indirect NH3 demand sources'!C$5</f>
        <v>0</v>
      </c>
      <c r="D47">
        <f>'Electricity shares'!D47*'Indirect NH3 demand sources'!D$5*(1-SUM('Pre-allocation of NH3 in power'!D47:D117))+'Pre-allocation of NH3 in power'!D47*'Indirect NH3 demand sources'!D$5</f>
        <v>0</v>
      </c>
      <c r="E47">
        <f>'Electricity shares'!E47*'Indirect NH3 demand sources'!E$5*(1-SUM('Pre-allocation of NH3 in power'!E47:E117))+'Pre-allocation of NH3 in power'!E47*'Indirect NH3 demand sources'!E$5</f>
        <v>0</v>
      </c>
      <c r="F47">
        <f>'Electricity shares'!F47*'Indirect NH3 demand sources'!F$5*(1-SUM('Pre-allocation of NH3 in power'!F47:F117))+'Pre-allocation of NH3 in power'!F47*'Indirect NH3 demand sources'!F$5</f>
        <v>0</v>
      </c>
      <c r="G47">
        <f>'Electricity shares'!G47*'Indirect NH3 demand sources'!G$5*(1-SUM('Pre-allocation of NH3 in power'!G47:G117))+'Pre-allocation of NH3 in power'!G47*'Indirect NH3 demand sources'!G$5</f>
        <v>0</v>
      </c>
      <c r="H47">
        <f>'Electricity shares'!H47*'Indirect NH3 demand sources'!H$5*(1-SUM('Pre-allocation of NH3 in power'!H47:H117))+'Pre-allocation of NH3 in power'!H47*'Indirect NH3 demand sources'!H$5</f>
        <v>0</v>
      </c>
      <c r="I47">
        <f>'Electricity shares'!I47*'Indirect NH3 demand sources'!I$5*(1-SUM('Pre-allocation of NH3 in power'!I47:I117))+'Pre-allocation of NH3 in power'!I47*'Indirect NH3 demand sources'!I$5</f>
        <v>0</v>
      </c>
      <c r="J47">
        <f>'Electricity shares'!J47*'Indirect NH3 demand sources'!J$5*(1-SUM('Pre-allocation of NH3 in power'!J47:J117))+'Pre-allocation of NH3 in power'!J47*'Indirect NH3 demand sources'!J$5</f>
        <v>0</v>
      </c>
      <c r="K47">
        <f>'Electricity shares'!K47*'Indirect NH3 demand sources'!K$5*(1-SUM('Pre-allocation of NH3 in power'!K47:K117))+'Pre-allocation of NH3 in power'!K47*'Indirect NH3 demand sources'!K$5</f>
        <v>0</v>
      </c>
      <c r="L47">
        <f>'Electricity shares'!L47*'Indirect NH3 demand sources'!L$5*(1-SUM('Pre-allocation of NH3 in power'!L47:L117))+'Pre-allocation of NH3 in power'!L47*'Indirect NH3 demand sources'!L$5</f>
        <v>0</v>
      </c>
      <c r="M47">
        <f>'Electricity shares'!M47*'Indirect NH3 demand sources'!M$5*(1-SUM('Pre-allocation of NH3 in power'!M47:M117))+'Pre-allocation of NH3 in power'!M47*'Indirect NH3 demand sources'!M$5</f>
        <v>0</v>
      </c>
      <c r="N47">
        <f>'Electricity shares'!N47*'Indirect NH3 demand sources'!N$5*(1-SUM('Pre-allocation of NH3 in power'!N47:N117))+'Pre-allocation of NH3 in power'!N47*'Indirect NH3 demand sources'!N$5</f>
        <v>0</v>
      </c>
      <c r="O47">
        <f>'Electricity shares'!O47*'Indirect NH3 demand sources'!O$5*(1-SUM('Pre-allocation of NH3 in power'!O47:O117))+'Pre-allocation of NH3 in power'!O47*'Indirect NH3 demand sources'!O$5</f>
        <v>0</v>
      </c>
      <c r="P47">
        <f>'Electricity shares'!P47*'Indirect NH3 demand sources'!P$5*(1-SUM('Pre-allocation of NH3 in power'!P47:P117))+'Pre-allocation of NH3 in power'!P47*'Indirect NH3 demand sources'!P$5</f>
        <v>0</v>
      </c>
      <c r="Q47">
        <f>'Electricity shares'!Q47*'Indirect NH3 demand sources'!Q$5*(1-SUM('Pre-allocation of NH3 in power'!Q47:Q117))+'Pre-allocation of NH3 in power'!Q47*'Indirect NH3 demand sources'!Q$5</f>
        <v>0</v>
      </c>
      <c r="R47">
        <f>'Electricity shares'!R47*'Indirect NH3 demand sources'!R$5*(1-SUM('Pre-allocation of NH3 in power'!R47:R117))+'Pre-allocation of NH3 in power'!R47*'Indirect NH3 demand sources'!R$5</f>
        <v>1.8365908378289728E-3</v>
      </c>
      <c r="S47">
        <f>'Electricity shares'!S47*'Indirect NH3 demand sources'!S$5*(1-SUM('Pre-allocation of NH3 in power'!S47:S117))+'Pre-allocation of NH3 in power'!S47*'Indirect NH3 demand sources'!S$5</f>
        <v>3.7152791541415339E-3</v>
      </c>
      <c r="T47">
        <f>'Electricity shares'!T47*'Indirect NH3 demand sources'!T$5*(1-SUM('Pre-allocation of NH3 in power'!T47:T117))+'Pre-allocation of NH3 in power'!T47*'Indirect NH3 demand sources'!T$5</f>
        <v>5.6347752673153069E-3</v>
      </c>
      <c r="U47">
        <f>'Electricity shares'!U47*'Indirect NH3 demand sources'!U$5*(1-SUM('Pre-allocation of NH3 in power'!U47:U117))+'Pre-allocation of NH3 in power'!U47*'Indirect NH3 demand sources'!U$5</f>
        <v>7.5928983260169173E-3</v>
      </c>
      <c r="V47">
        <f>'Electricity shares'!V47*'Indirect NH3 demand sources'!V$5*(1-SUM('Pre-allocation of NH3 in power'!V47:V117))+'Pre-allocation of NH3 in power'!V47*'Indirect NH3 demand sources'!V$5</f>
        <v>9.5924328816563483E-3</v>
      </c>
      <c r="W47">
        <f>'Electricity shares'!W47*'Indirect NH3 demand sources'!W$5*(1-SUM('Pre-allocation of NH3 in power'!W47:W117))+'Pre-allocation of NH3 in power'!W47*'Indirect NH3 demand sources'!W$5</f>
        <v>1.4532600497655439E-2</v>
      </c>
      <c r="X47">
        <f>'Electricity shares'!X47*'Indirect NH3 demand sources'!X$5*(1-SUM('Pre-allocation of NH3 in power'!X47:X117))+'Pre-allocation of NH3 in power'!X47*'Indirect NH3 demand sources'!X$5</f>
        <v>1.9564964294169013E-2</v>
      </c>
      <c r="Y47">
        <f>'Electricity shares'!Y47*'Indirect NH3 demand sources'!Y$5*(1-SUM('Pre-allocation of NH3 in power'!Y47:Y117))+'Pre-allocation of NH3 in power'!Y47*'Indirect NH3 demand sources'!Y$5</f>
        <v>2.4687149181751321E-2</v>
      </c>
      <c r="Z47">
        <f>'Electricity shares'!Z47*'Indirect NH3 demand sources'!Z$5*(1-SUM('Pre-allocation of NH3 in power'!Z47:Z117))+'Pre-allocation of NH3 in power'!Z47*'Indirect NH3 demand sources'!Z$5</f>
        <v>2.9898528682641173E-2</v>
      </c>
      <c r="AA47">
        <f>'Electricity shares'!AA47*'Indirect NH3 demand sources'!AA$5*(1-SUM('Pre-allocation of NH3 in power'!AA47:AA117))+'Pre-allocation of NH3 in power'!AA47*'Indirect NH3 demand sources'!AA$5</f>
        <v>3.5195500798881084E-2</v>
      </c>
      <c r="AB47">
        <f>'Electricity shares'!AB47*'Indirect NH3 demand sources'!AB$5*(1-SUM('Pre-allocation of NH3 in power'!AB47:AB117))+'Pre-allocation of NH3 in power'!AB47*'Indirect NH3 demand sources'!AB$5</f>
        <v>4.0646075657325656E-2</v>
      </c>
      <c r="AC47">
        <f>'Electricity shares'!AC47*'Indirect NH3 demand sources'!AC$5*(1-SUM('Pre-allocation of NH3 in power'!AC47:AC117))+'Pre-allocation of NH3 in power'!AC47*'Indirect NH3 demand sources'!AC$5</f>
        <v>4.6200485713901875E-2</v>
      </c>
      <c r="AD47">
        <f>'Electricity shares'!AD47*'Indirect NH3 demand sources'!AD$5*(1-SUM('Pre-allocation of NH3 in power'!AD47:AD117))+'Pre-allocation of NH3 in power'!AD47*'Indirect NH3 demand sources'!AD$5</f>
        <v>5.1852697928133608E-2</v>
      </c>
      <c r="AE47">
        <f>'Electricity shares'!AE47*'Indirect NH3 demand sources'!AE$5*(1-SUM('Pre-allocation of NH3 in power'!AE47:AE117))+'Pre-allocation of NH3 in power'!AE47*'Indirect NH3 demand sources'!AE$5</f>
        <v>5.760210746095084E-2</v>
      </c>
      <c r="AF47">
        <f>'Electricity shares'!AF47*'Indirect NH3 demand sources'!AF$5*(1-SUM('Pre-allocation of NH3 in power'!AF47:AF117))+'Pre-allocation of NH3 in power'!AF47*'Indirect NH3 demand sources'!AF$5</f>
        <v>6.34433445288069E-2</v>
      </c>
      <c r="AG47">
        <f>'Electricity shares'!AG47*'Indirect NH3 demand sources'!AG$5*(1-SUM('Pre-allocation of NH3 in power'!AG47:AG117))+'Pre-allocation of NH3 in power'!AG47*'Indirect NH3 demand sources'!AG$5</f>
        <v>6.8292869368997741E-2</v>
      </c>
      <c r="AH47">
        <f>'Electricity shares'!AH47*'Indirect NH3 demand sources'!AH$5*(1-SUM('Pre-allocation of NH3 in power'!AH47:AH117))+'Pre-allocation of NH3 in power'!AH47*'Indirect NH3 demand sources'!AH$5</f>
        <v>7.3215583852054414E-2</v>
      </c>
      <c r="AI47">
        <f>'Electricity shares'!AI47*'Indirect NH3 demand sources'!AI$5*(1-SUM('Pre-allocation of NH3 in power'!AI47:AI117))+'Pre-allocation of NH3 in power'!AI47*'Indirect NH3 demand sources'!AI$5</f>
        <v>7.8196412305043483E-2</v>
      </c>
      <c r="AJ47">
        <f>'Electricity shares'!AJ47*'Indirect NH3 demand sources'!AJ$5*(1-SUM('Pre-allocation of NH3 in power'!AJ47:AJ117))+'Pre-allocation of NH3 in power'!AJ47*'Indirect NH3 demand sources'!AJ$5</f>
        <v>8.322158055889281E-2</v>
      </c>
      <c r="AK47">
        <f>'Electricity shares'!AK47*'Indirect NH3 demand sources'!AK$5*(1-SUM('Pre-allocation of NH3 in power'!AK47:AK117))+'Pre-allocation of NH3 in power'!AK47*'Indirect NH3 demand sources'!AK$5</f>
        <v>8.8307996605779038E-2</v>
      </c>
      <c r="AL47">
        <f>'Electricity shares'!AL47*'Indirect NH3 demand sources'!AL$5*(1-SUM('Pre-allocation of NH3 in power'!AL47:AL117))+'Pre-allocation of NH3 in power'!AL47*'Indirect NH3 demand sources'!AL$5</f>
        <v>9.3431989233180954E-2</v>
      </c>
      <c r="AM47">
        <f>'Electricity shares'!AM47*'Indirect NH3 demand sources'!AM$5*(1-SUM('Pre-allocation of NH3 in power'!AM47:AM117))+'Pre-allocation of NH3 in power'!AM47*'Indirect NH3 demand sources'!AM$5</f>
        <v>9.8555154467630565E-2</v>
      </c>
      <c r="AN47">
        <f>'Electricity shares'!AN47*'Indirect NH3 demand sources'!AN$5*(1-SUM('Pre-allocation of NH3 in power'!AN47:AN117))+'Pre-allocation of NH3 in power'!AN47*'Indirect NH3 demand sources'!AN$5</f>
        <v>0.10370982008414271</v>
      </c>
      <c r="AO47">
        <f>'Electricity shares'!AO47*'Indirect NH3 demand sources'!AO$5*(1-SUM('Pre-allocation of NH3 in power'!AO47:AO117))+'Pre-allocation of NH3 in power'!AO47*'Indirect NH3 demand sources'!AO$5</f>
        <v>0.10888787114365973</v>
      </c>
      <c r="AP47">
        <f>'Electricity shares'!AP47*'Indirect NH3 demand sources'!AP$5*(1-SUM('Pre-allocation of NH3 in power'!AP47:AP117))+'Pre-allocation of NH3 in power'!AP47*'Indirect NH3 demand sources'!AP$5</f>
        <v>0.11408984948317248</v>
      </c>
    </row>
    <row r="48" spans="1:42" x14ac:dyDescent="0.3">
      <c r="A48" t="s">
        <v>123</v>
      </c>
      <c r="B48">
        <f>'Electricity shares'!B48*'Indirect NH3 demand sources'!B$5*(1-SUM('Pre-allocation of NH3 in power'!B48:B118))+'Pre-allocation of NH3 in power'!B48*'Indirect NH3 demand sources'!B$5</f>
        <v>0</v>
      </c>
      <c r="C48">
        <f>'Electricity shares'!C48*'Indirect NH3 demand sources'!C$5*(1-SUM('Pre-allocation of NH3 in power'!C48:C118))+'Pre-allocation of NH3 in power'!C48*'Indirect NH3 demand sources'!C$5</f>
        <v>0</v>
      </c>
      <c r="D48">
        <f>'Electricity shares'!D48*'Indirect NH3 demand sources'!D$5*(1-SUM('Pre-allocation of NH3 in power'!D48:D118))+'Pre-allocation of NH3 in power'!D48*'Indirect NH3 demand sources'!D$5</f>
        <v>0</v>
      </c>
      <c r="E48">
        <f>'Electricity shares'!E48*'Indirect NH3 demand sources'!E$5*(1-SUM('Pre-allocation of NH3 in power'!E48:E118))+'Pre-allocation of NH3 in power'!E48*'Indirect NH3 demand sources'!E$5</f>
        <v>0</v>
      </c>
      <c r="F48">
        <f>'Electricity shares'!F48*'Indirect NH3 demand sources'!F$5*(1-SUM('Pre-allocation of NH3 in power'!F48:F118))+'Pre-allocation of NH3 in power'!F48*'Indirect NH3 demand sources'!F$5</f>
        <v>0</v>
      </c>
      <c r="G48">
        <f>'Electricity shares'!G48*'Indirect NH3 demand sources'!G$5*(1-SUM('Pre-allocation of NH3 in power'!G48:G118))+'Pre-allocation of NH3 in power'!G48*'Indirect NH3 demand sources'!G$5</f>
        <v>0</v>
      </c>
      <c r="H48">
        <f>'Electricity shares'!H48*'Indirect NH3 demand sources'!H$5*(1-SUM('Pre-allocation of NH3 in power'!H48:H118))+'Pre-allocation of NH3 in power'!H48*'Indirect NH3 demand sources'!H$5</f>
        <v>0</v>
      </c>
      <c r="I48">
        <f>'Electricity shares'!I48*'Indirect NH3 demand sources'!I$5*(1-SUM('Pre-allocation of NH3 in power'!I48:I118))+'Pre-allocation of NH3 in power'!I48*'Indirect NH3 demand sources'!I$5</f>
        <v>0</v>
      </c>
      <c r="J48">
        <f>'Electricity shares'!J48*'Indirect NH3 demand sources'!J$5*(1-SUM('Pre-allocation of NH3 in power'!J48:J118))+'Pre-allocation of NH3 in power'!J48*'Indirect NH3 demand sources'!J$5</f>
        <v>0</v>
      </c>
      <c r="K48">
        <f>'Electricity shares'!K48*'Indirect NH3 demand sources'!K$5*(1-SUM('Pre-allocation of NH3 in power'!K48:K118))+'Pre-allocation of NH3 in power'!K48*'Indirect NH3 demand sources'!K$5</f>
        <v>0</v>
      </c>
      <c r="L48">
        <f>'Electricity shares'!L48*'Indirect NH3 demand sources'!L$5*(1-SUM('Pre-allocation of NH3 in power'!L48:L118))+'Pre-allocation of NH3 in power'!L48*'Indirect NH3 demand sources'!L$5</f>
        <v>0</v>
      </c>
      <c r="M48">
        <f>'Electricity shares'!M48*'Indirect NH3 demand sources'!M$5*(1-SUM('Pre-allocation of NH3 in power'!M48:M118))+'Pre-allocation of NH3 in power'!M48*'Indirect NH3 demand sources'!M$5</f>
        <v>0</v>
      </c>
      <c r="N48">
        <f>'Electricity shares'!N48*'Indirect NH3 demand sources'!N$5*(1-SUM('Pre-allocation of NH3 in power'!N48:N118))+'Pre-allocation of NH3 in power'!N48*'Indirect NH3 demand sources'!N$5</f>
        <v>0</v>
      </c>
      <c r="O48">
        <f>'Electricity shares'!O48*'Indirect NH3 demand sources'!O$5*(1-SUM('Pre-allocation of NH3 in power'!O48:O118))+'Pre-allocation of NH3 in power'!O48*'Indirect NH3 demand sources'!O$5</f>
        <v>0</v>
      </c>
      <c r="P48">
        <f>'Electricity shares'!P48*'Indirect NH3 demand sources'!P$5*(1-SUM('Pre-allocation of NH3 in power'!P48:P118))+'Pre-allocation of NH3 in power'!P48*'Indirect NH3 demand sources'!P$5</f>
        <v>0</v>
      </c>
      <c r="Q48">
        <f>'Electricity shares'!Q48*'Indirect NH3 demand sources'!Q$5*(1-SUM('Pre-allocation of NH3 in power'!Q48:Q118))+'Pre-allocation of NH3 in power'!Q48*'Indirect NH3 demand sources'!Q$5</f>
        <v>0</v>
      </c>
      <c r="R48">
        <f>'Electricity shares'!R48*'Indirect NH3 demand sources'!R$5*(1-SUM('Pre-allocation of NH3 in power'!R48:R118))+'Pre-allocation of NH3 in power'!R48*'Indirect NH3 demand sources'!R$5</f>
        <v>1.0700040016430423E-3</v>
      </c>
      <c r="S48">
        <f>'Electricity shares'!S48*'Indirect NH3 demand sources'!S$5*(1-SUM('Pre-allocation of NH3 in power'!S48:S118))+'Pre-allocation of NH3 in power'!S48*'Indirect NH3 demand sources'!S$5</f>
        <v>2.149485213521091E-3</v>
      </c>
      <c r="T48">
        <f>'Electricity shares'!T48*'Indirect NH3 demand sources'!T$5*(1-SUM('Pre-allocation of NH3 in power'!T48:T118))+'Pre-allocation of NH3 in power'!T48*'Indirect NH3 demand sources'!T$5</f>
        <v>3.2366979541661157E-3</v>
      </c>
      <c r="U48">
        <f>'Electricity shares'!U48*'Indirect NH3 demand sources'!U$5*(1-SUM('Pre-allocation of NH3 in power'!U48:U118))+'Pre-allocation of NH3 in power'!U48*'Indirect NH3 demand sources'!U$5</f>
        <v>4.3312148778783012E-3</v>
      </c>
      <c r="V48">
        <f>'Electricity shares'!V48*'Indirect NH3 demand sources'!V$5*(1-SUM('Pre-allocation of NH3 in power'!V48:V118))+'Pre-allocation of NH3 in power'!V48*'Indirect NH3 demand sources'!V$5</f>
        <v>5.4334129196684962E-3</v>
      </c>
      <c r="W48">
        <f>'Electricity shares'!W48*'Indirect NH3 demand sources'!W$5*(1-SUM('Pre-allocation of NH3 in power'!W48:W118))+'Pre-allocation of NH3 in power'!W48*'Indirect NH3 demand sources'!W$5</f>
        <v>8.1749799282980432E-3</v>
      </c>
      <c r="X48">
        <f>'Electricity shares'!X48*'Indirect NH3 demand sources'!X$5*(1-SUM('Pre-allocation of NH3 in power'!X48:X118))+'Pre-allocation of NH3 in power'!X48*'Indirect NH3 demand sources'!X$5</f>
        <v>1.0929211715053169E-2</v>
      </c>
      <c r="Y48">
        <f>'Electricity shares'!Y48*'Indirect NH3 demand sources'!Y$5*(1-SUM('Pre-allocation of NH3 in power'!Y48:Y118))+'Pre-allocation of NH3 in power'!Y48*'Indirect NH3 demand sources'!Y$5</f>
        <v>1.3693845887278462E-2</v>
      </c>
      <c r="Z48">
        <f>'Electricity shares'!Z48*'Indirect NH3 demand sources'!Z$5*(1-SUM('Pre-allocation of NH3 in power'!Z48:Z118))+'Pre-allocation of NH3 in power'!Z48*'Indirect NH3 demand sources'!Z$5</f>
        <v>1.64658616969919E-2</v>
      </c>
      <c r="AA48">
        <f>'Electricity shares'!AA48*'Indirect NH3 demand sources'!AA$5*(1-SUM('Pre-allocation of NH3 in power'!AA48:AA118))+'Pre-allocation of NH3 in power'!AA48*'Indirect NH3 demand sources'!AA$5</f>
        <v>1.9242116180782101E-2</v>
      </c>
      <c r="AB48">
        <f>'Electricity shares'!AB48*'Indirect NH3 demand sources'!AB$5*(1-SUM('Pre-allocation of NH3 in power'!AB48:AB118))+'Pre-allocation of NH3 in power'!AB48*'Indirect NH3 demand sources'!AB$5</f>
        <v>2.2053280795332236E-2</v>
      </c>
      <c r="AC48">
        <f>'Electricity shares'!AC48*'Indirect NH3 demand sources'!AC$5*(1-SUM('Pre-allocation of NH3 in power'!AC48:AC118))+'Pre-allocation of NH3 in power'!AC48*'Indirect NH3 demand sources'!AC$5</f>
        <v>2.4872566088612821E-2</v>
      </c>
      <c r="AD48">
        <f>'Electricity shares'!AD48*'Indirect NH3 demand sources'!AD$5*(1-SUM('Pre-allocation of NH3 in power'!AD48:AD118))+'Pre-allocation of NH3 in power'!AD48*'Indirect NH3 demand sources'!AD$5</f>
        <v>2.7698562292345075E-2</v>
      </c>
      <c r="AE48">
        <f>'Electricity shares'!AE48*'Indirect NH3 demand sources'!AE$5*(1-SUM('Pre-allocation of NH3 in power'!AE48:AE118))+'Pre-allocation of NH3 in power'!AE48*'Indirect NH3 demand sources'!AE$5</f>
        <v>3.0529084211546778E-2</v>
      </c>
      <c r="AF48">
        <f>'Electricity shares'!AF48*'Indirect NH3 demand sources'!AF$5*(1-SUM('Pre-allocation of NH3 in power'!AF48:AF118))+'Pre-allocation of NH3 in power'!AF48*'Indirect NH3 demand sources'!AF$5</f>
        <v>3.3362216541119975E-2</v>
      </c>
      <c r="AG48">
        <f>'Electricity shares'!AG48*'Indirect NH3 demand sources'!AG$5*(1-SUM('Pre-allocation of NH3 in power'!AG48:AG118))+'Pre-allocation of NH3 in power'!AG48*'Indirect NH3 demand sources'!AG$5</f>
        <v>3.5634232371985909E-2</v>
      </c>
      <c r="AH48">
        <f>'Electricity shares'!AH48*'Indirect NH3 demand sources'!AH$5*(1-SUM('Pre-allocation of NH3 in power'!AH48:AH118))+'Pre-allocation of NH3 in power'!AH48*'Indirect NH3 demand sources'!AH$5</f>
        <v>3.7911807591833997E-2</v>
      </c>
      <c r="AI48">
        <f>'Electricity shares'!AI48*'Indirect NH3 demand sources'!AI$5*(1-SUM('Pre-allocation of NH3 in power'!AI48:AI118))+'Pre-allocation of NH3 in power'!AI48*'Indirect NH3 demand sources'!AI$5</f>
        <v>4.0190121018057745E-2</v>
      </c>
      <c r="AJ48">
        <f>'Electricity shares'!AJ48*'Indirect NH3 demand sources'!AJ$5*(1-SUM('Pre-allocation of NH3 in power'!AJ48:AJ118))+'Pre-allocation of NH3 in power'!AJ48*'Indirect NH3 demand sources'!AJ$5</f>
        <v>4.2466711671481069E-2</v>
      </c>
      <c r="AK48">
        <f>'Electricity shares'!AK48*'Indirect NH3 demand sources'!AK$5*(1-SUM('Pre-allocation of NH3 in power'!AK48:AK118))+'Pre-allocation of NH3 in power'!AK48*'Indirect NH3 demand sources'!AK$5</f>
        <v>4.475604041556118E-2</v>
      </c>
      <c r="AL48">
        <f>'Electricity shares'!AL48*'Indirect NH3 demand sources'!AL$5*(1-SUM('Pre-allocation of NH3 in power'!AL48:AL118))+'Pre-allocation of NH3 in power'!AL48*'Indirect NH3 demand sources'!AL$5</f>
        <v>4.7056728534932216E-2</v>
      </c>
      <c r="AM48">
        <f>'Electricity shares'!AM48*'Indirect NH3 demand sources'!AM$5*(1-SUM('Pre-allocation of NH3 in power'!AM48:AM118))+'Pre-allocation of NH3 in power'!AM48*'Indirect NH3 demand sources'!AM$5</f>
        <v>4.9362807853064954E-2</v>
      </c>
      <c r="AN48">
        <f>'Electricity shares'!AN48*'Indirect NH3 demand sources'!AN$5*(1-SUM('Pre-allocation of NH3 in power'!AN48:AN118))+'Pre-allocation of NH3 in power'!AN48*'Indirect NH3 demand sources'!AN$5</f>
        <v>5.1686924886278053E-2</v>
      </c>
      <c r="AO48">
        <f>'Electricity shares'!AO48*'Indirect NH3 demand sources'!AO$5*(1-SUM('Pre-allocation of NH3 in power'!AO48:AO118))+'Pre-allocation of NH3 in power'!AO48*'Indirect NH3 demand sources'!AO$5</f>
        <v>5.4034115329854894E-2</v>
      </c>
      <c r="AP48">
        <f>'Electricity shares'!AP48*'Indirect NH3 demand sources'!AP$5*(1-SUM('Pre-allocation of NH3 in power'!AP48:AP118))+'Pre-allocation of NH3 in power'!AP48*'Indirect NH3 demand sources'!AP$5</f>
        <v>5.6407091443811092E-2</v>
      </c>
    </row>
    <row r="49" spans="1:42" x14ac:dyDescent="0.3">
      <c r="A49" t="s">
        <v>124</v>
      </c>
      <c r="B49">
        <f>'Electricity shares'!B49*'Indirect NH3 demand sources'!B$5*(1-SUM('Pre-allocation of NH3 in power'!B49:B119))+'Pre-allocation of NH3 in power'!B49*'Indirect NH3 demand sources'!B$5</f>
        <v>0</v>
      </c>
      <c r="C49">
        <f>'Electricity shares'!C49*'Indirect NH3 demand sources'!C$5*(1-SUM('Pre-allocation of NH3 in power'!C49:C119))+'Pre-allocation of NH3 in power'!C49*'Indirect NH3 demand sources'!C$5</f>
        <v>0</v>
      </c>
      <c r="D49">
        <f>'Electricity shares'!D49*'Indirect NH3 demand sources'!D$5*(1-SUM('Pre-allocation of NH3 in power'!D49:D119))+'Pre-allocation of NH3 in power'!D49*'Indirect NH3 demand sources'!D$5</f>
        <v>0</v>
      </c>
      <c r="E49">
        <f>'Electricity shares'!E49*'Indirect NH3 demand sources'!E$5*(1-SUM('Pre-allocation of NH3 in power'!E49:E119))+'Pre-allocation of NH3 in power'!E49*'Indirect NH3 demand sources'!E$5</f>
        <v>0</v>
      </c>
      <c r="F49">
        <f>'Electricity shares'!F49*'Indirect NH3 demand sources'!F$5*(1-SUM('Pre-allocation of NH3 in power'!F49:F119))+'Pre-allocation of NH3 in power'!F49*'Indirect NH3 demand sources'!F$5</f>
        <v>0</v>
      </c>
      <c r="G49">
        <f>'Electricity shares'!G49*'Indirect NH3 demand sources'!G$5*(1-SUM('Pre-allocation of NH3 in power'!G49:G119))+'Pre-allocation of NH3 in power'!G49*'Indirect NH3 demand sources'!G$5</f>
        <v>0</v>
      </c>
      <c r="H49">
        <f>'Electricity shares'!H49*'Indirect NH3 demand sources'!H$5*(1-SUM('Pre-allocation of NH3 in power'!H49:H119))+'Pre-allocation of NH3 in power'!H49*'Indirect NH3 demand sources'!H$5</f>
        <v>0</v>
      </c>
      <c r="I49">
        <f>'Electricity shares'!I49*'Indirect NH3 demand sources'!I$5*(1-SUM('Pre-allocation of NH3 in power'!I49:I119))+'Pre-allocation of NH3 in power'!I49*'Indirect NH3 demand sources'!I$5</f>
        <v>0</v>
      </c>
      <c r="J49">
        <f>'Electricity shares'!J49*'Indirect NH3 demand sources'!J$5*(1-SUM('Pre-allocation of NH3 in power'!J49:J119))+'Pre-allocation of NH3 in power'!J49*'Indirect NH3 demand sources'!J$5</f>
        <v>0</v>
      </c>
      <c r="K49">
        <f>'Electricity shares'!K49*'Indirect NH3 demand sources'!K$5*(1-SUM('Pre-allocation of NH3 in power'!K49:K119))+'Pre-allocation of NH3 in power'!K49*'Indirect NH3 demand sources'!K$5</f>
        <v>0</v>
      </c>
      <c r="L49">
        <f>'Electricity shares'!L49*'Indirect NH3 demand sources'!L$5*(1-SUM('Pre-allocation of NH3 in power'!L49:L119))+'Pre-allocation of NH3 in power'!L49*'Indirect NH3 demand sources'!L$5</f>
        <v>0</v>
      </c>
      <c r="M49">
        <f>'Electricity shares'!M49*'Indirect NH3 demand sources'!M$5*(1-SUM('Pre-allocation of NH3 in power'!M49:M119))+'Pre-allocation of NH3 in power'!M49*'Indirect NH3 demand sources'!M$5</f>
        <v>0</v>
      </c>
      <c r="N49">
        <f>'Electricity shares'!N49*'Indirect NH3 demand sources'!N$5*(1-SUM('Pre-allocation of NH3 in power'!N49:N119))+'Pre-allocation of NH3 in power'!N49*'Indirect NH3 demand sources'!N$5</f>
        <v>0</v>
      </c>
      <c r="O49">
        <f>'Electricity shares'!O49*'Indirect NH3 demand sources'!O$5*(1-SUM('Pre-allocation of NH3 in power'!O49:O119))+'Pre-allocation of NH3 in power'!O49*'Indirect NH3 demand sources'!O$5</f>
        <v>0</v>
      </c>
      <c r="P49">
        <f>'Electricity shares'!P49*'Indirect NH3 demand sources'!P$5*(1-SUM('Pre-allocation of NH3 in power'!P49:P119))+'Pre-allocation of NH3 in power'!P49*'Indirect NH3 demand sources'!P$5</f>
        <v>0</v>
      </c>
      <c r="Q49">
        <f>'Electricity shares'!Q49*'Indirect NH3 demand sources'!Q$5*(1-SUM('Pre-allocation of NH3 in power'!Q49:Q119))+'Pre-allocation of NH3 in power'!Q49*'Indirect NH3 demand sources'!Q$5</f>
        <v>0</v>
      </c>
      <c r="R49">
        <f>'Electricity shares'!R49*'Indirect NH3 demand sources'!R$5*(1-SUM('Pre-allocation of NH3 in power'!R49:R119))+'Pre-allocation of NH3 in power'!R49*'Indirect NH3 demand sources'!R$5</f>
        <v>5.5266042095438892E-3</v>
      </c>
      <c r="S49">
        <f>'Electricity shares'!S49*'Indirect NH3 demand sources'!S$5*(1-SUM('Pre-allocation of NH3 in power'!S49:S119))+'Pre-allocation of NH3 in power'!S49*'Indirect NH3 demand sources'!S$5</f>
        <v>1.1094918260197036E-2</v>
      </c>
      <c r="T49">
        <f>'Electricity shares'!T49*'Indirect NH3 demand sources'!T$5*(1-SUM('Pre-allocation of NH3 in power'!T49:T119))+'Pre-allocation of NH3 in power'!T49*'Indirect NH3 demand sources'!T$5</f>
        <v>1.6694552875546297E-2</v>
      </c>
      <c r="U49">
        <f>'Electricity shares'!U49*'Indirect NH3 demand sources'!U$5*(1-SUM('Pre-allocation of NH3 in power'!U49:U119))+'Pre-allocation of NH3 in power'!U49*'Indirect NH3 demand sources'!U$5</f>
        <v>2.2316223107494836E-2</v>
      </c>
      <c r="V49">
        <f>'Electricity shares'!V49*'Indirect NH3 demand sources'!V$5*(1-SUM('Pre-allocation of NH3 in power'!V49:V119))+'Pre-allocation of NH3 in power'!V49*'Indirect NH3 demand sources'!V$5</f>
        <v>2.796109834525138E-2</v>
      </c>
      <c r="W49">
        <f>'Electricity shares'!W49*'Indirect NH3 demand sources'!W$5*(1-SUM('Pre-allocation of NH3 in power'!W49:W119))+'Pre-allocation of NH3 in power'!W49*'Indirect NH3 demand sources'!W$5</f>
        <v>4.2046102526144387E-2</v>
      </c>
      <c r="X49">
        <f>'Electricity shares'!X49*'Indirect NH3 demand sources'!X$5*(1-SUM('Pre-allocation of NH3 in power'!X49:X119))+'Pre-allocation of NH3 in power'!X49*'Indirect NH3 demand sources'!X$5</f>
        <v>5.6174393971674348E-2</v>
      </c>
      <c r="Y49">
        <f>'Electricity shares'!Y49*'Indirect NH3 demand sources'!Y$5*(1-SUM('Pre-allocation of NH3 in power'!Y49:Y119))+'Pre-allocation of NH3 in power'!Y49*'Indirect NH3 demand sources'!Y$5</f>
        <v>7.0331237200339375E-2</v>
      </c>
      <c r="Z49">
        <f>'Electricity shares'!Z49*'Indirect NH3 demand sources'!Z$5*(1-SUM('Pre-allocation of NH3 in power'!Z49:Z119))+'Pre-allocation of NH3 in power'!Z49*'Indirect NH3 demand sources'!Z$5</f>
        <v>8.4495597051398252E-2</v>
      </c>
      <c r="AA49">
        <f>'Electricity shares'!AA49*'Indirect NH3 demand sources'!AA$5*(1-SUM('Pre-allocation of NH3 in power'!AA49:AA119))+'Pre-allocation of NH3 in power'!AA49*'Indirect NH3 demand sources'!AA$5</f>
        <v>9.864958733288276E-2</v>
      </c>
      <c r="AB49">
        <f>'Electricity shares'!AB49*'Indirect NH3 demand sources'!AB$5*(1-SUM('Pre-allocation of NH3 in power'!AB49:AB119))+'Pre-allocation of NH3 in power'!AB49*'Indirect NH3 demand sources'!AB$5</f>
        <v>0.11298214157167495</v>
      </c>
      <c r="AC49">
        <f>'Electricity shares'!AC49*'Indirect NH3 demand sources'!AC$5*(1-SUM('Pre-allocation of NH3 in power'!AC49:AC119))+'Pre-allocation of NH3 in power'!AC49*'Indirect NH3 demand sources'!AC$5</f>
        <v>0.12732934892964837</v>
      </c>
      <c r="AD49">
        <f>'Electricity shares'!AD49*'Indirect NH3 demand sources'!AD$5*(1-SUM('Pre-allocation of NH3 in power'!AD49:AD119))+'Pre-allocation of NH3 in power'!AD49*'Indirect NH3 demand sources'!AD$5</f>
        <v>0.14168786827550078</v>
      </c>
      <c r="AE49">
        <f>'Electricity shares'!AE49*'Indirect NH3 demand sources'!AE$5*(1-SUM('Pre-allocation of NH3 in power'!AE49:AE119))+'Pre-allocation of NH3 in power'!AE49*'Indirect NH3 demand sources'!AE$5</f>
        <v>0.15603203947923452</v>
      </c>
      <c r="AF49">
        <f>'Electricity shares'!AF49*'Indirect NH3 demand sources'!AF$5*(1-SUM('Pre-allocation of NH3 in power'!AF49:AF119))+'Pre-allocation of NH3 in power'!AF49*'Indirect NH3 demand sources'!AF$5</f>
        <v>0.17037653848706147</v>
      </c>
      <c r="AG49">
        <f>'Electricity shares'!AG49*'Indirect NH3 demand sources'!AG$5*(1-SUM('Pre-allocation of NH3 in power'!AG49:AG119))+'Pre-allocation of NH3 in power'!AG49*'Indirect NH3 demand sources'!AG$5</f>
        <v>0.18182127654905206</v>
      </c>
      <c r="AH49">
        <f>'Electricity shares'!AH49*'Indirect NH3 demand sources'!AH$5*(1-SUM('Pre-allocation of NH3 in power'!AH49:AH119))+'Pre-allocation of NH3 in power'!AH49*'Indirect NH3 demand sources'!AH$5</f>
        <v>0.1932560480128741</v>
      </c>
      <c r="AI49">
        <f>'Electricity shares'!AI49*'Indirect NH3 demand sources'!AI$5*(1-SUM('Pre-allocation of NH3 in power'!AI49:AI119))+'Pre-allocation of NH3 in power'!AI49*'Indirect NH3 demand sources'!AI$5</f>
        <v>0.20466897997588318</v>
      </c>
      <c r="AJ49">
        <f>'Electricity shares'!AJ49*'Indirect NH3 demand sources'!AJ$5*(1-SUM('Pre-allocation of NH3 in power'!AJ49:AJ119))+'Pre-allocation of NH3 in power'!AJ49*'Indirect NH3 demand sources'!AJ$5</f>
        <v>0.21605112583906544</v>
      </c>
      <c r="AK49">
        <f>'Electricity shares'!AK49*'Indirect NH3 demand sources'!AK$5*(1-SUM('Pre-allocation of NH3 in power'!AK49:AK119))+'Pre-allocation of NH3 in power'!AK49*'Indirect NH3 demand sources'!AK$5</f>
        <v>0.22747539321596813</v>
      </c>
      <c r="AL49">
        <f>'Electricity shares'!AL49*'Indirect NH3 demand sources'!AL$5*(1-SUM('Pre-allocation of NH3 in power'!AL49:AL119))+'Pre-allocation of NH3 in power'!AL49*'Indirect NH3 demand sources'!AL$5</f>
        <v>0.2388868050482697</v>
      </c>
      <c r="AM49">
        <f>'Electricity shares'!AM49*'Indirect NH3 demand sources'!AM$5*(1-SUM('Pre-allocation of NH3 in power'!AM49:AM119))+'Pre-allocation of NH3 in power'!AM49*'Indirect NH3 demand sources'!AM$5</f>
        <v>0.25026681109996196</v>
      </c>
      <c r="AN49">
        <f>'Electricity shares'!AN49*'Indirect NH3 demand sources'!AN$5*(1-SUM('Pre-allocation of NH3 in power'!AN49:AN119))+'Pre-allocation of NH3 in power'!AN49*'Indirect NH3 demand sources'!AN$5</f>
        <v>0.26167744044194952</v>
      </c>
      <c r="AO49">
        <f>'Electricity shares'!AO49*'Indirect NH3 demand sources'!AO$5*(1-SUM('Pre-allocation of NH3 in power'!AO49:AO119))+'Pre-allocation of NH3 in power'!AO49*'Indirect NH3 demand sources'!AO$5</f>
        <v>0.27313807197968165</v>
      </c>
      <c r="AP49">
        <f>'Electricity shares'!AP49*'Indirect NH3 demand sources'!AP$5*(1-SUM('Pre-allocation of NH3 in power'!AP49:AP119))+'Pre-allocation of NH3 in power'!AP49*'Indirect NH3 demand sources'!AP$5</f>
        <v>0.28464790540587837</v>
      </c>
    </row>
    <row r="50" spans="1:42" x14ac:dyDescent="0.3">
      <c r="A50" t="s">
        <v>125</v>
      </c>
      <c r="B50">
        <f>'Electricity shares'!B50*'Indirect NH3 demand sources'!B$5*(1-SUM('Pre-allocation of NH3 in power'!B50:B120))+'Pre-allocation of NH3 in power'!B50*'Indirect NH3 demand sources'!B$5</f>
        <v>0</v>
      </c>
      <c r="C50">
        <f>'Electricity shares'!C50*'Indirect NH3 demand sources'!C$5*(1-SUM('Pre-allocation of NH3 in power'!C50:C120))+'Pre-allocation of NH3 in power'!C50*'Indirect NH3 demand sources'!C$5</f>
        <v>0</v>
      </c>
      <c r="D50">
        <f>'Electricity shares'!D50*'Indirect NH3 demand sources'!D$5*(1-SUM('Pre-allocation of NH3 in power'!D50:D120))+'Pre-allocation of NH3 in power'!D50*'Indirect NH3 demand sources'!D$5</f>
        <v>0</v>
      </c>
      <c r="E50">
        <f>'Electricity shares'!E50*'Indirect NH3 demand sources'!E$5*(1-SUM('Pre-allocation of NH3 in power'!E50:E120))+'Pre-allocation of NH3 in power'!E50*'Indirect NH3 demand sources'!E$5</f>
        <v>0</v>
      </c>
      <c r="F50">
        <f>'Electricity shares'!F50*'Indirect NH3 demand sources'!F$5*(1-SUM('Pre-allocation of NH3 in power'!F50:F120))+'Pre-allocation of NH3 in power'!F50*'Indirect NH3 demand sources'!F$5</f>
        <v>0</v>
      </c>
      <c r="G50">
        <f>'Electricity shares'!G50*'Indirect NH3 demand sources'!G$5*(1-SUM('Pre-allocation of NH3 in power'!G50:G120))+'Pre-allocation of NH3 in power'!G50*'Indirect NH3 demand sources'!G$5</f>
        <v>0</v>
      </c>
      <c r="H50">
        <f>'Electricity shares'!H50*'Indirect NH3 demand sources'!H$5*(1-SUM('Pre-allocation of NH3 in power'!H50:H120))+'Pre-allocation of NH3 in power'!H50*'Indirect NH3 demand sources'!H$5</f>
        <v>0</v>
      </c>
      <c r="I50">
        <f>'Electricity shares'!I50*'Indirect NH3 demand sources'!I$5*(1-SUM('Pre-allocation of NH3 in power'!I50:I120))+'Pre-allocation of NH3 in power'!I50*'Indirect NH3 demand sources'!I$5</f>
        <v>0</v>
      </c>
      <c r="J50">
        <f>'Electricity shares'!J50*'Indirect NH3 demand sources'!J$5*(1-SUM('Pre-allocation of NH3 in power'!J50:J120))+'Pre-allocation of NH3 in power'!J50*'Indirect NH3 demand sources'!J$5</f>
        <v>0</v>
      </c>
      <c r="K50">
        <f>'Electricity shares'!K50*'Indirect NH3 demand sources'!K$5*(1-SUM('Pre-allocation of NH3 in power'!K50:K120))+'Pre-allocation of NH3 in power'!K50*'Indirect NH3 demand sources'!K$5</f>
        <v>0</v>
      </c>
      <c r="L50">
        <f>'Electricity shares'!L50*'Indirect NH3 demand sources'!L$5*(1-SUM('Pre-allocation of NH3 in power'!L50:L120))+'Pre-allocation of NH3 in power'!L50*'Indirect NH3 demand sources'!L$5</f>
        <v>0</v>
      </c>
      <c r="M50">
        <f>'Electricity shares'!M50*'Indirect NH3 demand sources'!M$5*(1-SUM('Pre-allocation of NH3 in power'!M50:M120))+'Pre-allocation of NH3 in power'!M50*'Indirect NH3 demand sources'!M$5</f>
        <v>0</v>
      </c>
      <c r="N50">
        <f>'Electricity shares'!N50*'Indirect NH3 demand sources'!N$5*(1-SUM('Pre-allocation of NH3 in power'!N50:N120))+'Pre-allocation of NH3 in power'!N50*'Indirect NH3 demand sources'!N$5</f>
        <v>0</v>
      </c>
      <c r="O50">
        <f>'Electricity shares'!O50*'Indirect NH3 demand sources'!O$5*(1-SUM('Pre-allocation of NH3 in power'!O50:O120))+'Pre-allocation of NH3 in power'!O50*'Indirect NH3 demand sources'!O$5</f>
        <v>0</v>
      </c>
      <c r="P50">
        <f>'Electricity shares'!P50*'Indirect NH3 demand sources'!P$5*(1-SUM('Pre-allocation of NH3 in power'!P50:P120))+'Pre-allocation of NH3 in power'!P50*'Indirect NH3 demand sources'!P$5</f>
        <v>0</v>
      </c>
      <c r="Q50">
        <f>'Electricity shares'!Q50*'Indirect NH3 demand sources'!Q$5*(1-SUM('Pre-allocation of NH3 in power'!Q50:Q120))+'Pre-allocation of NH3 in power'!Q50*'Indirect NH3 demand sources'!Q$5</f>
        <v>0</v>
      </c>
      <c r="R50">
        <f>'Electricity shares'!R50*'Indirect NH3 demand sources'!R$5*(1-SUM('Pre-allocation of NH3 in power'!R50:R120))+'Pre-allocation of NH3 in power'!R50*'Indirect NH3 demand sources'!R$5</f>
        <v>4.7876388905223805E-2</v>
      </c>
      <c r="S50">
        <f>'Electricity shares'!S50*'Indirect NH3 demand sources'!S$5*(1-SUM('Pre-allocation of NH3 in power'!S50:S120))+'Pre-allocation of NH3 in power'!S50*'Indirect NH3 demand sources'!S$5</f>
        <v>9.5937736756102815E-2</v>
      </c>
      <c r="T50">
        <f>'Electricity shares'!T50*'Indirect NH3 demand sources'!T$5*(1-SUM('Pre-allocation of NH3 in power'!T50:T120))+'Pre-allocation of NH3 in power'!T50*'Indirect NH3 demand sources'!T$5</f>
        <v>0.14418069279373985</v>
      </c>
      <c r="U50">
        <f>'Electricity shares'!U50*'Indirect NH3 demand sources'!U$5*(1-SUM('Pre-allocation of NH3 in power'!U50:U120))+'Pre-allocation of NH3 in power'!U50*'Indirect NH3 demand sources'!U$5</f>
        <v>0.19262111191387662</v>
      </c>
      <c r="V50">
        <f>'Electricity shares'!V50*'Indirect NH3 demand sources'!V$5*(1-SUM('Pre-allocation of NH3 in power'!V50:V120))+'Pre-allocation of NH3 in power'!V50*'Indirect NH3 demand sources'!V$5</f>
        <v>0.24124308324646679</v>
      </c>
      <c r="W50">
        <f>'Electricity shares'!W50*'Indirect NH3 demand sources'!W$5*(1-SUM('Pre-allocation of NH3 in power'!W50:W120))+'Pre-allocation of NH3 in power'!W50*'Indirect NH3 demand sources'!W$5</f>
        <v>0.36252236808535587</v>
      </c>
      <c r="X50">
        <f>'Electricity shares'!X50*'Indirect NH3 demand sources'!X$5*(1-SUM('Pre-allocation of NH3 in power'!X50:X120))+'Pre-allocation of NH3 in power'!X50*'Indirect NH3 demand sources'!X$5</f>
        <v>0.48415018355443018</v>
      </c>
      <c r="Y50">
        <f>'Electricity shares'!Y50*'Indirect NH3 demand sources'!Y$5*(1-SUM('Pre-allocation of NH3 in power'!Y50:Y120))+'Pre-allocation of NH3 in power'!Y50*'Indirect NH3 demand sources'!Y$5</f>
        <v>0.60614737346357483</v>
      </c>
      <c r="Z50">
        <f>'Electricity shares'!Z50*'Indirect NH3 demand sources'!Z$5*(1-SUM('Pre-allocation of NH3 in power'!Z50:Z120))+'Pre-allocation of NH3 in power'!Z50*'Indirect NH3 demand sources'!Z$5</f>
        <v>0.72849918964707472</v>
      </c>
      <c r="AA50">
        <f>'Electricity shares'!AA50*'Indirect NH3 demand sources'!AA$5*(1-SUM('Pre-allocation of NH3 in power'!AA50:AA120))+'Pre-allocation of NH3 in power'!AA50*'Indirect NH3 demand sources'!AA$5</f>
        <v>0.85118135378975701</v>
      </c>
      <c r="AB50">
        <f>'Electricity shares'!AB50*'Indirect NH3 demand sources'!AB$5*(1-SUM('Pre-allocation of NH3 in power'!AB50:AB120))+'Pre-allocation of NH3 in power'!AB50*'Indirect NH3 demand sources'!AB$5</f>
        <v>0.97411637376273541</v>
      </c>
      <c r="AC50">
        <f>'Electricity shares'!AC50*'Indirect NH3 demand sources'!AC$5*(1-SUM('Pre-allocation of NH3 in power'!AC50:AC120))+'Pre-allocation of NH3 in power'!AC50*'Indirect NH3 demand sources'!AC$5</f>
        <v>1.0973351247761991</v>
      </c>
      <c r="AD50">
        <f>'Electricity shares'!AD50*'Indirect NH3 demand sources'!AD$5*(1-SUM('Pre-allocation of NH3 in power'!AD50:AD120))+'Pre-allocation of NH3 in power'!AD50*'Indirect NH3 demand sources'!AD$5</f>
        <v>1.2208052969624346</v>
      </c>
      <c r="AE50">
        <f>'Electricity shares'!AE50*'Indirect NH3 demand sources'!AE$5*(1-SUM('Pre-allocation of NH3 in power'!AE50:AE120))+'Pre-allocation of NH3 in power'!AE50*'Indirect NH3 demand sources'!AE$5</f>
        <v>1.3444812829188089</v>
      </c>
      <c r="AF50">
        <f>'Electricity shares'!AF50*'Indirect NH3 demand sources'!AF$5*(1-SUM('Pre-allocation of NH3 in power'!AF50:AF120))+'Pre-allocation of NH3 in power'!AF50*'Indirect NH3 demand sources'!AF$5</f>
        <v>1.4683741324571646</v>
      </c>
      <c r="AG50">
        <f>'Electricity shares'!AG50*'Indirect NH3 demand sources'!AG$5*(1-SUM('Pre-allocation of NH3 in power'!AG50:AG120))+'Pre-allocation of NH3 in power'!AG50*'Indirect NH3 demand sources'!AG$5</f>
        <v>1.5677285427091083</v>
      </c>
      <c r="AH50">
        <f>'Electricity shares'!AH50*'Indirect NH3 demand sources'!AH$5*(1-SUM('Pre-allocation of NH3 in power'!AH50:AH120))+'Pre-allocation of NH3 in power'!AH50*'Indirect NH3 demand sources'!AH$5</f>
        <v>1.6671639293961129</v>
      </c>
      <c r="AI50">
        <f>'Electricity shares'!AI50*'Indirect NH3 demand sources'!AI$5*(1-SUM('Pre-allocation of NH3 in power'!AI50:AI120))+'Pre-allocation of NH3 in power'!AI50*'Indirect NH3 demand sources'!AI$5</f>
        <v>1.7666242067202924</v>
      </c>
      <c r="AJ50">
        <f>'Electricity shares'!AJ50*'Indirect NH3 demand sources'!AJ$5*(1-SUM('Pre-allocation of NH3 in power'!AJ50:AJ120))+'Pre-allocation of NH3 in power'!AJ50*'Indirect NH3 demand sources'!AJ$5</f>
        <v>1.8661167494523656</v>
      </c>
      <c r="AK50">
        <f>'Electricity shares'!AK50*'Indirect NH3 demand sources'!AK$5*(1-SUM('Pre-allocation of NH3 in power'!AK50:AK120))+'Pre-allocation of NH3 in power'!AK50*'Indirect NH3 demand sources'!AK$5</f>
        <v>1.965446566086174</v>
      </c>
      <c r="AL50">
        <f>'Electricity shares'!AL50*'Indirect NH3 demand sources'!AL$5*(1-SUM('Pre-allocation of NH3 in power'!AL50:AL120))+'Pre-allocation of NH3 in power'!AL50*'Indirect NH3 demand sources'!AL$5</f>
        <v>2.0643507599142539</v>
      </c>
      <c r="AM50">
        <f>'Electricity shares'!AM50*'Indirect NH3 demand sources'!AM$5*(1-SUM('Pre-allocation of NH3 in power'!AM50:AM120))+'Pre-allocation of NH3 in power'!AM50*'Indirect NH3 demand sources'!AM$5</f>
        <v>2.1631267163914929</v>
      </c>
      <c r="AN50">
        <f>'Electricity shares'!AN50*'Indirect NH3 demand sources'!AN$5*(1-SUM('Pre-allocation of NH3 in power'!AN50:AN120))+'Pre-allocation of NH3 in power'!AN50*'Indirect NH3 demand sources'!AN$5</f>
        <v>2.2618146088343267</v>
      </c>
      <c r="AO50">
        <f>'Electricity shares'!AO50*'Indirect NH3 demand sources'!AO$5*(1-SUM('Pre-allocation of NH3 in power'!AO50:AO120))+'Pre-allocation of NH3 in power'!AO50*'Indirect NH3 demand sources'!AO$5</f>
        <v>2.3602758534298727</v>
      </c>
      <c r="AP50">
        <f>'Electricity shares'!AP50*'Indirect NH3 demand sources'!AP$5*(1-SUM('Pre-allocation of NH3 in power'!AP50:AP120))+'Pre-allocation of NH3 in power'!AP50*'Indirect NH3 demand sources'!AP$5</f>
        <v>2.4586237578770178</v>
      </c>
    </row>
    <row r="51" spans="1:42" x14ac:dyDescent="0.3">
      <c r="A51" t="s">
        <v>126</v>
      </c>
      <c r="B51">
        <f>'Electricity shares'!B51*'Indirect NH3 demand sources'!B$5*(1-SUM('Pre-allocation of NH3 in power'!B51:B121))+'Pre-allocation of NH3 in power'!B51*'Indirect NH3 demand sources'!B$5</f>
        <v>0</v>
      </c>
      <c r="C51">
        <f>'Electricity shares'!C51*'Indirect NH3 demand sources'!C$5*(1-SUM('Pre-allocation of NH3 in power'!C51:C121))+'Pre-allocation of NH3 in power'!C51*'Indirect NH3 demand sources'!C$5</f>
        <v>0</v>
      </c>
      <c r="D51">
        <f>'Electricity shares'!D51*'Indirect NH3 demand sources'!D$5*(1-SUM('Pre-allocation of NH3 in power'!D51:D121))+'Pre-allocation of NH3 in power'!D51*'Indirect NH3 demand sources'!D$5</f>
        <v>0</v>
      </c>
      <c r="E51">
        <f>'Electricity shares'!E51*'Indirect NH3 demand sources'!E$5*(1-SUM('Pre-allocation of NH3 in power'!E51:E121))+'Pre-allocation of NH3 in power'!E51*'Indirect NH3 demand sources'!E$5</f>
        <v>0</v>
      </c>
      <c r="F51">
        <f>'Electricity shares'!F51*'Indirect NH3 demand sources'!F$5*(1-SUM('Pre-allocation of NH3 in power'!F51:F121))+'Pre-allocation of NH3 in power'!F51*'Indirect NH3 demand sources'!F$5</f>
        <v>0</v>
      </c>
      <c r="G51">
        <f>'Electricity shares'!G51*'Indirect NH3 demand sources'!G$5*(1-SUM('Pre-allocation of NH3 in power'!G51:G121))+'Pre-allocation of NH3 in power'!G51*'Indirect NH3 demand sources'!G$5</f>
        <v>0</v>
      </c>
      <c r="H51">
        <f>'Electricity shares'!H51*'Indirect NH3 demand sources'!H$5*(1-SUM('Pre-allocation of NH3 in power'!H51:H121))+'Pre-allocation of NH3 in power'!H51*'Indirect NH3 demand sources'!H$5</f>
        <v>0</v>
      </c>
      <c r="I51">
        <f>'Electricity shares'!I51*'Indirect NH3 demand sources'!I$5*(1-SUM('Pre-allocation of NH3 in power'!I51:I121))+'Pre-allocation of NH3 in power'!I51*'Indirect NH3 demand sources'!I$5</f>
        <v>0</v>
      </c>
      <c r="J51">
        <f>'Electricity shares'!J51*'Indirect NH3 demand sources'!J$5*(1-SUM('Pre-allocation of NH3 in power'!J51:J121))+'Pre-allocation of NH3 in power'!J51*'Indirect NH3 demand sources'!J$5</f>
        <v>0</v>
      </c>
      <c r="K51">
        <f>'Electricity shares'!K51*'Indirect NH3 demand sources'!K$5*(1-SUM('Pre-allocation of NH3 in power'!K51:K121))+'Pre-allocation of NH3 in power'!K51*'Indirect NH3 demand sources'!K$5</f>
        <v>0</v>
      </c>
      <c r="L51">
        <f>'Electricity shares'!L51*'Indirect NH3 demand sources'!L$5*(1-SUM('Pre-allocation of NH3 in power'!L51:L121))+'Pre-allocation of NH3 in power'!L51*'Indirect NH3 demand sources'!L$5</f>
        <v>0</v>
      </c>
      <c r="M51">
        <f>'Electricity shares'!M51*'Indirect NH3 demand sources'!M$5*(1-SUM('Pre-allocation of NH3 in power'!M51:M121))+'Pre-allocation of NH3 in power'!M51*'Indirect NH3 demand sources'!M$5</f>
        <v>0</v>
      </c>
      <c r="N51">
        <f>'Electricity shares'!N51*'Indirect NH3 demand sources'!N$5*(1-SUM('Pre-allocation of NH3 in power'!N51:N121))+'Pre-allocation of NH3 in power'!N51*'Indirect NH3 demand sources'!N$5</f>
        <v>0</v>
      </c>
      <c r="O51">
        <f>'Electricity shares'!O51*'Indirect NH3 demand sources'!O$5*(1-SUM('Pre-allocation of NH3 in power'!O51:O121))+'Pre-allocation of NH3 in power'!O51*'Indirect NH3 demand sources'!O$5</f>
        <v>0</v>
      </c>
      <c r="P51">
        <f>'Electricity shares'!P51*'Indirect NH3 demand sources'!P$5*(1-SUM('Pre-allocation of NH3 in power'!P51:P121))+'Pre-allocation of NH3 in power'!P51*'Indirect NH3 demand sources'!P$5</f>
        <v>0</v>
      </c>
      <c r="Q51">
        <f>'Electricity shares'!Q51*'Indirect NH3 demand sources'!Q$5*(1-SUM('Pre-allocation of NH3 in power'!Q51:Q121))+'Pre-allocation of NH3 in power'!Q51*'Indirect NH3 demand sources'!Q$5</f>
        <v>0</v>
      </c>
      <c r="R51">
        <f>'Electricity shares'!R51*'Indirect NH3 demand sources'!R$5*(1-SUM('Pre-allocation of NH3 in power'!R51:R121))+'Pre-allocation of NH3 in power'!R51*'Indirect NH3 demand sources'!R$5</f>
        <v>4.0949675205169773E-3</v>
      </c>
      <c r="S51">
        <f>'Electricity shares'!S51*'Indirect NH3 demand sources'!S$5*(1-SUM('Pre-allocation of NH3 in power'!S51:S121))+'Pre-allocation of NH3 in power'!S51*'Indirect NH3 demand sources'!S$5</f>
        <v>8.2446309785650512E-3</v>
      </c>
      <c r="T51">
        <f>'Electricity shares'!T51*'Indirect NH3 demand sources'!T$5*(1-SUM('Pre-allocation of NH3 in power'!T51:T121))+'Pre-allocation of NH3 in power'!T51*'Indirect NH3 demand sources'!T$5</f>
        <v>1.2461223113930777E-2</v>
      </c>
      <c r="U51">
        <f>'Electricity shares'!U51*'Indirect NH3 demand sources'!U$5*(1-SUM('Pre-allocation of NH3 in power'!U51:U121))+'Pre-allocation of NH3 in power'!U51*'Indirect NH3 demand sources'!U$5</f>
        <v>1.6721596150334719E-2</v>
      </c>
      <c r="V51">
        <f>'Electricity shares'!V51*'Indirect NH3 demand sources'!V$5*(1-SUM('Pre-allocation of NH3 in power'!V51:V121))+'Pre-allocation of NH3 in power'!V51*'Indirect NH3 demand sources'!V$5</f>
        <v>2.1029888192880587E-2</v>
      </c>
      <c r="W51">
        <f>'Electricity shares'!W51*'Indirect NH3 demand sources'!W$5*(1-SUM('Pre-allocation of NH3 in power'!W51:W121))+'Pre-allocation of NH3 in power'!W51*'Indirect NH3 demand sources'!W$5</f>
        <v>3.1720199048743389E-2</v>
      </c>
      <c r="X51">
        <f>'Electricity shares'!X51*'Indirect NH3 demand sources'!X$5*(1-SUM('Pre-allocation of NH3 in power'!X51:X121))+'Pre-allocation of NH3 in power'!X51*'Indirect NH3 demand sources'!X$5</f>
        <v>4.2503069426049513E-2</v>
      </c>
      <c r="Y51">
        <f>'Electricity shares'!Y51*'Indirect NH3 demand sources'!Y$5*(1-SUM('Pre-allocation of NH3 in power'!Y51:Y121))+'Pre-allocation of NH3 in power'!Y51*'Indirect NH3 demand sources'!Y$5</f>
        <v>5.3360967723618147E-2</v>
      </c>
      <c r="Z51">
        <f>'Electricity shares'!Z51*'Indirect NH3 demand sources'!Z$5*(1-SUM('Pre-allocation of NH3 in power'!Z51:Z121))+'Pre-allocation of NH3 in power'!Z51*'Indirect NH3 demand sources'!Z$5</f>
        <v>6.4278332972603935E-2</v>
      </c>
      <c r="AA51">
        <f>'Electricity shares'!AA51*'Indirect NH3 demand sources'!AA$5*(1-SUM('Pre-allocation of NH3 in power'!AA51:AA121))+'Pre-allocation of NH3 in power'!AA51*'Indirect NH3 demand sources'!AA$5</f>
        <v>7.5238348286733994E-2</v>
      </c>
      <c r="AB51">
        <f>'Electricity shares'!AB51*'Indirect NH3 demand sources'!AB$5*(1-SUM('Pre-allocation of NH3 in power'!AB51:AB121))+'Pre-allocation of NH3 in power'!AB51*'Indirect NH3 demand sources'!AB$5</f>
        <v>8.6170215014308618E-2</v>
      </c>
      <c r="AC51">
        <f>'Electricity shares'!AC51*'Indirect NH3 demand sources'!AC$5*(1-SUM('Pre-allocation of NH3 in power'!AC51:AC121))+'Pre-allocation of NH3 in power'!AC51*'Indirect NH3 demand sources'!AC$5</f>
        <v>9.7108030159584788E-2</v>
      </c>
      <c r="AD51">
        <f>'Electricity shares'!AD51*'Indirect NH3 demand sources'!AD$5*(1-SUM('Pre-allocation of NH3 in power'!AD51:AD121))+'Pre-allocation of NH3 in power'!AD51*'Indirect NH3 demand sources'!AD$5</f>
        <v>0.10803931073854764</v>
      </c>
      <c r="AE51">
        <f>'Electricity shares'!AE51*'Indirect NH3 demand sources'!AE$5*(1-SUM('Pre-allocation of NH3 in power'!AE51:AE121))+'Pre-allocation of NH3 in power'!AE51*'Indirect NH3 demand sources'!AE$5</f>
        <v>0.11895109678401702</v>
      </c>
      <c r="AF51">
        <f>'Electricity shares'!AF51*'Indirect NH3 demand sources'!AF$5*(1-SUM('Pre-allocation of NH3 in power'!AF51:AF121))+'Pre-allocation of NH3 in power'!AF51*'Indirect NH3 demand sources'!AF$5</f>
        <v>0.12984223865255617</v>
      </c>
      <c r="AG51">
        <f>'Electricity shares'!AG51*'Indirect NH3 demand sources'!AG$5*(1-SUM('Pre-allocation of NH3 in power'!AG51:AG121))+'Pre-allocation of NH3 in power'!AG51*'Indirect NH3 demand sources'!AG$5</f>
        <v>0.13851510175656076</v>
      </c>
      <c r="AH51">
        <f>'Electricity shares'!AH51*'Indirect NH3 demand sources'!AH$5*(1-SUM('Pre-allocation of NH3 in power'!AH51:AH121))+'Pre-allocation of NH3 in power'!AH51*'Indirect NH3 demand sources'!AH$5</f>
        <v>0.14716762914364484</v>
      </c>
      <c r="AI51">
        <f>'Electricity shares'!AI51*'Indirect NH3 demand sources'!AI$5*(1-SUM('Pre-allocation of NH3 in power'!AI51:AI121))+'Pre-allocation of NH3 in power'!AI51*'Indirect NH3 demand sources'!AI$5</f>
        <v>0.15579119002101824</v>
      </c>
      <c r="AJ51">
        <f>'Electricity shares'!AJ51*'Indirect NH3 demand sources'!AJ$5*(1-SUM('Pre-allocation of NH3 in power'!AJ51:AJ121))+'Pre-allocation of NH3 in power'!AJ51*'Indirect NH3 demand sources'!AJ$5</f>
        <v>0.16439424859333376</v>
      </c>
      <c r="AK51">
        <f>'Electricity shares'!AK51*'Indirect NH3 demand sources'!AK$5*(1-SUM('Pre-allocation of NH3 in power'!AK51:AK121))+'Pre-allocation of NH3 in power'!AK51*'Indirect NH3 demand sources'!AK$5</f>
        <v>0.17300816019615073</v>
      </c>
      <c r="AL51">
        <f>'Electricity shares'!AL51*'Indirect NH3 demand sources'!AL$5*(1-SUM('Pre-allocation of NH3 in power'!AL51:AL121))+'Pre-allocation of NH3 in power'!AL51*'Indirect NH3 demand sources'!AL$5</f>
        <v>0.18165304022572706</v>
      </c>
      <c r="AM51">
        <f>'Electricity shares'!AM51*'Indirect NH3 demand sources'!AM$5*(1-SUM('Pre-allocation of NH3 in power'!AM51:AM121))+'Pre-allocation of NH3 in power'!AM51*'Indirect NH3 demand sources'!AM$5</f>
        <v>0.19026823717320024</v>
      </c>
      <c r="AN51">
        <f>'Electricity shares'!AN51*'Indirect NH3 demand sources'!AN$5*(1-SUM('Pre-allocation of NH3 in power'!AN51:AN121))+'Pre-allocation of NH3 in power'!AN51*'Indirect NH3 demand sources'!AN$5</f>
        <v>0.19888001329546565</v>
      </c>
      <c r="AO51">
        <f>'Electricity shares'!AO51*'Indirect NH3 demand sources'!AO$5*(1-SUM('Pre-allocation of NH3 in power'!AO51:AO121))+'Pre-allocation of NH3 in power'!AO51*'Indirect NH3 demand sources'!AO$5</f>
        <v>0.20741359505684523</v>
      </c>
      <c r="AP51">
        <f>'Electricity shares'!AP51*'Indirect NH3 demand sources'!AP$5*(1-SUM('Pre-allocation of NH3 in power'!AP51:AP121))+'Pre-allocation of NH3 in power'!AP51*'Indirect NH3 demand sources'!AP$5</f>
        <v>0.21580176624857214</v>
      </c>
    </row>
    <row r="52" spans="1:42" x14ac:dyDescent="0.3">
      <c r="A52" t="s">
        <v>127</v>
      </c>
      <c r="B52">
        <f>'Electricity shares'!B52*'Indirect NH3 demand sources'!B$5*(1-SUM('Pre-allocation of NH3 in power'!B52:B122))+'Pre-allocation of NH3 in power'!B52*'Indirect NH3 demand sources'!B$5</f>
        <v>0</v>
      </c>
      <c r="C52">
        <f>'Electricity shares'!C52*'Indirect NH3 demand sources'!C$5*(1-SUM('Pre-allocation of NH3 in power'!C52:C122))+'Pre-allocation of NH3 in power'!C52*'Indirect NH3 demand sources'!C$5</f>
        <v>0</v>
      </c>
      <c r="D52">
        <f>'Electricity shares'!D52*'Indirect NH3 demand sources'!D$5*(1-SUM('Pre-allocation of NH3 in power'!D52:D122))+'Pre-allocation of NH3 in power'!D52*'Indirect NH3 demand sources'!D$5</f>
        <v>0</v>
      </c>
      <c r="E52">
        <f>'Electricity shares'!E52*'Indirect NH3 demand sources'!E$5*(1-SUM('Pre-allocation of NH3 in power'!E52:E122))+'Pre-allocation of NH3 in power'!E52*'Indirect NH3 demand sources'!E$5</f>
        <v>0</v>
      </c>
      <c r="F52">
        <f>'Electricity shares'!F52*'Indirect NH3 demand sources'!F$5*(1-SUM('Pre-allocation of NH3 in power'!F52:F122))+'Pre-allocation of NH3 in power'!F52*'Indirect NH3 demand sources'!F$5</f>
        <v>0</v>
      </c>
      <c r="G52">
        <f>'Electricity shares'!G52*'Indirect NH3 demand sources'!G$5*(1-SUM('Pre-allocation of NH3 in power'!G52:G122))+'Pre-allocation of NH3 in power'!G52*'Indirect NH3 demand sources'!G$5</f>
        <v>0</v>
      </c>
      <c r="H52">
        <f>'Electricity shares'!H52*'Indirect NH3 demand sources'!H$5*(1-SUM('Pre-allocation of NH3 in power'!H52:H122))+'Pre-allocation of NH3 in power'!H52*'Indirect NH3 demand sources'!H$5</f>
        <v>0</v>
      </c>
      <c r="I52">
        <f>'Electricity shares'!I52*'Indirect NH3 demand sources'!I$5*(1-SUM('Pre-allocation of NH3 in power'!I52:I122))+'Pre-allocation of NH3 in power'!I52*'Indirect NH3 demand sources'!I$5</f>
        <v>0</v>
      </c>
      <c r="J52">
        <f>'Electricity shares'!J52*'Indirect NH3 demand sources'!J$5*(1-SUM('Pre-allocation of NH3 in power'!J52:J122))+'Pre-allocation of NH3 in power'!J52*'Indirect NH3 demand sources'!J$5</f>
        <v>0</v>
      </c>
      <c r="K52">
        <f>'Electricity shares'!K52*'Indirect NH3 demand sources'!K$5*(1-SUM('Pre-allocation of NH3 in power'!K52:K122))+'Pre-allocation of NH3 in power'!K52*'Indirect NH3 demand sources'!K$5</f>
        <v>0</v>
      </c>
      <c r="L52">
        <f>'Electricity shares'!L52*'Indirect NH3 demand sources'!L$5*(1-SUM('Pre-allocation of NH3 in power'!L52:L122))+'Pre-allocation of NH3 in power'!L52*'Indirect NH3 demand sources'!L$5</f>
        <v>0</v>
      </c>
      <c r="M52">
        <f>'Electricity shares'!M52*'Indirect NH3 demand sources'!M$5*(1-SUM('Pre-allocation of NH3 in power'!M52:M122))+'Pre-allocation of NH3 in power'!M52*'Indirect NH3 demand sources'!M$5</f>
        <v>0</v>
      </c>
      <c r="N52">
        <f>'Electricity shares'!N52*'Indirect NH3 demand sources'!N$5*(1-SUM('Pre-allocation of NH3 in power'!N52:N122))+'Pre-allocation of NH3 in power'!N52*'Indirect NH3 demand sources'!N$5</f>
        <v>0</v>
      </c>
      <c r="O52">
        <f>'Electricity shares'!O52*'Indirect NH3 demand sources'!O$5*(1-SUM('Pre-allocation of NH3 in power'!O52:O122))+'Pre-allocation of NH3 in power'!O52*'Indirect NH3 demand sources'!O$5</f>
        <v>0</v>
      </c>
      <c r="P52">
        <f>'Electricity shares'!P52*'Indirect NH3 demand sources'!P$5*(1-SUM('Pre-allocation of NH3 in power'!P52:P122))+'Pre-allocation of NH3 in power'!P52*'Indirect NH3 demand sources'!P$5</f>
        <v>0</v>
      </c>
      <c r="Q52">
        <f>'Electricity shares'!Q52*'Indirect NH3 demand sources'!Q$5*(1-SUM('Pre-allocation of NH3 in power'!Q52:Q122))+'Pre-allocation of NH3 in power'!Q52*'Indirect NH3 demand sources'!Q$5</f>
        <v>0</v>
      </c>
      <c r="R52">
        <f>'Electricity shares'!R52*'Indirect NH3 demand sources'!R$5*(1-SUM('Pre-allocation of NH3 in power'!R52:R122))+'Pre-allocation of NH3 in power'!R52*'Indirect NH3 demand sources'!R$5</f>
        <v>5.4177332362709838E-3</v>
      </c>
      <c r="S52">
        <f>'Electricity shares'!S52*'Indirect NH3 demand sources'!S$5*(1-SUM('Pre-allocation of NH3 in power'!S52:S122))+'Pre-allocation of NH3 in power'!S52*'Indirect NH3 demand sources'!S$5</f>
        <v>1.0989379410493973E-2</v>
      </c>
      <c r="T52">
        <f>'Electricity shares'!T52*'Indirect NH3 demand sources'!T$5*(1-SUM('Pre-allocation of NH3 in power'!T52:T122))+'Pre-allocation of NH3 in power'!T52*'Indirect NH3 demand sources'!T$5</f>
        <v>1.6708304414449614E-2</v>
      </c>
      <c r="U52">
        <f>'Electricity shares'!U52*'Indirect NH3 demand sources'!U$5*(1-SUM('Pre-allocation of NH3 in power'!U52:U122))+'Pre-allocation of NH3 in power'!U52*'Indirect NH3 demand sources'!U$5</f>
        <v>2.257616064829485E-2</v>
      </c>
      <c r="V52">
        <f>'Electricity shares'!V52*'Indirect NH3 demand sources'!V$5*(1-SUM('Pre-allocation of NH3 in power'!V52:V122))+'Pre-allocation of NH3 in power'!V52*'Indirect NH3 demand sources'!V$5</f>
        <v>2.8597556158296362E-2</v>
      </c>
      <c r="W52">
        <f>'Electricity shares'!W52*'Indirect NH3 demand sources'!W$5*(1-SUM('Pre-allocation of NH3 in power'!W52:W122))+'Pre-allocation of NH3 in power'!W52*'Indirect NH3 demand sources'!W$5</f>
        <v>4.3376885920807434E-2</v>
      </c>
      <c r="X52">
        <f>'Electricity shares'!X52*'Indirect NH3 demand sources'!X$5*(1-SUM('Pre-allocation of NH3 in power'!X52:X122))+'Pre-allocation of NH3 in power'!X52*'Indirect NH3 demand sources'!X$5</f>
        <v>5.8460958378233889E-2</v>
      </c>
      <c r="Y52">
        <f>'Electricity shares'!Y52*'Indirect NH3 demand sources'!Y$5*(1-SUM('Pre-allocation of NH3 in power'!Y52:Y122))+'Pre-allocation of NH3 in power'!Y52*'Indirect NH3 demand sources'!Y$5</f>
        <v>7.3844239285903043E-2</v>
      </c>
      <c r="Z52">
        <f>'Electricity shares'!Z52*'Indirect NH3 demand sources'!Z$5*(1-SUM('Pre-allocation of NH3 in power'!Z52:Z122))+'Pre-allocation of NH3 in power'!Z52*'Indirect NH3 demand sources'!Z$5</f>
        <v>8.9511075472031021E-2</v>
      </c>
      <c r="AA52">
        <f>'Electricity shares'!AA52*'Indirect NH3 demand sources'!AA$5*(1-SUM('Pre-allocation of NH3 in power'!AA52:AA122))+'Pre-allocation of NH3 in power'!AA52*'Indirect NH3 demand sources'!AA$5</f>
        <v>0.1054539192324344</v>
      </c>
      <c r="AB52">
        <f>'Electricity shares'!AB52*'Indirect NH3 demand sources'!AB$5*(1-SUM('Pre-allocation of NH3 in power'!AB52:AB122))+'Pre-allocation of NH3 in power'!AB52*'Indirect NH3 demand sources'!AB$5</f>
        <v>0.12149989411432026</v>
      </c>
      <c r="AC52">
        <f>'Electricity shares'!AC52*'Indirect NH3 demand sources'!AC$5*(1-SUM('Pre-allocation of NH3 in power'!AC52:AC122))+'Pre-allocation of NH3 in power'!AC52*'Indirect NH3 demand sources'!AC$5</f>
        <v>0.13775558549955458</v>
      </c>
      <c r="AD52">
        <f>'Electricity shares'!AD52*'Indirect NH3 demand sources'!AD$5*(1-SUM('Pre-allocation of NH3 in power'!AD52:AD122))+'Pre-allocation of NH3 in power'!AD52*'Indirect NH3 demand sources'!AD$5</f>
        <v>0.15420669703597217</v>
      </c>
      <c r="AE52">
        <f>'Electricity shares'!AE52*'Indirect NH3 demand sources'!AE$5*(1-SUM('Pre-allocation of NH3 in power'!AE52:AE122))+'Pre-allocation of NH3 in power'!AE52*'Indirect NH3 demand sources'!AE$5</f>
        <v>0.17084372159082686</v>
      </c>
      <c r="AF52">
        <f>'Electricity shares'!AF52*'Indirect NH3 demand sources'!AF$5*(1-SUM('Pre-allocation of NH3 in power'!AF52:AF122))+'Pre-allocation of NH3 in power'!AF52*'Indirect NH3 demand sources'!AF$5</f>
        <v>0.18766072855256882</v>
      </c>
      <c r="AG52">
        <f>'Electricity shares'!AG52*'Indirect NH3 demand sources'!AG$5*(1-SUM('Pre-allocation of NH3 in power'!AG52:AG122))+'Pre-allocation of NH3 in power'!AG52*'Indirect NH3 demand sources'!AG$5</f>
        <v>0.20145869715874404</v>
      </c>
      <c r="AH52">
        <f>'Electricity shares'!AH52*'Indirect NH3 demand sources'!AH$5*(1-SUM('Pre-allocation of NH3 in power'!AH52:AH122))+'Pre-allocation of NH3 in power'!AH52*'Indirect NH3 demand sources'!AH$5</f>
        <v>0.21540923950695676</v>
      </c>
      <c r="AI52">
        <f>'Electricity shares'!AI52*'Indirect NH3 demand sources'!AI$5*(1-SUM('Pre-allocation of NH3 in power'!AI52:AI122))+'Pre-allocation of NH3 in power'!AI52*'Indirect NH3 demand sources'!AI$5</f>
        <v>0.22948631058370186</v>
      </c>
      <c r="AJ52">
        <f>'Electricity shares'!AJ52*'Indirect NH3 demand sources'!AJ$5*(1-SUM('Pre-allocation of NH3 in power'!AJ52:AJ122))+'Pre-allocation of NH3 in power'!AJ52*'Indirect NH3 demand sources'!AJ$5</f>
        <v>0.24368148748390589</v>
      </c>
      <c r="AK52">
        <f>'Electricity shares'!AK52*'Indirect NH3 demand sources'!AK$5*(1-SUM('Pre-allocation of NH3 in power'!AK52:AK122))+'Pre-allocation of NH3 in power'!AK52*'Indirect NH3 demand sources'!AK$5</f>
        <v>0.2580777784416538</v>
      </c>
      <c r="AL52">
        <f>'Electricity shares'!AL52*'Indirect NH3 demand sources'!AL$5*(1-SUM('Pre-allocation of NH3 in power'!AL52:AL122))+'Pre-allocation of NH3 in power'!AL52*'Indirect NH3 demand sources'!AL$5</f>
        <v>0.2726800984124097</v>
      </c>
      <c r="AM52">
        <f>'Electricity shares'!AM52*'Indirect NH3 demand sources'!AM$5*(1-SUM('Pre-allocation of NH3 in power'!AM52:AM122))+'Pre-allocation of NH3 in power'!AM52*'Indirect NH3 demand sources'!AM$5</f>
        <v>0.28745595068619367</v>
      </c>
      <c r="AN52">
        <f>'Electricity shares'!AN52*'Indirect NH3 demand sources'!AN$5*(1-SUM('Pre-allocation of NH3 in power'!AN52:AN122))+'Pre-allocation of NH3 in power'!AN52*'Indirect NH3 demand sources'!AN$5</f>
        <v>0.30252160178894127</v>
      </c>
      <c r="AO52">
        <f>'Electricity shares'!AO52*'Indirect NH3 demand sources'!AO$5*(1-SUM('Pre-allocation of NH3 in power'!AO52:AO122))+'Pre-allocation of NH3 in power'!AO52*'Indirect NH3 demand sources'!AO$5</f>
        <v>0.31794799249442618</v>
      </c>
      <c r="AP52">
        <f>'Electricity shares'!AP52*'Indirect NH3 demand sources'!AP$5*(1-SUM('Pre-allocation of NH3 in power'!AP52:AP122))+'Pre-allocation of NH3 in power'!AP52*'Indirect NH3 demand sources'!AP$5</f>
        <v>0.33377276616922358</v>
      </c>
    </row>
    <row r="53" spans="1:42" x14ac:dyDescent="0.3">
      <c r="A53" t="s">
        <v>128</v>
      </c>
      <c r="B53">
        <f>'Electricity shares'!B53*'Indirect NH3 demand sources'!B$5*(1-SUM('Pre-allocation of NH3 in power'!B53:B123))+'Pre-allocation of NH3 in power'!B53*'Indirect NH3 demand sources'!B$5</f>
        <v>0</v>
      </c>
      <c r="C53">
        <f>'Electricity shares'!C53*'Indirect NH3 demand sources'!C$5*(1-SUM('Pre-allocation of NH3 in power'!C53:C123))+'Pre-allocation of NH3 in power'!C53*'Indirect NH3 demand sources'!C$5</f>
        <v>0</v>
      </c>
      <c r="D53">
        <f>'Electricity shares'!D53*'Indirect NH3 demand sources'!D$5*(1-SUM('Pre-allocation of NH3 in power'!D53:D123))+'Pre-allocation of NH3 in power'!D53*'Indirect NH3 demand sources'!D$5</f>
        <v>0</v>
      </c>
      <c r="E53">
        <f>'Electricity shares'!E53*'Indirect NH3 demand sources'!E$5*(1-SUM('Pre-allocation of NH3 in power'!E53:E123))+'Pre-allocation of NH3 in power'!E53*'Indirect NH3 demand sources'!E$5</f>
        <v>0</v>
      </c>
      <c r="F53">
        <f>'Electricity shares'!F53*'Indirect NH3 demand sources'!F$5*(1-SUM('Pre-allocation of NH3 in power'!F53:F123))+'Pre-allocation of NH3 in power'!F53*'Indirect NH3 demand sources'!F$5</f>
        <v>0</v>
      </c>
      <c r="G53">
        <f>'Electricity shares'!G53*'Indirect NH3 demand sources'!G$5*(1-SUM('Pre-allocation of NH3 in power'!G53:G123))+'Pre-allocation of NH3 in power'!G53*'Indirect NH3 demand sources'!G$5</f>
        <v>0</v>
      </c>
      <c r="H53">
        <f>'Electricity shares'!H53*'Indirect NH3 demand sources'!H$5*(1-SUM('Pre-allocation of NH3 in power'!H53:H123))+'Pre-allocation of NH3 in power'!H53*'Indirect NH3 demand sources'!H$5</f>
        <v>0</v>
      </c>
      <c r="I53">
        <f>'Electricity shares'!I53*'Indirect NH3 demand sources'!I$5*(1-SUM('Pre-allocation of NH3 in power'!I53:I123))+'Pre-allocation of NH3 in power'!I53*'Indirect NH3 demand sources'!I$5</f>
        <v>0</v>
      </c>
      <c r="J53">
        <f>'Electricity shares'!J53*'Indirect NH3 demand sources'!J$5*(1-SUM('Pre-allocation of NH3 in power'!J53:J123))+'Pre-allocation of NH3 in power'!J53*'Indirect NH3 demand sources'!J$5</f>
        <v>0</v>
      </c>
      <c r="K53">
        <f>'Electricity shares'!K53*'Indirect NH3 demand sources'!K$5*(1-SUM('Pre-allocation of NH3 in power'!K53:K123))+'Pre-allocation of NH3 in power'!K53*'Indirect NH3 demand sources'!K$5</f>
        <v>0</v>
      </c>
      <c r="L53">
        <f>'Electricity shares'!L53*'Indirect NH3 demand sources'!L$5*(1-SUM('Pre-allocation of NH3 in power'!L53:L123))+'Pre-allocation of NH3 in power'!L53*'Indirect NH3 demand sources'!L$5</f>
        <v>0</v>
      </c>
      <c r="M53">
        <f>'Electricity shares'!M53*'Indirect NH3 demand sources'!M$5*(1-SUM('Pre-allocation of NH3 in power'!M53:M123))+'Pre-allocation of NH3 in power'!M53*'Indirect NH3 demand sources'!M$5</f>
        <v>0</v>
      </c>
      <c r="N53">
        <f>'Electricity shares'!N53*'Indirect NH3 demand sources'!N$5*(1-SUM('Pre-allocation of NH3 in power'!N53:N123))+'Pre-allocation of NH3 in power'!N53*'Indirect NH3 demand sources'!N$5</f>
        <v>0</v>
      </c>
      <c r="O53">
        <f>'Electricity shares'!O53*'Indirect NH3 demand sources'!O$5*(1-SUM('Pre-allocation of NH3 in power'!O53:O123))+'Pre-allocation of NH3 in power'!O53*'Indirect NH3 demand sources'!O$5</f>
        <v>0</v>
      </c>
      <c r="P53">
        <f>'Electricity shares'!P53*'Indirect NH3 demand sources'!P$5*(1-SUM('Pre-allocation of NH3 in power'!P53:P123))+'Pre-allocation of NH3 in power'!P53*'Indirect NH3 demand sources'!P$5</f>
        <v>0</v>
      </c>
      <c r="Q53">
        <f>'Electricity shares'!Q53*'Indirect NH3 demand sources'!Q$5*(1-SUM('Pre-allocation of NH3 in power'!Q53:Q123))+'Pre-allocation of NH3 in power'!Q53*'Indirect NH3 demand sources'!Q$5</f>
        <v>0</v>
      </c>
      <c r="R53">
        <f>'Electricity shares'!R53*'Indirect NH3 demand sources'!R$5*(1-SUM('Pre-allocation of NH3 in power'!R53:R123))+'Pre-allocation of NH3 in power'!R53*'Indirect NH3 demand sources'!R$5</f>
        <v>1.0468004920547835E-2</v>
      </c>
      <c r="S53">
        <f>'Electricity shares'!S53*'Indirect NH3 demand sources'!S$5*(1-SUM('Pre-allocation of NH3 in power'!S53:S123))+'Pre-allocation of NH3 in power'!S53*'Indirect NH3 demand sources'!S$5</f>
        <v>2.1237672191836521E-2</v>
      </c>
      <c r="T53">
        <f>'Electricity shares'!T53*'Indirect NH3 demand sources'!T$5*(1-SUM('Pre-allocation of NH3 in power'!T53:T123))+'Pre-allocation of NH3 in power'!T53*'Indirect NH3 demand sources'!T$5</f>
        <v>3.231072439702215E-2</v>
      </c>
      <c r="U53">
        <f>'Electricity shares'!U53*'Indirect NH3 demand sources'!U$5*(1-SUM('Pre-allocation of NH3 in power'!U53:U123))+'Pre-allocation of NH3 in power'!U53*'Indirect NH3 demand sources'!U$5</f>
        <v>4.369933715650056E-2</v>
      </c>
      <c r="V53">
        <f>'Electricity shares'!V53*'Indirect NH3 demand sources'!V$5*(1-SUM('Pre-allocation of NH3 in power'!V53:V123))+'Pre-allocation of NH3 in power'!V53*'Indirect NH3 demand sources'!V$5</f>
        <v>5.5439967725581268E-2</v>
      </c>
      <c r="W53">
        <f>'Electricity shares'!W53*'Indirect NH3 demand sources'!W$5*(1-SUM('Pre-allocation of NH3 in power'!W53:W123))+'Pre-allocation of NH3 in power'!W53*'Indirect NH3 demand sources'!W$5</f>
        <v>8.4339742055145897E-2</v>
      </c>
      <c r="X53">
        <f>'Electricity shares'!X53*'Indirect NH3 demand sources'!X$5*(1-SUM('Pre-allocation of NH3 in power'!X53:X123))+'Pre-allocation of NH3 in power'!X53*'Indirect NH3 demand sources'!X$5</f>
        <v>0.11406831010534516</v>
      </c>
      <c r="Y53">
        <f>'Electricity shares'!Y53*'Indirect NH3 demand sources'!Y$5*(1-SUM('Pre-allocation of NH3 in power'!Y53:Y123))+'Pre-allocation of NH3 in power'!Y53*'Indirect NH3 demand sources'!Y$5</f>
        <v>0.14466155284200663</v>
      </c>
      <c r="Z53">
        <f>'Electricity shares'!Z53*'Indirect NH3 demand sources'!Z$5*(1-SUM('Pre-allocation of NH3 in power'!Z53:Z123))+'Pre-allocation of NH3 in power'!Z53*'Indirect NH3 demand sources'!Z$5</f>
        <v>0.17616068931209877</v>
      </c>
      <c r="AA53">
        <f>'Electricity shares'!AA53*'Indirect NH3 demand sources'!AA$5*(1-SUM('Pre-allocation of NH3 in power'!AA53:AA123))+'Pre-allocation of NH3 in power'!AA53*'Indirect NH3 demand sources'!AA$5</f>
        <v>0.20858208566547107</v>
      </c>
      <c r="AB53">
        <f>'Electricity shares'!AB53*'Indirect NH3 demand sources'!AB$5*(1-SUM('Pre-allocation of NH3 in power'!AB53:AB123))+'Pre-allocation of NH3 in power'!AB53*'Indirect NH3 demand sources'!AB$5</f>
        <v>0.24163406218034736</v>
      </c>
      <c r="AC53">
        <f>'Electricity shares'!AC53*'Indirect NH3 demand sources'!AC$5*(1-SUM('Pre-allocation of NH3 in power'!AC53:AC123))+'Pre-allocation of NH3 in power'!AC53*'Indirect NH3 demand sources'!AC$5</f>
        <v>0.27552980633578139</v>
      </c>
      <c r="AD53">
        <f>'Electricity shares'!AD53*'Indirect NH3 demand sources'!AD$5*(1-SUM('Pre-allocation of NH3 in power'!AD53:AD123))+'Pre-allocation of NH3 in power'!AD53*'Indirect NH3 demand sources'!AD$5</f>
        <v>0.31021730842305462</v>
      </c>
      <c r="AE53">
        <f>'Electricity shares'!AE53*'Indirect NH3 demand sources'!AE$5*(1-SUM('Pre-allocation of NH3 in power'!AE53:AE123))+'Pre-allocation of NH3 in power'!AE53*'Indirect NH3 demand sources'!AE$5</f>
        <v>0.34566099749651125</v>
      </c>
      <c r="AF53">
        <f>'Electricity shares'!AF53*'Indirect NH3 demand sources'!AF$5*(1-SUM('Pre-allocation of NH3 in power'!AF53:AF123))+'Pre-allocation of NH3 in power'!AF53*'Indirect NH3 demand sources'!AF$5</f>
        <v>0.38183154081561077</v>
      </c>
      <c r="AG53">
        <f>'Electricity shares'!AG53*'Indirect NH3 demand sources'!AG$5*(1-SUM('Pre-allocation of NH3 in power'!AG53:AG123))+'Pre-allocation of NH3 in power'!AG53*'Indirect NH3 demand sources'!AG$5</f>
        <v>0.41221349623403358</v>
      </c>
      <c r="AH53">
        <f>'Electricity shares'!AH53*'Indirect NH3 demand sources'!AH$5*(1-SUM('Pre-allocation of NH3 in power'!AH53:AH123))+'Pre-allocation of NH3 in power'!AH53*'Indirect NH3 demand sources'!AH$5</f>
        <v>0.44319948729724196</v>
      </c>
      <c r="AI53">
        <f>'Electricity shares'!AI53*'Indirect NH3 demand sources'!AI$5*(1-SUM('Pre-allocation of NH3 in power'!AI53:AI123))+'Pre-allocation of NH3 in power'!AI53*'Indirect NH3 demand sources'!AI$5</f>
        <v>0.47474022153830386</v>
      </c>
      <c r="AJ53">
        <f>'Electricity shares'!AJ53*'Indirect NH3 demand sources'!AJ$5*(1-SUM('Pre-allocation of NH3 in power'!AJ53:AJ123))+'Pre-allocation of NH3 in power'!AJ53*'Indirect NH3 demand sources'!AJ$5</f>
        <v>0.50683574438568746</v>
      </c>
      <c r="AK53">
        <f>'Electricity shares'!AK53*'Indirect NH3 demand sources'!AK$5*(1-SUM('Pre-allocation of NH3 in power'!AK53:AK123))+'Pre-allocation of NH3 in power'!AK53*'Indirect NH3 demand sources'!AK$5</f>
        <v>0.53959862025216065</v>
      </c>
      <c r="AL53">
        <f>'Electricity shares'!AL53*'Indirect NH3 demand sources'!AL$5*(1-SUM('Pre-allocation of NH3 in power'!AL53:AL123))+'Pre-allocation of NH3 in power'!AL53*'Indirect NH3 demand sources'!AL$5</f>
        <v>0.57300666868782935</v>
      </c>
      <c r="AM53">
        <f>'Electricity shares'!AM53*'Indirect NH3 demand sources'!AM$5*(1-SUM('Pre-allocation of NH3 in power'!AM53:AM123))+'Pre-allocation of NH3 in power'!AM53*'Indirect NH3 demand sources'!AM$5</f>
        <v>0.60695141860163304</v>
      </c>
      <c r="AN53">
        <f>'Electricity shares'!AN53*'Indirect NH3 demand sources'!AN$5*(1-SUM('Pre-allocation of NH3 in power'!AN53:AN123))+'Pre-allocation of NH3 in power'!AN53*'Indirect NH3 demand sources'!AN$5</f>
        <v>0.64165595904848149</v>
      </c>
      <c r="AO53">
        <f>'Electricity shares'!AO53*'Indirect NH3 demand sources'!AO$5*(1-SUM('Pre-allocation of NH3 in power'!AO53:AO123))+'Pre-allocation of NH3 in power'!AO53*'Indirect NH3 demand sources'!AO$5</f>
        <v>0.6772050695786459</v>
      </c>
      <c r="AP53">
        <f>'Electricity shares'!AP53*'Indirect NH3 demand sources'!AP$5*(1-SUM('Pre-allocation of NH3 in power'!AP53:AP123))+'Pre-allocation of NH3 in power'!AP53*'Indirect NH3 demand sources'!AP$5</f>
        <v>0.71365738027024173</v>
      </c>
    </row>
    <row r="54" spans="1:42" x14ac:dyDescent="0.3">
      <c r="A54" t="s">
        <v>129</v>
      </c>
      <c r="B54">
        <f>'Electricity shares'!B54*'Indirect NH3 demand sources'!B$5*(1-SUM('Pre-allocation of NH3 in power'!B54:B124))+'Pre-allocation of NH3 in power'!B54*'Indirect NH3 demand sources'!B$5</f>
        <v>0</v>
      </c>
      <c r="C54">
        <f>'Electricity shares'!C54*'Indirect NH3 demand sources'!C$5*(1-SUM('Pre-allocation of NH3 in power'!C54:C124))+'Pre-allocation of NH3 in power'!C54*'Indirect NH3 demand sources'!C$5</f>
        <v>0</v>
      </c>
      <c r="D54">
        <f>'Electricity shares'!D54*'Indirect NH3 demand sources'!D$5*(1-SUM('Pre-allocation of NH3 in power'!D54:D124))+'Pre-allocation of NH3 in power'!D54*'Indirect NH3 demand sources'!D$5</f>
        <v>0</v>
      </c>
      <c r="E54">
        <f>'Electricity shares'!E54*'Indirect NH3 demand sources'!E$5*(1-SUM('Pre-allocation of NH3 in power'!E54:E124))+'Pre-allocation of NH3 in power'!E54*'Indirect NH3 demand sources'!E$5</f>
        <v>0</v>
      </c>
      <c r="F54">
        <f>'Electricity shares'!F54*'Indirect NH3 demand sources'!F$5*(1-SUM('Pre-allocation of NH3 in power'!F54:F124))+'Pre-allocation of NH3 in power'!F54*'Indirect NH3 demand sources'!F$5</f>
        <v>0</v>
      </c>
      <c r="G54">
        <f>'Electricity shares'!G54*'Indirect NH3 demand sources'!G$5*(1-SUM('Pre-allocation of NH3 in power'!G54:G124))+'Pre-allocation of NH3 in power'!G54*'Indirect NH3 demand sources'!G$5</f>
        <v>0</v>
      </c>
      <c r="H54">
        <f>'Electricity shares'!H54*'Indirect NH3 demand sources'!H$5*(1-SUM('Pre-allocation of NH3 in power'!H54:H124))+'Pre-allocation of NH3 in power'!H54*'Indirect NH3 demand sources'!H$5</f>
        <v>0</v>
      </c>
      <c r="I54">
        <f>'Electricity shares'!I54*'Indirect NH3 demand sources'!I$5*(1-SUM('Pre-allocation of NH3 in power'!I54:I124))+'Pre-allocation of NH3 in power'!I54*'Indirect NH3 demand sources'!I$5</f>
        <v>0</v>
      </c>
      <c r="J54">
        <f>'Electricity shares'!J54*'Indirect NH3 demand sources'!J$5*(1-SUM('Pre-allocation of NH3 in power'!J54:J124))+'Pre-allocation of NH3 in power'!J54*'Indirect NH3 demand sources'!J$5</f>
        <v>0</v>
      </c>
      <c r="K54">
        <f>'Electricity shares'!K54*'Indirect NH3 demand sources'!K$5*(1-SUM('Pre-allocation of NH3 in power'!K54:K124))+'Pre-allocation of NH3 in power'!K54*'Indirect NH3 demand sources'!K$5</f>
        <v>0</v>
      </c>
      <c r="L54">
        <f>'Electricity shares'!L54*'Indirect NH3 demand sources'!L$5*(1-SUM('Pre-allocation of NH3 in power'!L54:L124))+'Pre-allocation of NH3 in power'!L54*'Indirect NH3 demand sources'!L$5</f>
        <v>0</v>
      </c>
      <c r="M54">
        <f>'Electricity shares'!M54*'Indirect NH3 demand sources'!M$5*(1-SUM('Pre-allocation of NH3 in power'!M54:M124))+'Pre-allocation of NH3 in power'!M54*'Indirect NH3 demand sources'!M$5</f>
        <v>0</v>
      </c>
      <c r="N54">
        <f>'Electricity shares'!N54*'Indirect NH3 demand sources'!N$5*(1-SUM('Pre-allocation of NH3 in power'!N54:N124))+'Pre-allocation of NH3 in power'!N54*'Indirect NH3 demand sources'!N$5</f>
        <v>0</v>
      </c>
      <c r="O54">
        <f>'Electricity shares'!O54*'Indirect NH3 demand sources'!O$5*(1-SUM('Pre-allocation of NH3 in power'!O54:O124))+'Pre-allocation of NH3 in power'!O54*'Indirect NH3 demand sources'!O$5</f>
        <v>0</v>
      </c>
      <c r="P54">
        <f>'Electricity shares'!P54*'Indirect NH3 demand sources'!P$5*(1-SUM('Pre-allocation of NH3 in power'!P54:P124))+'Pre-allocation of NH3 in power'!P54*'Indirect NH3 demand sources'!P$5</f>
        <v>0</v>
      </c>
      <c r="Q54">
        <f>'Electricity shares'!Q54*'Indirect NH3 demand sources'!Q$5*(1-SUM('Pre-allocation of NH3 in power'!Q54:Q124))+'Pre-allocation of NH3 in power'!Q54*'Indirect NH3 demand sources'!Q$5</f>
        <v>0</v>
      </c>
      <c r="R54">
        <f>'Electricity shares'!R54*'Indirect NH3 demand sources'!R$5*(1-SUM('Pre-allocation of NH3 in power'!R54:R124))+'Pre-allocation of NH3 in power'!R54*'Indirect NH3 demand sources'!R$5</f>
        <v>7.9633521424217184E-3</v>
      </c>
      <c r="S54">
        <f>'Electricity shares'!S54*'Indirect NH3 demand sources'!S$5*(1-SUM('Pre-allocation of NH3 in power'!S54:S124))+'Pre-allocation of NH3 in power'!S54*'Indirect NH3 demand sources'!S$5</f>
        <v>1.5992268916458219E-2</v>
      </c>
      <c r="T54">
        <f>'Electricity shares'!T54*'Indirect NH3 demand sources'!T$5*(1-SUM('Pre-allocation of NH3 in power'!T54:T124))+'Pre-allocation of NH3 in power'!T54*'Indirect NH3 demand sources'!T$5</f>
        <v>2.4085458020515631E-2</v>
      </c>
      <c r="U54">
        <f>'Electricity shares'!U54*'Indirect NH3 demand sources'!U$5*(1-SUM('Pre-allocation of NH3 in power'!U54:U124))+'Pre-allocation of NH3 in power'!U54*'Indirect NH3 demand sources'!U$5</f>
        <v>3.2248382937460254E-2</v>
      </c>
      <c r="V54">
        <f>'Electricity shares'!V54*'Indirect NH3 demand sources'!V$5*(1-SUM('Pre-allocation of NH3 in power'!V54:V124))+'Pre-allocation of NH3 in power'!V54*'Indirect NH3 demand sources'!V$5</f>
        <v>4.0507329185566418E-2</v>
      </c>
      <c r="W54">
        <f>'Electricity shares'!W54*'Indirect NH3 demand sources'!W$5*(1-SUM('Pre-allocation of NH3 in power'!W54:W124))+'Pre-allocation of NH3 in power'!W54*'Indirect NH3 demand sources'!W$5</f>
        <v>6.110342177765006E-2</v>
      </c>
      <c r="X54">
        <f>'Electricity shares'!X54*'Indirect NH3 demand sources'!X$5*(1-SUM('Pre-allocation of NH3 in power'!X54:X124))+'Pre-allocation of NH3 in power'!X54*'Indirect NH3 demand sources'!X$5</f>
        <v>8.1950271997984228E-2</v>
      </c>
      <c r="Y54">
        <f>'Electricity shares'!Y54*'Indirect NH3 demand sources'!Y$5*(1-SUM('Pre-allocation of NH3 in power'!Y54:Y124))+'Pre-allocation of NH3 in power'!Y54*'Indirect NH3 demand sources'!Y$5</f>
        <v>0.10306986978697856</v>
      </c>
      <c r="Z54">
        <f>'Electricity shares'!Z54*'Indirect NH3 demand sources'!Z$5*(1-SUM('Pre-allocation of NH3 in power'!Z54:Z124))+'Pre-allocation of NH3 in power'!Z54*'Indirect NH3 demand sources'!Z$5</f>
        <v>0.12447856964358758</v>
      </c>
      <c r="AA54">
        <f>'Electricity shares'!AA54*'Indirect NH3 demand sources'!AA$5*(1-SUM('Pre-allocation of NH3 in power'!AA54:AA124))+'Pre-allocation of NH3 in power'!AA54*'Indirect NH3 demand sources'!AA$5</f>
        <v>0.14619917156019008</v>
      </c>
      <c r="AB54">
        <f>'Electricity shares'!AB54*'Indirect NH3 demand sources'!AB$5*(1-SUM('Pre-allocation of NH3 in power'!AB54:AB124))+'Pre-allocation of NH3 in power'!AB54*'Indirect NH3 demand sources'!AB$5</f>
        <v>0.16794801551437388</v>
      </c>
      <c r="AC54">
        <f>'Electricity shares'!AC54*'Indirect NH3 demand sources'!AC$5*(1-SUM('Pre-allocation of NH3 in power'!AC54:AC124))+'Pre-allocation of NH3 in power'!AC54*'Indirect NH3 demand sources'!AC$5</f>
        <v>0.18997078653501168</v>
      </c>
      <c r="AD54">
        <f>'Electricity shares'!AD54*'Indirect NH3 demand sources'!AD$5*(1-SUM('Pre-allocation of NH3 in power'!AD54:AD124))+'Pre-allocation of NH3 in power'!AD54*'Indirect NH3 demand sources'!AD$5</f>
        <v>0.21227610859254264</v>
      </c>
      <c r="AE54">
        <f>'Electricity shares'!AE54*'Indirect NH3 demand sources'!AE$5*(1-SUM('Pre-allocation of NH3 in power'!AE54:AE124))+'Pre-allocation of NH3 in power'!AE54*'Indirect NH3 demand sources'!AE$5</f>
        <v>0.23488152601170126</v>
      </c>
      <c r="AF54">
        <f>'Electricity shares'!AF54*'Indirect NH3 demand sources'!AF$5*(1-SUM('Pre-allocation of NH3 in power'!AF54:AF124))+'Pre-allocation of NH3 in power'!AF54*'Indirect NH3 demand sources'!AF$5</f>
        <v>0.25778633082464242</v>
      </c>
      <c r="AG54">
        <f>'Electricity shares'!AG54*'Indirect NH3 demand sources'!AG$5*(1-SUM('Pre-allocation of NH3 in power'!AG54:AG124))+'Pre-allocation of NH3 in power'!AG54*'Indirect NH3 demand sources'!AG$5</f>
        <v>0.27664876460348603</v>
      </c>
      <c r="AH54">
        <f>'Electricity shares'!AH54*'Indirect NH3 demand sources'!AH$5*(1-SUM('Pre-allocation of NH3 in power'!AH54:AH124))+'Pre-allocation of NH3 in power'!AH54*'Indirect NH3 demand sources'!AH$5</f>
        <v>0.29581887235429516</v>
      </c>
      <c r="AI54">
        <f>'Electricity shares'!AI54*'Indirect NH3 demand sources'!AI$5*(1-SUM('Pre-allocation of NH3 in power'!AI54:AI124))+'Pre-allocation of NH3 in power'!AI54*'Indirect NH3 demand sources'!AI$5</f>
        <v>0.31527798284508607</v>
      </c>
      <c r="AJ54">
        <f>'Electricity shares'!AJ54*'Indirect NH3 demand sources'!AJ$5*(1-SUM('Pre-allocation of NH3 in power'!AJ54:AJ124))+'Pre-allocation of NH3 in power'!AJ54*'Indirect NH3 demand sources'!AJ$5</f>
        <v>0.33500078675602074</v>
      </c>
      <c r="AK54">
        <f>'Electricity shares'!AK54*'Indirect NH3 demand sources'!AK$5*(1-SUM('Pre-allocation of NH3 in power'!AK54:AK124))+'Pre-allocation of NH3 in power'!AK54*'Indirect NH3 demand sources'!AK$5</f>
        <v>0.35507718599342591</v>
      </c>
      <c r="AL54">
        <f>'Electricity shares'!AL54*'Indirect NH3 demand sources'!AL$5*(1-SUM('Pre-allocation of NH3 in power'!AL54:AL124))+'Pre-allocation of NH3 in power'!AL54*'Indirect NH3 demand sources'!AL$5</f>
        <v>0.37545741293568091</v>
      </c>
      <c r="AM54">
        <f>'Electricity shares'!AM54*'Indirect NH3 demand sources'!AM$5*(1-SUM('Pre-allocation of NH3 in power'!AM54:AM124))+'Pre-allocation of NH3 in power'!AM54*'Indirect NH3 demand sources'!AM$5</f>
        <v>0.39602636301348004</v>
      </c>
      <c r="AN54">
        <f>'Electricity shares'!AN54*'Indirect NH3 demand sources'!AN$5*(1-SUM('Pre-allocation of NH3 in power'!AN54:AN124))+'Pre-allocation of NH3 in power'!AN54*'Indirect NH3 demand sources'!AN$5</f>
        <v>0.41701735712393295</v>
      </c>
      <c r="AO54">
        <f>'Electricity shares'!AO54*'Indirect NH3 demand sources'!AO$5*(1-SUM('Pre-allocation of NH3 in power'!AO54:AO124))+'Pre-allocation of NH3 in power'!AO54*'Indirect NH3 demand sources'!AO$5</f>
        <v>0.43838438835195404</v>
      </c>
      <c r="AP54">
        <f>'Electricity shares'!AP54*'Indirect NH3 demand sources'!AP$5*(1-SUM('Pre-allocation of NH3 in power'!AP54:AP124))+'Pre-allocation of NH3 in power'!AP54*'Indirect NH3 demand sources'!AP$5</f>
        <v>0.4600272137568796</v>
      </c>
    </row>
    <row r="55" spans="1:42" x14ac:dyDescent="0.3">
      <c r="A55" t="s">
        <v>130</v>
      </c>
      <c r="B55">
        <f>'Electricity shares'!B55*'Indirect NH3 demand sources'!B$5*(1-SUM('Pre-allocation of NH3 in power'!B55:B125))+'Pre-allocation of NH3 in power'!B55*'Indirect NH3 demand sources'!B$5</f>
        <v>0</v>
      </c>
      <c r="C55">
        <f>'Electricity shares'!C55*'Indirect NH3 demand sources'!C$5*(1-SUM('Pre-allocation of NH3 in power'!C55:C125))+'Pre-allocation of NH3 in power'!C55*'Indirect NH3 demand sources'!C$5</f>
        <v>0</v>
      </c>
      <c r="D55">
        <f>'Electricity shares'!D55*'Indirect NH3 demand sources'!D$5*(1-SUM('Pre-allocation of NH3 in power'!D55:D125))+'Pre-allocation of NH3 in power'!D55*'Indirect NH3 demand sources'!D$5</f>
        <v>0</v>
      </c>
      <c r="E55">
        <f>'Electricity shares'!E55*'Indirect NH3 demand sources'!E$5*(1-SUM('Pre-allocation of NH3 in power'!E55:E125))+'Pre-allocation of NH3 in power'!E55*'Indirect NH3 demand sources'!E$5</f>
        <v>0</v>
      </c>
      <c r="F55">
        <f>'Electricity shares'!F55*'Indirect NH3 demand sources'!F$5*(1-SUM('Pre-allocation of NH3 in power'!F55:F125))+'Pre-allocation of NH3 in power'!F55*'Indirect NH3 demand sources'!F$5</f>
        <v>0</v>
      </c>
      <c r="G55">
        <f>'Electricity shares'!G55*'Indirect NH3 demand sources'!G$5*(1-SUM('Pre-allocation of NH3 in power'!G55:G125))+'Pre-allocation of NH3 in power'!G55*'Indirect NH3 demand sources'!G$5</f>
        <v>0</v>
      </c>
      <c r="H55">
        <f>'Electricity shares'!H55*'Indirect NH3 demand sources'!H$5*(1-SUM('Pre-allocation of NH3 in power'!H55:H125))+'Pre-allocation of NH3 in power'!H55*'Indirect NH3 demand sources'!H$5</f>
        <v>0</v>
      </c>
      <c r="I55">
        <f>'Electricity shares'!I55*'Indirect NH3 demand sources'!I$5*(1-SUM('Pre-allocation of NH3 in power'!I55:I125))+'Pre-allocation of NH3 in power'!I55*'Indirect NH3 demand sources'!I$5</f>
        <v>0</v>
      </c>
      <c r="J55">
        <f>'Electricity shares'!J55*'Indirect NH3 demand sources'!J$5*(1-SUM('Pre-allocation of NH3 in power'!J55:J125))+'Pre-allocation of NH3 in power'!J55*'Indirect NH3 demand sources'!J$5</f>
        <v>0</v>
      </c>
      <c r="K55">
        <f>'Electricity shares'!K55*'Indirect NH3 demand sources'!K$5*(1-SUM('Pre-allocation of NH3 in power'!K55:K125))+'Pre-allocation of NH3 in power'!K55*'Indirect NH3 demand sources'!K$5</f>
        <v>0</v>
      </c>
      <c r="L55">
        <f>'Electricity shares'!L55*'Indirect NH3 demand sources'!L$5*(1-SUM('Pre-allocation of NH3 in power'!L55:L125))+'Pre-allocation of NH3 in power'!L55*'Indirect NH3 demand sources'!L$5</f>
        <v>0</v>
      </c>
      <c r="M55">
        <f>'Electricity shares'!M55*'Indirect NH3 demand sources'!M$5*(1-SUM('Pre-allocation of NH3 in power'!M55:M125))+'Pre-allocation of NH3 in power'!M55*'Indirect NH3 demand sources'!M$5</f>
        <v>0</v>
      </c>
      <c r="N55">
        <f>'Electricity shares'!N55*'Indirect NH3 demand sources'!N$5*(1-SUM('Pre-allocation of NH3 in power'!N55:N125))+'Pre-allocation of NH3 in power'!N55*'Indirect NH3 demand sources'!N$5</f>
        <v>0</v>
      </c>
      <c r="O55">
        <f>'Electricity shares'!O55*'Indirect NH3 demand sources'!O$5*(1-SUM('Pre-allocation of NH3 in power'!O55:O125))+'Pre-allocation of NH3 in power'!O55*'Indirect NH3 demand sources'!O$5</f>
        <v>0</v>
      </c>
      <c r="P55">
        <f>'Electricity shares'!P55*'Indirect NH3 demand sources'!P$5*(1-SUM('Pre-allocation of NH3 in power'!P55:P125))+'Pre-allocation of NH3 in power'!P55*'Indirect NH3 demand sources'!P$5</f>
        <v>0</v>
      </c>
      <c r="Q55">
        <f>'Electricity shares'!Q55*'Indirect NH3 demand sources'!Q$5*(1-SUM('Pre-allocation of NH3 in power'!Q55:Q125))+'Pre-allocation of NH3 in power'!Q55*'Indirect NH3 demand sources'!Q$5</f>
        <v>0</v>
      </c>
      <c r="R55">
        <f>'Electricity shares'!R55*'Indirect NH3 demand sources'!R$5*(1-SUM('Pre-allocation of NH3 in power'!R55:R125))+'Pre-allocation of NH3 in power'!R55*'Indirect NH3 demand sources'!R$5</f>
        <v>9.8583648440229953E-3</v>
      </c>
      <c r="S55">
        <f>'Electricity shares'!S55*'Indirect NH3 demand sources'!S$5*(1-SUM('Pre-allocation of NH3 in power'!S55:S125))+'Pre-allocation of NH3 in power'!S55*'Indirect NH3 demand sources'!S$5</f>
        <v>1.9719334998771265E-2</v>
      </c>
      <c r="T55">
        <f>'Electricity shares'!T55*'Indirect NH3 demand sources'!T$5*(1-SUM('Pre-allocation of NH3 in power'!T55:T125))+'Pre-allocation of NH3 in power'!T55*'Indirect NH3 demand sources'!T$5</f>
        <v>2.9556282595925243E-2</v>
      </c>
      <c r="U55">
        <f>'Electricity shares'!U55*'Indirect NH3 demand sources'!U$5*(1-SUM('Pre-allocation of NH3 in power'!U55:U125))+'Pre-allocation of NH3 in power'!U55*'Indirect NH3 demand sources'!U$5</f>
        <v>3.9377305170230949E-2</v>
      </c>
      <c r="V55">
        <f>'Electricity shares'!V55*'Indirect NH3 demand sources'!V$5*(1-SUM('Pre-allocation of NH3 in power'!V55:V125))+'Pre-allocation of NH3 in power'!V55*'Indirect NH3 demand sources'!V$5</f>
        <v>4.9174144291754679E-2</v>
      </c>
      <c r="W55">
        <f>'Electricity shares'!W55*'Indirect NH3 demand sources'!W$5*(1-SUM('Pre-allocation of NH3 in power'!W55:W125))+'Pre-allocation of NH3 in power'!W55*'Indirect NH3 demand sources'!W$5</f>
        <v>7.3795283434713921E-2</v>
      </c>
      <c r="X55">
        <f>'Electricity shares'!X55*'Indirect NH3 demand sources'!X$5*(1-SUM('Pre-allocation of NH3 in power'!X55:X125))+'Pre-allocation of NH3 in power'!X55*'Indirect NH3 demand sources'!X$5</f>
        <v>9.8432705407497309E-2</v>
      </c>
      <c r="Y55">
        <f>'Electricity shares'!Y55*'Indirect NH3 demand sources'!Y$5*(1-SUM('Pre-allocation of NH3 in power'!Y55:Y125))+'Pre-allocation of NH3 in power'!Y55*'Indirect NH3 demand sources'!Y$5</f>
        <v>0.1231103124303686</v>
      </c>
      <c r="Z55">
        <f>'Electricity shares'!Z55*'Indirect NH3 demand sources'!Z$5*(1-SUM('Pre-allocation of NH3 in power'!Z55:Z125))+'Pre-allocation of NH3 in power'!Z55*'Indirect NH3 demand sources'!Z$5</f>
        <v>0.14783810674763745</v>
      </c>
      <c r="AA55">
        <f>'Electricity shares'!AA55*'Indirect NH3 demand sources'!AA$5*(1-SUM('Pre-allocation of NH3 in power'!AA55:AA125))+'Pre-allocation of NH3 in power'!AA55*'Indirect NH3 demand sources'!AA$5</f>
        <v>0.17260413698189847</v>
      </c>
      <c r="AB55">
        <f>'Electricity shares'!AB55*'Indirect NH3 demand sources'!AB$5*(1-SUM('Pre-allocation of NH3 in power'!AB55:AB125))+'Pre-allocation of NH3 in power'!AB55*'Indirect NH3 demand sources'!AB$5</f>
        <v>0.19761052091484282</v>
      </c>
      <c r="AC55">
        <f>'Electricity shares'!AC55*'Indirect NH3 demand sources'!AC$5*(1-SUM('Pre-allocation of NH3 in power'!AC55:AC125))+'Pre-allocation of NH3 in power'!AC55*'Indirect NH3 demand sources'!AC$5</f>
        <v>0.2227134420375757</v>
      </c>
      <c r="AD55">
        <f>'Electricity shares'!AD55*'Indirect NH3 demand sources'!AD$5*(1-SUM('Pre-allocation of NH3 in power'!AD55:AD125))+'Pre-allocation of NH3 in power'!AD55*'Indirect NH3 demand sources'!AD$5</f>
        <v>0.24787573526200865</v>
      </c>
      <c r="AE55">
        <f>'Electricity shares'!AE55*'Indirect NH3 demand sources'!AE$5*(1-SUM('Pre-allocation of NH3 in power'!AE55:AE125))+'Pre-allocation of NH3 in power'!AE55*'Indirect NH3 demand sources'!AE$5</f>
        <v>0.27304426346068095</v>
      </c>
      <c r="AF55">
        <f>'Electricity shares'!AF55*'Indirect NH3 demand sources'!AF$5*(1-SUM('Pre-allocation of NH3 in power'!AF55:AF125))+'Pre-allocation of NH3 in power'!AF55*'Indirect NH3 demand sources'!AF$5</f>
        <v>0.29817635565538503</v>
      </c>
      <c r="AG55">
        <f>'Electricity shares'!AG55*'Indirect NH3 demand sources'!AG$5*(1-SUM('Pre-allocation of NH3 in power'!AG55:AG125))+'Pre-allocation of NH3 in power'!AG55*'Indirect NH3 demand sources'!AG$5</f>
        <v>0.31821761823649419</v>
      </c>
      <c r="AH55">
        <f>'Electricity shares'!AH55*'Indirect NH3 demand sources'!AH$5*(1-SUM('Pre-allocation of NH3 in power'!AH55:AH125))+'Pre-allocation of NH3 in power'!AH55*'Indirect NH3 demand sources'!AH$5</f>
        <v>0.3381664517374498</v>
      </c>
      <c r="AI55">
        <f>'Electricity shares'!AI55*'Indirect NH3 demand sources'!AI$5*(1-SUM('Pre-allocation of NH3 in power'!AI55:AI125))+'Pre-allocation of NH3 in power'!AI55*'Indirect NH3 demand sources'!AI$5</f>
        <v>0.35797391200191753</v>
      </c>
      <c r="AJ55">
        <f>'Electricity shares'!AJ55*'Indirect NH3 demand sources'!AJ$5*(1-SUM('Pre-allocation of NH3 in power'!AJ55:AJ125))+'Pre-allocation of NH3 in power'!AJ55*'Indirect NH3 demand sources'!AJ$5</f>
        <v>0.37758026029263098</v>
      </c>
      <c r="AK55">
        <f>'Electricity shares'!AK55*'Indirect NH3 demand sources'!AK$5*(1-SUM('Pre-allocation of NH3 in power'!AK55:AK125))+'Pre-allocation of NH3 in power'!AK55*'Indirect NH3 demand sources'!AK$5</f>
        <v>0.39707340954249537</v>
      </c>
      <c r="AL55">
        <f>'Electricity shares'!AL55*'Indirect NH3 demand sources'!AL$5*(1-SUM('Pre-allocation of NH3 in power'!AL55:AL125))+'Pre-allocation of NH3 in power'!AL55*'Indirect NH3 demand sources'!AL$5</f>
        <v>0.41635571094243923</v>
      </c>
      <c r="AM55">
        <f>'Electricity shares'!AM55*'Indirect NH3 demand sources'!AM$5*(1-SUM('Pre-allocation of NH3 in power'!AM55:AM125))+'Pre-allocation of NH3 in power'!AM55*'Indirect NH3 demand sources'!AM$5</f>
        <v>0.43524200185765605</v>
      </c>
      <c r="AN55">
        <f>'Electricity shares'!AN55*'Indirect NH3 demand sources'!AN$5*(1-SUM('Pre-allocation of NH3 in power'!AN55:AN125))+'Pre-allocation of NH3 in power'!AN55*'Indirect NH3 demand sources'!AN$5</f>
        <v>0.4540115918912549</v>
      </c>
      <c r="AO55">
        <f>'Electricity shares'!AO55*'Indirect NH3 demand sources'!AO$5*(1-SUM('Pre-allocation of NH3 in power'!AO55:AO125))+'Pre-allocation of NH3 in power'!AO55*'Indirect NH3 demand sources'!AO$5</f>
        <v>0.47257833578376074</v>
      </c>
      <c r="AP55">
        <f>'Electricity shares'!AP55*'Indirect NH3 demand sources'!AP$5*(1-SUM('Pre-allocation of NH3 in power'!AP55:AP125))+'Pre-allocation of NH3 in power'!AP55*'Indirect NH3 demand sources'!AP$5</f>
        <v>0.49096138277378776</v>
      </c>
    </row>
    <row r="56" spans="1:42" x14ac:dyDescent="0.3">
      <c r="A56" t="s">
        <v>131</v>
      </c>
      <c r="B56">
        <f>'Electricity shares'!B56*'Indirect NH3 demand sources'!B$5*(1-SUM('Pre-allocation of NH3 in power'!B56:B126))+'Pre-allocation of NH3 in power'!B56*'Indirect NH3 demand sources'!B$5</f>
        <v>0</v>
      </c>
      <c r="C56">
        <f>'Electricity shares'!C56*'Indirect NH3 demand sources'!C$5*(1-SUM('Pre-allocation of NH3 in power'!C56:C126))+'Pre-allocation of NH3 in power'!C56*'Indirect NH3 demand sources'!C$5</f>
        <v>0</v>
      </c>
      <c r="D56">
        <f>'Electricity shares'!D56*'Indirect NH3 demand sources'!D$5*(1-SUM('Pre-allocation of NH3 in power'!D56:D126))+'Pre-allocation of NH3 in power'!D56*'Indirect NH3 demand sources'!D$5</f>
        <v>0</v>
      </c>
      <c r="E56">
        <f>'Electricity shares'!E56*'Indirect NH3 demand sources'!E$5*(1-SUM('Pre-allocation of NH3 in power'!E56:E126))+'Pre-allocation of NH3 in power'!E56*'Indirect NH3 demand sources'!E$5</f>
        <v>0</v>
      </c>
      <c r="F56">
        <f>'Electricity shares'!F56*'Indirect NH3 demand sources'!F$5*(1-SUM('Pre-allocation of NH3 in power'!F56:F126))+'Pre-allocation of NH3 in power'!F56*'Indirect NH3 demand sources'!F$5</f>
        <v>0</v>
      </c>
      <c r="G56">
        <f>'Electricity shares'!G56*'Indirect NH3 demand sources'!G$5*(1-SUM('Pre-allocation of NH3 in power'!G56:G126))+'Pre-allocation of NH3 in power'!G56*'Indirect NH3 demand sources'!G$5</f>
        <v>0</v>
      </c>
      <c r="H56">
        <f>'Electricity shares'!H56*'Indirect NH3 demand sources'!H$5*(1-SUM('Pre-allocation of NH3 in power'!H56:H126))+'Pre-allocation of NH3 in power'!H56*'Indirect NH3 demand sources'!H$5</f>
        <v>0</v>
      </c>
      <c r="I56">
        <f>'Electricity shares'!I56*'Indirect NH3 demand sources'!I$5*(1-SUM('Pre-allocation of NH3 in power'!I56:I126))+'Pre-allocation of NH3 in power'!I56*'Indirect NH3 demand sources'!I$5</f>
        <v>0</v>
      </c>
      <c r="J56">
        <f>'Electricity shares'!J56*'Indirect NH3 demand sources'!J$5*(1-SUM('Pre-allocation of NH3 in power'!J56:J126))+'Pre-allocation of NH3 in power'!J56*'Indirect NH3 demand sources'!J$5</f>
        <v>0</v>
      </c>
      <c r="K56">
        <f>'Electricity shares'!K56*'Indirect NH3 demand sources'!K$5*(1-SUM('Pre-allocation of NH3 in power'!K56:K126))+'Pre-allocation of NH3 in power'!K56*'Indirect NH3 demand sources'!K$5</f>
        <v>0</v>
      </c>
      <c r="L56">
        <f>'Electricity shares'!L56*'Indirect NH3 demand sources'!L$5*(1-SUM('Pre-allocation of NH3 in power'!L56:L126))+'Pre-allocation of NH3 in power'!L56*'Indirect NH3 demand sources'!L$5</f>
        <v>0</v>
      </c>
      <c r="M56">
        <f>'Electricity shares'!M56*'Indirect NH3 demand sources'!M$5*(1-SUM('Pre-allocation of NH3 in power'!M56:M126))+'Pre-allocation of NH3 in power'!M56*'Indirect NH3 demand sources'!M$5</f>
        <v>0</v>
      </c>
      <c r="N56">
        <f>'Electricity shares'!N56*'Indirect NH3 demand sources'!N$5*(1-SUM('Pre-allocation of NH3 in power'!N56:N126))+'Pre-allocation of NH3 in power'!N56*'Indirect NH3 demand sources'!N$5</f>
        <v>0</v>
      </c>
      <c r="O56">
        <f>'Electricity shares'!O56*'Indirect NH3 demand sources'!O$5*(1-SUM('Pre-allocation of NH3 in power'!O56:O126))+'Pre-allocation of NH3 in power'!O56*'Indirect NH3 demand sources'!O$5</f>
        <v>0</v>
      </c>
      <c r="P56">
        <f>'Electricity shares'!P56*'Indirect NH3 demand sources'!P$5*(1-SUM('Pre-allocation of NH3 in power'!P56:P126))+'Pre-allocation of NH3 in power'!P56*'Indirect NH3 demand sources'!P$5</f>
        <v>0</v>
      </c>
      <c r="Q56">
        <f>'Electricity shares'!Q56*'Indirect NH3 demand sources'!Q$5*(1-SUM('Pre-allocation of NH3 in power'!Q56:Q126))+'Pre-allocation of NH3 in power'!Q56*'Indirect NH3 demand sources'!Q$5</f>
        <v>0</v>
      </c>
      <c r="R56">
        <f>'Electricity shares'!R56*'Indirect NH3 demand sources'!R$5*(1-SUM('Pre-allocation of NH3 in power'!R56:R126))+'Pre-allocation of NH3 in power'!R56*'Indirect NH3 demand sources'!R$5</f>
        <v>1.4862760703529092E-3</v>
      </c>
      <c r="S56">
        <f>'Electricity shares'!S56*'Indirect NH3 demand sources'!S$5*(1-SUM('Pre-allocation of NH3 in power'!S56:S126))+'Pre-allocation of NH3 in power'!S56*'Indirect NH3 demand sources'!S$5</f>
        <v>2.9414235224583369E-3</v>
      </c>
      <c r="T56">
        <f>'Electricity shares'!T56*'Indirect NH3 demand sources'!T$5*(1-SUM('Pre-allocation of NH3 in power'!T56:T126))+'Pre-allocation of NH3 in power'!T56*'Indirect NH3 demand sources'!T$5</f>
        <v>4.3526962974380322E-3</v>
      </c>
      <c r="U56">
        <f>'Electricity shares'!U56*'Indirect NH3 demand sources'!U$5*(1-SUM('Pre-allocation of NH3 in power'!U56:U126))+'Pre-allocation of NH3 in power'!U56*'Indirect NH3 demand sources'!U$5</f>
        <v>5.7328452832099246E-3</v>
      </c>
      <c r="V56">
        <f>'Electricity shares'!V56*'Indirect NH3 demand sources'!V$5*(1-SUM('Pre-allocation of NH3 in power'!V56:V126))+'Pre-allocation of NH3 in power'!V56*'Indirect NH3 demand sources'!V$5</f>
        <v>7.0786066884999379E-3</v>
      </c>
      <c r="W56">
        <f>'Electricity shares'!W56*'Indirect NH3 demand sources'!W$5*(1-SUM('Pre-allocation of NH3 in power'!W56:W126))+'Pre-allocation of NH3 in power'!W56*'Indirect NH3 demand sources'!W$5</f>
        <v>1.0536192088463481E-2</v>
      </c>
      <c r="X56">
        <f>'Electricity shares'!X56*'Indirect NH3 demand sources'!X$5*(1-SUM('Pre-allocation of NH3 in power'!X56:X126))+'Pre-allocation of NH3 in power'!X56*'Indirect NH3 demand sources'!X$5</f>
        <v>1.3939186769951652E-2</v>
      </c>
      <c r="Y56">
        <f>'Electricity shares'!Y56*'Indirect NH3 demand sources'!Y$5*(1-SUM('Pre-allocation of NH3 in power'!Y56:Y126))+'Pre-allocation of NH3 in power'!Y56*'Indirect NH3 demand sources'!Y$5</f>
        <v>1.7287446509588082E-2</v>
      </c>
      <c r="Z56">
        <f>'Electricity shares'!Z56*'Indirect NH3 demand sources'!Z$5*(1-SUM('Pre-allocation of NH3 in power'!Z56:Z126))+'Pre-allocation of NH3 in power'!Z56*'Indirect NH3 demand sources'!Z$5</f>
        <v>2.0580007881730727E-2</v>
      </c>
      <c r="AA56">
        <f>'Electricity shares'!AA56*'Indirect NH3 demand sources'!AA$5*(1-SUM('Pre-allocation of NH3 in power'!AA56:AA126))+'Pre-allocation of NH3 in power'!AA56*'Indirect NH3 demand sources'!AA$5</f>
        <v>2.3815547373655897E-2</v>
      </c>
      <c r="AB56">
        <f>'Electricity shares'!AB56*'Indirect NH3 demand sources'!AB$5*(1-SUM('Pre-allocation of NH3 in power'!AB56:AB126))+'Pre-allocation of NH3 in power'!AB56*'Indirect NH3 demand sources'!AB$5</f>
        <v>2.7047027367254801E-2</v>
      </c>
      <c r="AC56">
        <f>'Electricity shares'!AC56*'Indirect NH3 demand sources'!AC$5*(1-SUM('Pre-allocation of NH3 in power'!AC56:AC126))+'Pre-allocation of NH3 in power'!AC56*'Indirect NH3 demand sources'!AC$5</f>
        <v>3.0233820614832305E-2</v>
      </c>
      <c r="AD56">
        <f>'Electricity shares'!AD56*'Indirect NH3 demand sources'!AD$5*(1-SUM('Pre-allocation of NH3 in power'!AD56:AD126))+'Pre-allocation of NH3 in power'!AD56*'Indirect NH3 demand sources'!AD$5</f>
        <v>3.3374555360691845E-2</v>
      </c>
      <c r="AE56">
        <f>'Electricity shares'!AE56*'Indirect NH3 demand sources'!AE$5*(1-SUM('Pre-allocation of NH3 in power'!AE56:AE126))+'Pre-allocation of NH3 in power'!AE56*'Indirect NH3 demand sources'!AE$5</f>
        <v>3.6467083887970493E-2</v>
      </c>
      <c r="AF56">
        <f>'Electricity shares'!AF56*'Indirect NH3 demand sources'!AF$5*(1-SUM('Pre-allocation of NH3 in power'!AF56:AF126))+'Pre-allocation of NH3 in power'!AF56*'Indirect NH3 demand sources'!AF$5</f>
        <v>3.9510875071004189E-2</v>
      </c>
      <c r="AG56">
        <f>'Electricity shares'!AG56*'Indirect NH3 demand sources'!AG$5*(1-SUM('Pre-allocation of NH3 in power'!AG56:AG126))+'Pre-allocation of NH3 in power'!AG56*'Indirect NH3 demand sources'!AG$5</f>
        <v>4.1841262305050274E-2</v>
      </c>
      <c r="AH56">
        <f>'Electricity shares'!AH56*'Indirect NH3 demand sources'!AH$5*(1-SUM('Pre-allocation of NH3 in power'!AH56:AH126))+'Pre-allocation of NH3 in power'!AH56*'Indirect NH3 demand sources'!AH$5</f>
        <v>4.4130836830427712E-2</v>
      </c>
      <c r="AI56">
        <f>'Electricity shares'!AI56*'Indirect NH3 demand sources'!AI$5*(1-SUM('Pre-allocation of NH3 in power'!AI56:AI126))+'Pre-allocation of NH3 in power'!AI56*'Indirect NH3 demand sources'!AI$5</f>
        <v>4.6375264765279971E-2</v>
      </c>
      <c r="AJ56">
        <f>'Electricity shares'!AJ56*'Indirect NH3 demand sources'!AJ$5*(1-SUM('Pre-allocation of NH3 in power'!AJ56:AJ126))+'Pre-allocation of NH3 in power'!AJ56*'Indirect NH3 demand sources'!AJ$5</f>
        <v>4.8569815739778088E-2</v>
      </c>
      <c r="AK56">
        <f>'Electricity shares'!AK56*'Indirect NH3 demand sources'!AK$5*(1-SUM('Pre-allocation of NH3 in power'!AK56:AK126))+'Pre-allocation of NH3 in power'!AK56*'Indirect NH3 demand sources'!AK$5</f>
        <v>5.0722587207714276E-2</v>
      </c>
      <c r="AL56">
        <f>'Electricity shares'!AL56*'Indirect NH3 demand sources'!AL$5*(1-SUM('Pre-allocation of NH3 in power'!AL56:AL126))+'Pre-allocation of NH3 in power'!AL56*'Indirect NH3 demand sources'!AL$5</f>
        <v>5.2830554142069899E-2</v>
      </c>
      <c r="AM56">
        <f>'Electricity shares'!AM56*'Indirect NH3 demand sources'!AM$5*(1-SUM('Pre-allocation of NH3 in power'!AM56:AM126))+'Pre-allocation of NH3 in power'!AM56*'Indirect NH3 demand sources'!AM$5</f>
        <v>5.4879296111580954E-2</v>
      </c>
      <c r="AN56">
        <f>'Electricity shares'!AN56*'Indirect NH3 demand sources'!AN$5*(1-SUM('Pre-allocation of NH3 in power'!AN56:AN126))+'Pre-allocation of NH3 in power'!AN56*'Indirect NH3 demand sources'!AN$5</f>
        <v>5.688574906342686E-2</v>
      </c>
      <c r="AO56">
        <f>'Electricity shares'!AO56*'Indirect NH3 demand sources'!AO$5*(1-SUM('Pre-allocation of NH3 in power'!AO56:AO126))+'Pre-allocation of NH3 in power'!AO56*'Indirect NH3 demand sources'!AO$5</f>
        <v>5.8852409661349303E-2</v>
      </c>
      <c r="AP56">
        <f>'Electricity shares'!AP56*'Indirect NH3 demand sources'!AP$5*(1-SUM('Pre-allocation of NH3 in power'!AP56:AP126))+'Pre-allocation of NH3 in power'!AP56*'Indirect NH3 demand sources'!AP$5</f>
        <v>6.078298599946888E-2</v>
      </c>
    </row>
    <row r="57" spans="1:42" x14ac:dyDescent="0.3">
      <c r="A57" t="s">
        <v>132</v>
      </c>
      <c r="B57">
        <f>'Electricity shares'!B57*'Indirect NH3 demand sources'!B$5*(1-SUM('Pre-allocation of NH3 in power'!B57:B127))+'Pre-allocation of NH3 in power'!B57*'Indirect NH3 demand sources'!B$5</f>
        <v>0</v>
      </c>
      <c r="C57">
        <f>'Electricity shares'!C57*'Indirect NH3 demand sources'!C$5*(1-SUM('Pre-allocation of NH3 in power'!C57:C127))+'Pre-allocation of NH3 in power'!C57*'Indirect NH3 demand sources'!C$5</f>
        <v>0</v>
      </c>
      <c r="D57">
        <f>'Electricity shares'!D57*'Indirect NH3 demand sources'!D$5*(1-SUM('Pre-allocation of NH3 in power'!D57:D127))+'Pre-allocation of NH3 in power'!D57*'Indirect NH3 demand sources'!D$5</f>
        <v>0</v>
      </c>
      <c r="E57">
        <f>'Electricity shares'!E57*'Indirect NH3 demand sources'!E$5*(1-SUM('Pre-allocation of NH3 in power'!E57:E127))+'Pre-allocation of NH3 in power'!E57*'Indirect NH3 demand sources'!E$5</f>
        <v>0</v>
      </c>
      <c r="F57">
        <f>'Electricity shares'!F57*'Indirect NH3 demand sources'!F$5*(1-SUM('Pre-allocation of NH3 in power'!F57:F127))+'Pre-allocation of NH3 in power'!F57*'Indirect NH3 demand sources'!F$5</f>
        <v>0</v>
      </c>
      <c r="G57">
        <f>'Electricity shares'!G57*'Indirect NH3 demand sources'!G$5*(1-SUM('Pre-allocation of NH3 in power'!G57:G127))+'Pre-allocation of NH3 in power'!G57*'Indirect NH3 demand sources'!G$5</f>
        <v>0</v>
      </c>
      <c r="H57">
        <f>'Electricity shares'!H57*'Indirect NH3 demand sources'!H$5*(1-SUM('Pre-allocation of NH3 in power'!H57:H127))+'Pre-allocation of NH3 in power'!H57*'Indirect NH3 demand sources'!H$5</f>
        <v>0</v>
      </c>
      <c r="I57">
        <f>'Electricity shares'!I57*'Indirect NH3 demand sources'!I$5*(1-SUM('Pre-allocation of NH3 in power'!I57:I127))+'Pre-allocation of NH3 in power'!I57*'Indirect NH3 demand sources'!I$5</f>
        <v>0</v>
      </c>
      <c r="J57">
        <f>'Electricity shares'!J57*'Indirect NH3 demand sources'!J$5*(1-SUM('Pre-allocation of NH3 in power'!J57:J127))+'Pre-allocation of NH3 in power'!J57*'Indirect NH3 demand sources'!J$5</f>
        <v>0</v>
      </c>
      <c r="K57">
        <f>'Electricity shares'!K57*'Indirect NH3 demand sources'!K$5*(1-SUM('Pre-allocation of NH3 in power'!K57:K127))+'Pre-allocation of NH3 in power'!K57*'Indirect NH3 demand sources'!K$5</f>
        <v>0</v>
      </c>
      <c r="L57">
        <f>'Electricity shares'!L57*'Indirect NH3 demand sources'!L$5*(1-SUM('Pre-allocation of NH3 in power'!L57:L127))+'Pre-allocation of NH3 in power'!L57*'Indirect NH3 demand sources'!L$5</f>
        <v>0</v>
      </c>
      <c r="M57">
        <f>'Electricity shares'!M57*'Indirect NH3 demand sources'!M$5*(1-SUM('Pre-allocation of NH3 in power'!M57:M127))+'Pre-allocation of NH3 in power'!M57*'Indirect NH3 demand sources'!M$5</f>
        <v>0</v>
      </c>
      <c r="N57">
        <f>'Electricity shares'!N57*'Indirect NH3 demand sources'!N$5*(1-SUM('Pre-allocation of NH3 in power'!N57:N127))+'Pre-allocation of NH3 in power'!N57*'Indirect NH3 demand sources'!N$5</f>
        <v>0</v>
      </c>
      <c r="O57">
        <f>'Electricity shares'!O57*'Indirect NH3 demand sources'!O$5*(1-SUM('Pre-allocation of NH3 in power'!O57:O127))+'Pre-allocation of NH3 in power'!O57*'Indirect NH3 demand sources'!O$5</f>
        <v>0</v>
      </c>
      <c r="P57">
        <f>'Electricity shares'!P57*'Indirect NH3 demand sources'!P$5*(1-SUM('Pre-allocation of NH3 in power'!P57:P127))+'Pre-allocation of NH3 in power'!P57*'Indirect NH3 demand sources'!P$5</f>
        <v>0</v>
      </c>
      <c r="Q57">
        <f>'Electricity shares'!Q57*'Indirect NH3 demand sources'!Q$5*(1-SUM('Pre-allocation of NH3 in power'!Q57:Q127))+'Pre-allocation of NH3 in power'!Q57*'Indirect NH3 demand sources'!Q$5</f>
        <v>0</v>
      </c>
      <c r="R57">
        <f>'Electricity shares'!R57*'Indirect NH3 demand sources'!R$5*(1-SUM('Pre-allocation of NH3 in power'!R57:R127))+'Pre-allocation of NH3 in power'!R57*'Indirect NH3 demand sources'!R$5</f>
        <v>5.7736925863119352E-3</v>
      </c>
      <c r="S57">
        <f>'Electricity shares'!S57*'Indirect NH3 demand sources'!S$5*(1-SUM('Pre-allocation of NH3 in power'!S57:S127))+'Pre-allocation of NH3 in power'!S57*'Indirect NH3 demand sources'!S$5</f>
        <v>1.1769697452997763E-2</v>
      </c>
      <c r="T57">
        <f>'Electricity shares'!T57*'Indirect NH3 demand sources'!T$5*(1-SUM('Pre-allocation of NH3 in power'!T57:T127))+'Pre-allocation of NH3 in power'!T57*'Indirect NH3 demand sources'!T$5</f>
        <v>1.798965627897961E-2</v>
      </c>
      <c r="U57">
        <f>'Electricity shares'!U57*'Indirect NH3 demand sources'!U$5*(1-SUM('Pre-allocation of NH3 in power'!U57:U127))+'Pre-allocation of NH3 in power'!U57*'Indirect NH3 demand sources'!U$5</f>
        <v>2.4439029860121496E-2</v>
      </c>
      <c r="V57">
        <f>'Electricity shares'!V57*'Indirect NH3 demand sources'!V$5*(1-SUM('Pre-allocation of NH3 in power'!V57:V127))+'Pre-allocation of NH3 in power'!V57*'Indirect NH3 demand sources'!V$5</f>
        <v>3.1136292380946479E-2</v>
      </c>
      <c r="W57">
        <f>'Electricity shares'!W57*'Indirect NH3 demand sources'!W$5*(1-SUM('Pre-allocation of NH3 in power'!W57:W127))+'Pre-allocation of NH3 in power'!W57*'Indirect NH3 demand sources'!W$5</f>
        <v>4.7455347262862123E-2</v>
      </c>
      <c r="X57">
        <f>'Electricity shares'!X57*'Indirect NH3 demand sources'!X$5*(1-SUM('Pre-allocation of NH3 in power'!X57:X127))+'Pre-allocation of NH3 in power'!X57*'Indirect NH3 demand sources'!X$5</f>
        <v>6.4289939723987985E-2</v>
      </c>
      <c r="Y57">
        <f>'Electricity shares'!Y57*'Indirect NH3 demand sources'!Y$5*(1-SUM('Pre-allocation of NH3 in power'!Y57:Y127))+'Pre-allocation of NH3 in power'!Y57*'Indirect NH3 demand sources'!Y$5</f>
        <v>8.1659880833652776E-2</v>
      </c>
      <c r="Z57">
        <f>'Electricity shares'!Z57*'Indirect NH3 demand sources'!Z$5*(1-SUM('Pre-allocation of NH3 in power'!Z57:Z127))+'Pre-allocation of NH3 in power'!Z57*'Indirect NH3 demand sources'!Z$5</f>
        <v>9.9583758402229786E-2</v>
      </c>
      <c r="AA57">
        <f>'Electricity shares'!AA57*'Indirect NH3 demand sources'!AA$5*(1-SUM('Pre-allocation of NH3 in power'!AA57:AA127))+'Pre-allocation of NH3 in power'!AA57*'Indirect NH3 demand sources'!AA$5</f>
        <v>0.11809145092562352</v>
      </c>
      <c r="AB57">
        <f>'Electricity shares'!AB57*'Indirect NH3 demand sources'!AB$5*(1-SUM('Pre-allocation of NH3 in power'!AB57:AB127))+'Pre-allocation of NH3 in power'!AB57*'Indirect NH3 demand sources'!AB$5</f>
        <v>0.13681601716189767</v>
      </c>
      <c r="AC57">
        <f>'Electricity shares'!AC57*'Indirect NH3 demand sources'!AC$5*(1-SUM('Pre-allocation of NH3 in power'!AC57:AC127))+'Pre-allocation of NH3 in power'!AC57*'Indirect NH3 demand sources'!AC$5</f>
        <v>0.15609575924504671</v>
      </c>
      <c r="AD57">
        <f>'Electricity shares'!AD57*'Indirect NH3 demand sources'!AD$5*(1-SUM('Pre-allocation of NH3 in power'!AD57:AD127))+'Pre-allocation of NH3 in power'!AD57*'Indirect NH3 demand sources'!AD$5</f>
        <v>0.17597014983228967</v>
      </c>
      <c r="AE57">
        <f>'Electricity shares'!AE57*'Indirect NH3 demand sources'!AE$5*(1-SUM('Pre-allocation of NH3 in power'!AE57:AE127))+'Pre-allocation of NH3 in power'!AE57*'Indirect NH3 demand sources'!AE$5</f>
        <v>0.19652675019113469</v>
      </c>
      <c r="AF57">
        <f>'Electricity shares'!AF57*'Indirect NH3 demand sources'!AF$5*(1-SUM('Pre-allocation of NH3 in power'!AF57:AF127))+'Pre-allocation of NH3 in power'!AF57*'Indirect NH3 demand sources'!AF$5</f>
        <v>0.217787044267614</v>
      </c>
      <c r="AG57">
        <f>'Electricity shares'!AG57*'Indirect NH3 demand sources'!AG$5*(1-SUM('Pre-allocation of NH3 in power'!AG57:AG127))+'Pre-allocation of NH3 in power'!AG57*'Indirect NH3 demand sources'!AG$5</f>
        <v>0.23599149447348183</v>
      </c>
      <c r="AH57">
        <f>'Electricity shares'!AH57*'Indirect NH3 demand sources'!AH$5*(1-SUM('Pre-allocation of NH3 in power'!AH57:AH127))+'Pre-allocation of NH3 in power'!AH57*'Indirect NH3 demand sources'!AH$5</f>
        <v>0.25480451722693886</v>
      </c>
      <c r="AI57">
        <f>'Electricity shares'!AI57*'Indirect NH3 demand sources'!AI$5*(1-SUM('Pre-allocation of NH3 in power'!AI57:AI127))+'Pre-allocation of NH3 in power'!AI57*'Indirect NH3 demand sources'!AI$5</f>
        <v>0.27417418315225994</v>
      </c>
      <c r="AJ57">
        <f>'Electricity shares'!AJ57*'Indirect NH3 demand sources'!AJ$5*(1-SUM('Pre-allocation of NH3 in power'!AJ57:AJ127))+'Pre-allocation of NH3 in power'!AJ57*'Indirect NH3 demand sources'!AJ$5</f>
        <v>0.29400856994432384</v>
      </c>
      <c r="AK57">
        <f>'Electricity shares'!AK57*'Indirect NH3 demand sources'!AK$5*(1-SUM('Pre-allocation of NH3 in power'!AK57:AK127))+'Pre-allocation of NH3 in power'!AK57*'Indirect NH3 demand sources'!AK$5</f>
        <v>0.31433551760714634</v>
      </c>
      <c r="AL57">
        <f>'Electricity shares'!AL57*'Indirect NH3 demand sources'!AL$5*(1-SUM('Pre-allocation of NH3 in power'!AL57:AL127))+'Pre-allocation of NH3 in power'!AL57*'Indirect NH3 demand sources'!AL$5</f>
        <v>0.3350805547833699</v>
      </c>
      <c r="AM57">
        <f>'Electricity shares'!AM57*'Indirect NH3 demand sources'!AM$5*(1-SUM('Pre-allocation of NH3 in power'!AM57:AM127))+'Pre-allocation of NH3 in power'!AM57*'Indirect NH3 demand sources'!AM$5</f>
        <v>0.35613531957889005</v>
      </c>
      <c r="AN57">
        <f>'Electricity shares'!AN57*'Indirect NH3 demand sources'!AN$5*(1-SUM('Pre-allocation of NH3 in power'!AN57:AN127))+'Pre-allocation of NH3 in power'!AN57*'Indirect NH3 demand sources'!AN$5</f>
        <v>0.37764877519618201</v>
      </c>
      <c r="AO57">
        <f>'Electricity shares'!AO57*'Indirect NH3 demand sources'!AO$5*(1-SUM('Pre-allocation of NH3 in power'!AO57:AO127))+'Pre-allocation of NH3 in power'!AO57*'Indirect NH3 demand sources'!AO$5</f>
        <v>0.39954493816767767</v>
      </c>
      <c r="AP57">
        <f>'Electricity shares'!AP57*'Indirect NH3 demand sources'!AP$5*(1-SUM('Pre-allocation of NH3 in power'!AP57:AP127))+'Pre-allocation of NH3 in power'!AP57*'Indirect NH3 demand sources'!AP$5</f>
        <v>0.4218316991925426</v>
      </c>
    </row>
    <row r="58" spans="1:42" x14ac:dyDescent="0.3">
      <c r="A58" t="s">
        <v>133</v>
      </c>
      <c r="B58">
        <f>'Electricity shares'!B58*'Indirect NH3 demand sources'!B$5*(1-SUM('Pre-allocation of NH3 in power'!B58:B128))+'Pre-allocation of NH3 in power'!B58*'Indirect NH3 demand sources'!B$5</f>
        <v>0</v>
      </c>
      <c r="C58">
        <f>'Electricity shares'!C58*'Indirect NH3 demand sources'!C$5*(1-SUM('Pre-allocation of NH3 in power'!C58:C128))+'Pre-allocation of NH3 in power'!C58*'Indirect NH3 demand sources'!C$5</f>
        <v>0</v>
      </c>
      <c r="D58">
        <f>'Electricity shares'!D58*'Indirect NH3 demand sources'!D$5*(1-SUM('Pre-allocation of NH3 in power'!D58:D128))+'Pre-allocation of NH3 in power'!D58*'Indirect NH3 demand sources'!D$5</f>
        <v>0</v>
      </c>
      <c r="E58">
        <f>'Electricity shares'!E58*'Indirect NH3 demand sources'!E$5*(1-SUM('Pre-allocation of NH3 in power'!E58:E128))+'Pre-allocation of NH3 in power'!E58*'Indirect NH3 demand sources'!E$5</f>
        <v>0</v>
      </c>
      <c r="F58">
        <f>'Electricity shares'!F58*'Indirect NH3 demand sources'!F$5*(1-SUM('Pre-allocation of NH3 in power'!F58:F128))+'Pre-allocation of NH3 in power'!F58*'Indirect NH3 demand sources'!F$5</f>
        <v>0</v>
      </c>
      <c r="G58">
        <f>'Electricity shares'!G58*'Indirect NH3 demand sources'!G$5*(1-SUM('Pre-allocation of NH3 in power'!G58:G128))+'Pre-allocation of NH3 in power'!G58*'Indirect NH3 demand sources'!G$5</f>
        <v>0</v>
      </c>
      <c r="H58">
        <f>'Electricity shares'!H58*'Indirect NH3 demand sources'!H$5*(1-SUM('Pre-allocation of NH3 in power'!H58:H128))+'Pre-allocation of NH3 in power'!H58*'Indirect NH3 demand sources'!H$5</f>
        <v>0</v>
      </c>
      <c r="I58">
        <f>'Electricity shares'!I58*'Indirect NH3 demand sources'!I$5*(1-SUM('Pre-allocation of NH3 in power'!I58:I128))+'Pre-allocation of NH3 in power'!I58*'Indirect NH3 demand sources'!I$5</f>
        <v>0</v>
      </c>
      <c r="J58">
        <f>'Electricity shares'!J58*'Indirect NH3 demand sources'!J$5*(1-SUM('Pre-allocation of NH3 in power'!J58:J128))+'Pre-allocation of NH3 in power'!J58*'Indirect NH3 demand sources'!J$5</f>
        <v>0</v>
      </c>
      <c r="K58">
        <f>'Electricity shares'!K58*'Indirect NH3 demand sources'!K$5*(1-SUM('Pre-allocation of NH3 in power'!K58:K128))+'Pre-allocation of NH3 in power'!K58*'Indirect NH3 demand sources'!K$5</f>
        <v>0</v>
      </c>
      <c r="L58">
        <f>'Electricity shares'!L58*'Indirect NH3 demand sources'!L$5*(1-SUM('Pre-allocation of NH3 in power'!L58:L128))+'Pre-allocation of NH3 in power'!L58*'Indirect NH3 demand sources'!L$5</f>
        <v>0</v>
      </c>
      <c r="M58">
        <f>'Electricity shares'!M58*'Indirect NH3 demand sources'!M$5*(1-SUM('Pre-allocation of NH3 in power'!M58:M128))+'Pre-allocation of NH3 in power'!M58*'Indirect NH3 demand sources'!M$5</f>
        <v>0</v>
      </c>
      <c r="N58">
        <f>'Electricity shares'!N58*'Indirect NH3 demand sources'!N$5*(1-SUM('Pre-allocation of NH3 in power'!N58:N128))+'Pre-allocation of NH3 in power'!N58*'Indirect NH3 demand sources'!N$5</f>
        <v>0</v>
      </c>
      <c r="O58">
        <f>'Electricity shares'!O58*'Indirect NH3 demand sources'!O$5*(1-SUM('Pre-allocation of NH3 in power'!O58:O128))+'Pre-allocation of NH3 in power'!O58*'Indirect NH3 demand sources'!O$5</f>
        <v>0</v>
      </c>
      <c r="P58">
        <f>'Electricity shares'!P58*'Indirect NH3 demand sources'!P$5*(1-SUM('Pre-allocation of NH3 in power'!P58:P128))+'Pre-allocation of NH3 in power'!P58*'Indirect NH3 demand sources'!P$5</f>
        <v>0</v>
      </c>
      <c r="Q58">
        <f>'Electricity shares'!Q58*'Indirect NH3 demand sources'!Q$5*(1-SUM('Pre-allocation of NH3 in power'!Q58:Q128))+'Pre-allocation of NH3 in power'!Q58*'Indirect NH3 demand sources'!Q$5</f>
        <v>0</v>
      </c>
      <c r="R58">
        <f>'Electricity shares'!R58*'Indirect NH3 demand sources'!R$5*(1-SUM('Pre-allocation of NH3 in power'!R58:R128))+'Pre-allocation of NH3 in power'!R58*'Indirect NH3 demand sources'!R$5</f>
        <v>5.4978273745324611E-4</v>
      </c>
      <c r="S58">
        <f>'Electricity shares'!S58*'Indirect NH3 demand sources'!S$5*(1-SUM('Pre-allocation of NH3 in power'!S58:S128))+'Pre-allocation of NH3 in power'!S58*'Indirect NH3 demand sources'!S$5</f>
        <v>1.1257633437335437E-3</v>
      </c>
      <c r="T58">
        <f>'Electricity shares'!T58*'Indirect NH3 demand sources'!T$5*(1-SUM('Pre-allocation of NH3 in power'!T58:T128))+'Pre-allocation of NH3 in power'!T58*'Indirect NH3 demand sources'!T$5</f>
        <v>1.729916986076413E-3</v>
      </c>
      <c r="U58">
        <f>'Electricity shares'!U58*'Indirect NH3 demand sources'!U$5*(1-SUM('Pre-allocation of NH3 in power'!U58:U128))+'Pre-allocation of NH3 in power'!U58*'Indirect NH3 demand sources'!U$5</f>
        <v>2.3646757228140028E-3</v>
      </c>
      <c r="V58">
        <f>'Electricity shares'!V58*'Indirect NH3 demand sources'!V$5*(1-SUM('Pre-allocation of NH3 in power'!V58:V128))+'Pre-allocation of NH3 in power'!V58*'Indirect NH3 demand sources'!V$5</f>
        <v>3.0342039509453026E-3</v>
      </c>
      <c r="W58">
        <f>'Electricity shares'!W58*'Indirect NH3 demand sources'!W$5*(1-SUM('Pre-allocation of NH3 in power'!W58:W128))+'Pre-allocation of NH3 in power'!W58*'Indirect NH3 demand sources'!W$5</f>
        <v>4.6879733234754259E-3</v>
      </c>
      <c r="X58">
        <f>'Electricity shares'!X58*'Indirect NH3 demand sources'!X$5*(1-SUM('Pre-allocation of NH3 in power'!X58:X128))+'Pre-allocation of NH3 in power'!X58*'Indirect NH3 demand sources'!X$5</f>
        <v>6.4453764276404899E-3</v>
      </c>
      <c r="Y58">
        <f>'Electricity shares'!Y58*'Indirect NH3 demand sources'!Y$5*(1-SUM('Pre-allocation of NH3 in power'!Y58:Y128))+'Pre-allocation of NH3 in power'!Y58*'Indirect NH3 demand sources'!Y$5</f>
        <v>8.3167181113540118E-3</v>
      </c>
      <c r="Z58">
        <f>'Electricity shares'!Z58*'Indirect NH3 demand sources'!Z$5*(1-SUM('Pre-allocation of NH3 in power'!Z58:Z128))+'Pre-allocation of NH3 in power'!Z58*'Indirect NH3 demand sources'!Z$5</f>
        <v>1.0313044436148659E-2</v>
      </c>
      <c r="AA58">
        <f>'Electricity shares'!AA58*'Indirect NH3 demand sources'!AA$5*(1-SUM('Pre-allocation of NH3 in power'!AA58:AA128))+'Pre-allocation of NH3 in power'!AA58*'Indirect NH3 demand sources'!AA$5</f>
        <v>1.2446125772598781E-2</v>
      </c>
      <c r="AB58">
        <f>'Electricity shares'!AB58*'Indirect NH3 demand sources'!AB$5*(1-SUM('Pre-allocation of NH3 in power'!AB58:AB128))+'Pre-allocation of NH3 in power'!AB58*'Indirect NH3 demand sources'!AB$5</f>
        <v>1.4743147668554111E-2</v>
      </c>
      <c r="AC58">
        <f>'Electricity shares'!AC58*'Indirect NH3 demand sources'!AC$5*(1-SUM('Pre-allocation of NH3 in power'!AC58:AC128))+'Pre-allocation of NH3 in power'!AC58*'Indirect NH3 demand sources'!AC$5</f>
        <v>1.7206765623604719E-2</v>
      </c>
      <c r="AD58">
        <f>'Electricity shares'!AD58*'Indirect NH3 demand sources'!AD$5*(1-SUM('Pre-allocation of NH3 in power'!AD58:AD128))+'Pre-allocation of NH3 in power'!AD58*'Indirect NH3 demand sources'!AD$5</f>
        <v>1.9847223422290387E-2</v>
      </c>
      <c r="AE58">
        <f>'Electricity shares'!AE58*'Indirect NH3 demand sources'!AE$5*(1-SUM('Pre-allocation of NH3 in power'!AE58:AE128))+'Pre-allocation of NH3 in power'!AE58*'Indirect NH3 demand sources'!AE$5</f>
        <v>2.2678937182634487E-2</v>
      </c>
      <c r="AF58">
        <f>'Electricity shares'!AF58*'Indirect NH3 demand sources'!AF$5*(1-SUM('Pre-allocation of NH3 in power'!AF58:AF128))+'Pre-allocation of NH3 in power'!AF58*'Indirect NH3 demand sources'!AF$5</f>
        <v>2.5706335718496582E-2</v>
      </c>
      <c r="AG58">
        <f>'Electricity shares'!AG58*'Indirect NH3 demand sources'!AG$5*(1-SUM('Pre-allocation of NH3 in power'!AG58:AG128))+'Pre-allocation of NH3 in power'!AG58*'Indirect NH3 demand sources'!AG$5</f>
        <v>2.8497536802697523E-2</v>
      </c>
      <c r="AH58">
        <f>'Electricity shares'!AH58*'Indirect NH3 demand sources'!AH$5*(1-SUM('Pre-allocation of NH3 in power'!AH58:AH128))+'Pre-allocation of NH3 in power'!AH58*'Indirect NH3 demand sources'!AH$5</f>
        <v>3.1480816605858497E-2</v>
      </c>
      <c r="AI58">
        <f>'Electricity shares'!AI58*'Indirect NH3 demand sources'!AI$5*(1-SUM('Pre-allocation of NH3 in power'!AI58:AI128))+'Pre-allocation of NH3 in power'!AI58*'Indirect NH3 demand sources'!AI$5</f>
        <v>3.466323164918686E-2</v>
      </c>
      <c r="AJ58">
        <f>'Electricity shares'!AJ58*'Indirect NH3 demand sources'!AJ$5*(1-SUM('Pre-allocation of NH3 in power'!AJ58:AJ128))+'Pre-allocation of NH3 in power'!AJ58*'Indirect NH3 demand sources'!AJ$5</f>
        <v>3.80430419972171E-2</v>
      </c>
      <c r="AK58">
        <f>'Electricity shares'!AK58*'Indirect NH3 demand sources'!AK$5*(1-SUM('Pre-allocation of NH3 in power'!AK58:AK128))+'Pre-allocation of NH3 in power'!AK58*'Indirect NH3 demand sources'!AK$5</f>
        <v>4.1637511980383457E-2</v>
      </c>
      <c r="AL58">
        <f>'Electricity shares'!AL58*'Indirect NH3 demand sources'!AL$5*(1-SUM('Pre-allocation of NH3 in power'!AL58:AL128))+'Pre-allocation of NH3 in power'!AL58*'Indirect NH3 demand sources'!AL$5</f>
        <v>4.5397053165350865E-2</v>
      </c>
      <c r="AM58">
        <f>'Electricity shares'!AM58*'Indirect NH3 demand sources'!AM$5*(1-SUM('Pre-allocation of NH3 in power'!AM58:AM128))+'Pre-allocation of NH3 in power'!AM58*'Indirect NH3 demand sources'!AM$5</f>
        <v>4.925870248031998E-2</v>
      </c>
      <c r="AN58">
        <f>'Electricity shares'!AN58*'Indirect NH3 demand sources'!AN$5*(1-SUM('Pre-allocation of NH3 in power'!AN58:AN128))+'Pre-allocation of NH3 in power'!AN58*'Indirect NH3 demand sources'!AN$5</f>
        <v>5.3258877105211967E-2</v>
      </c>
      <c r="AO58">
        <f>'Electricity shares'!AO58*'Indirect NH3 demand sources'!AO$5*(1-SUM('Pre-allocation of NH3 in power'!AO58:AO128))+'Pre-allocation of NH3 in power'!AO58*'Indirect NH3 demand sources'!AO$5</f>
        <v>5.7362272780016592E-2</v>
      </c>
      <c r="AP58">
        <f>'Electricity shares'!AP58*'Indirect NH3 demand sources'!AP$5*(1-SUM('Pre-allocation of NH3 in power'!AP58:AP128))+'Pre-allocation of NH3 in power'!AP58*'Indirect NH3 demand sources'!AP$5</f>
        <v>6.159679129400715E-2</v>
      </c>
    </row>
    <row r="59" spans="1:42" x14ac:dyDescent="0.3">
      <c r="A59" t="s">
        <v>134</v>
      </c>
      <c r="B59">
        <f>'Electricity shares'!B59*'Indirect NH3 demand sources'!B$5*(1-SUM('Pre-allocation of NH3 in power'!B59:B129))+'Pre-allocation of NH3 in power'!B59*'Indirect NH3 demand sources'!B$5</f>
        <v>0</v>
      </c>
      <c r="C59">
        <f>'Electricity shares'!C59*'Indirect NH3 demand sources'!C$5*(1-SUM('Pre-allocation of NH3 in power'!C59:C129))+'Pre-allocation of NH3 in power'!C59*'Indirect NH3 demand sources'!C$5</f>
        <v>0</v>
      </c>
      <c r="D59">
        <f>'Electricity shares'!D59*'Indirect NH3 demand sources'!D$5*(1-SUM('Pre-allocation of NH3 in power'!D59:D129))+'Pre-allocation of NH3 in power'!D59*'Indirect NH3 demand sources'!D$5</f>
        <v>0</v>
      </c>
      <c r="E59">
        <f>'Electricity shares'!E59*'Indirect NH3 demand sources'!E$5*(1-SUM('Pre-allocation of NH3 in power'!E59:E129))+'Pre-allocation of NH3 in power'!E59*'Indirect NH3 demand sources'!E$5</f>
        <v>0</v>
      </c>
      <c r="F59">
        <f>'Electricity shares'!F59*'Indirect NH3 demand sources'!F$5*(1-SUM('Pre-allocation of NH3 in power'!F59:F129))+'Pre-allocation of NH3 in power'!F59*'Indirect NH3 demand sources'!F$5</f>
        <v>0</v>
      </c>
      <c r="G59">
        <f>'Electricity shares'!G59*'Indirect NH3 demand sources'!G$5*(1-SUM('Pre-allocation of NH3 in power'!G59:G129))+'Pre-allocation of NH3 in power'!G59*'Indirect NH3 demand sources'!G$5</f>
        <v>0</v>
      </c>
      <c r="H59">
        <f>'Electricity shares'!H59*'Indirect NH3 demand sources'!H$5*(1-SUM('Pre-allocation of NH3 in power'!H59:H129))+'Pre-allocation of NH3 in power'!H59*'Indirect NH3 demand sources'!H$5</f>
        <v>0</v>
      </c>
      <c r="I59">
        <f>'Electricity shares'!I59*'Indirect NH3 demand sources'!I$5*(1-SUM('Pre-allocation of NH3 in power'!I59:I129))+'Pre-allocation of NH3 in power'!I59*'Indirect NH3 demand sources'!I$5</f>
        <v>0</v>
      </c>
      <c r="J59">
        <f>'Electricity shares'!J59*'Indirect NH3 demand sources'!J$5*(1-SUM('Pre-allocation of NH3 in power'!J59:J129))+'Pre-allocation of NH3 in power'!J59*'Indirect NH3 demand sources'!J$5</f>
        <v>0</v>
      </c>
      <c r="K59">
        <f>'Electricity shares'!K59*'Indirect NH3 demand sources'!K$5*(1-SUM('Pre-allocation of NH3 in power'!K59:K129))+'Pre-allocation of NH3 in power'!K59*'Indirect NH3 demand sources'!K$5</f>
        <v>0</v>
      </c>
      <c r="L59">
        <f>'Electricity shares'!L59*'Indirect NH3 demand sources'!L$5*(1-SUM('Pre-allocation of NH3 in power'!L59:L129))+'Pre-allocation of NH3 in power'!L59*'Indirect NH3 demand sources'!L$5</f>
        <v>0</v>
      </c>
      <c r="M59">
        <f>'Electricity shares'!M59*'Indirect NH3 demand sources'!M$5*(1-SUM('Pre-allocation of NH3 in power'!M59:M129))+'Pre-allocation of NH3 in power'!M59*'Indirect NH3 demand sources'!M$5</f>
        <v>0</v>
      </c>
      <c r="N59">
        <f>'Electricity shares'!N59*'Indirect NH3 demand sources'!N$5*(1-SUM('Pre-allocation of NH3 in power'!N59:N129))+'Pre-allocation of NH3 in power'!N59*'Indirect NH3 demand sources'!N$5</f>
        <v>0</v>
      </c>
      <c r="O59">
        <f>'Electricity shares'!O59*'Indirect NH3 demand sources'!O$5*(1-SUM('Pre-allocation of NH3 in power'!O59:O129))+'Pre-allocation of NH3 in power'!O59*'Indirect NH3 demand sources'!O$5</f>
        <v>0</v>
      </c>
      <c r="P59">
        <f>'Electricity shares'!P59*'Indirect NH3 demand sources'!P$5*(1-SUM('Pre-allocation of NH3 in power'!P59:P129))+'Pre-allocation of NH3 in power'!P59*'Indirect NH3 demand sources'!P$5</f>
        <v>0</v>
      </c>
      <c r="Q59">
        <f>'Electricity shares'!Q59*'Indirect NH3 demand sources'!Q$5*(1-SUM('Pre-allocation of NH3 in power'!Q59:Q129))+'Pre-allocation of NH3 in power'!Q59*'Indirect NH3 demand sources'!Q$5</f>
        <v>0</v>
      </c>
      <c r="R59">
        <f>'Electricity shares'!R59*'Indirect NH3 demand sources'!R$5*(1-SUM('Pre-allocation of NH3 in power'!R59:R129))+'Pre-allocation of NH3 in power'!R59*'Indirect NH3 demand sources'!R$5</f>
        <v>3.2009823260398008E-3</v>
      </c>
      <c r="S59">
        <f>'Electricity shares'!S59*'Indirect NH3 demand sources'!S$5*(1-SUM('Pre-allocation of NH3 in power'!S59:S129))+'Pre-allocation of NH3 in power'!S59*'Indirect NH3 demand sources'!S$5</f>
        <v>6.415820467158548E-3</v>
      </c>
      <c r="T59">
        <f>'Electricity shares'!T59*'Indirect NH3 demand sources'!T$5*(1-SUM('Pre-allocation of NH3 in power'!T59:T129))+'Pre-allocation of NH3 in power'!T59*'Indirect NH3 demand sources'!T$5</f>
        <v>9.6426523434835557E-3</v>
      </c>
      <c r="U59">
        <f>'Electricity shares'!U59*'Indirect NH3 demand sources'!U$5*(1-SUM('Pre-allocation of NH3 in power'!U59:U129))+'Pre-allocation of NH3 in power'!U59*'Indirect NH3 demand sources'!U$5</f>
        <v>1.2878097692681207E-2</v>
      </c>
      <c r="V59">
        <f>'Electricity shares'!V59*'Indirect NH3 demand sources'!V$5*(1-SUM('Pre-allocation of NH3 in power'!V59:V129))+'Pre-allocation of NH3 in power'!V59*'Indirect NH3 demand sources'!V$5</f>
        <v>1.6147007194717129E-2</v>
      </c>
      <c r="W59">
        <f>'Electricity shares'!W59*'Indirect NH3 demand sources'!W$5*(1-SUM('Pre-allocation of NH3 in power'!W59:W129))+'Pre-allocation of NH3 in power'!W59*'Indirect NH3 demand sources'!W$5</f>
        <v>2.4434504866907188E-2</v>
      </c>
      <c r="X59">
        <f>'Electricity shares'!X59*'Indirect NH3 demand sources'!X$5*(1-SUM('Pre-allocation of NH3 in power'!X59:X129))+'Pre-allocation of NH3 in power'!X59*'Indirect NH3 demand sources'!X$5</f>
        <v>3.2867319837894558E-2</v>
      </c>
      <c r="Y59">
        <f>'Electricity shares'!Y59*'Indirect NH3 demand sources'!Y$5*(1-SUM('Pre-allocation of NH3 in power'!Y59:Y129))+'Pre-allocation of NH3 in power'!Y59*'Indirect NH3 demand sources'!Y$5</f>
        <v>4.1450467001524806E-2</v>
      </c>
      <c r="Z59">
        <f>'Electricity shares'!Z59*'Indirect NH3 demand sources'!Z$5*(1-SUM('Pre-allocation of NH3 in power'!Z59:Z129))+'Pre-allocation of NH3 in power'!Z59*'Indirect NH3 demand sources'!Z$5</f>
        <v>5.0183637719804372E-2</v>
      </c>
      <c r="AA59">
        <f>'Electricity shares'!AA59*'Indirect NH3 demand sources'!AA$5*(1-SUM('Pre-allocation of NH3 in power'!AA59:AA129))+'Pre-allocation of NH3 in power'!AA59*'Indirect NH3 demand sources'!AA$5</f>
        <v>5.9069931475713496E-2</v>
      </c>
      <c r="AB59">
        <f>'Electricity shares'!AB59*'Indirect NH3 demand sources'!AB$5*(1-SUM('Pre-allocation of NH3 in power'!AB59:AB129))+'Pre-allocation of NH3 in power'!AB59*'Indirect NH3 demand sources'!AB$5</f>
        <v>6.8380284054128701E-2</v>
      </c>
      <c r="AC59">
        <f>'Electricity shares'!AC59*'Indirect NH3 demand sources'!AC$5*(1-SUM('Pre-allocation of NH3 in power'!AC59:AC129))+'Pre-allocation of NH3 in power'!AC59*'Indirect NH3 demand sources'!AC$5</f>
        <v>7.7931619883499573E-2</v>
      </c>
      <c r="AD59">
        <f>'Electricity shares'!AD59*'Indirect NH3 demand sources'!AD$5*(1-SUM('Pre-allocation of NH3 in power'!AD59:AD129))+'Pre-allocation of NH3 in power'!AD59*'Indirect NH3 demand sources'!AD$5</f>
        <v>8.7729011349722399E-2</v>
      </c>
      <c r="AE59">
        <f>'Electricity shares'!AE59*'Indirect NH3 demand sources'!AE$5*(1-SUM('Pre-allocation of NH3 in power'!AE59:AE129))+'Pre-allocation of NH3 in power'!AE59*'Indirect NH3 demand sources'!AE$5</f>
        <v>9.7770239002168885E-2</v>
      </c>
      <c r="AF59">
        <f>'Electricity shares'!AF59*'Indirect NH3 demand sources'!AF$5*(1-SUM('Pre-allocation of NH3 in power'!AF59:AF129))+'Pre-allocation of NH3 in power'!AF59*'Indirect NH3 demand sources'!AF$5</f>
        <v>0.1080622769122257</v>
      </c>
      <c r="AG59">
        <f>'Electricity shares'!AG59*'Indirect NH3 demand sources'!AG$5*(1-SUM('Pre-allocation of NH3 in power'!AG59:AG129))+'Pre-allocation of NH3 in power'!AG59*'Indirect NH3 demand sources'!AG$5</f>
        <v>0.11676054474692982</v>
      </c>
      <c r="AH59">
        <f>'Electricity shares'!AH59*'Indirect NH3 demand sources'!AH$5*(1-SUM('Pre-allocation of NH3 in power'!AH59:AH129))+'Pre-allocation of NH3 in power'!AH59*'Indirect NH3 demand sources'!AH$5</f>
        <v>0.12567744250124802</v>
      </c>
      <c r="AI59">
        <f>'Electricity shares'!AI59*'Indirect NH3 demand sources'!AI$5*(1-SUM('Pre-allocation of NH3 in power'!AI59:AI129))+'Pre-allocation of NH3 in power'!AI59*'Indirect NH3 demand sources'!AI$5</f>
        <v>0.13480897518823762</v>
      </c>
      <c r="AJ59">
        <f>'Electricity shares'!AJ59*'Indirect NH3 demand sources'!AJ$5*(1-SUM('Pre-allocation of NH3 in power'!AJ59:AJ129))+'Pre-allocation of NH3 in power'!AJ59*'Indirect NH3 demand sources'!AJ$5</f>
        <v>0.14414673506013653</v>
      </c>
      <c r="AK59">
        <f>'Electricity shares'!AK59*'Indirect NH3 demand sources'!AK$5*(1-SUM('Pre-allocation of NH3 in power'!AK59:AK129))+'Pre-allocation of NH3 in power'!AK59*'Indirect NH3 demand sources'!AK$5</f>
        <v>0.15372009067359296</v>
      </c>
      <c r="AL59">
        <f>'Electricity shares'!AL59*'Indirect NH3 demand sources'!AL$5*(1-SUM('Pre-allocation of NH3 in power'!AL59:AL129))+'Pre-allocation of NH3 in power'!AL59*'Indirect NH3 demand sources'!AL$5</f>
        <v>0.16349863436223599</v>
      </c>
      <c r="AM59">
        <f>'Electricity shares'!AM59*'Indirect NH3 demand sources'!AM$5*(1-SUM('Pre-allocation of NH3 in power'!AM59:AM129))+'Pre-allocation of NH3 in power'!AM59*'Indirect NH3 demand sources'!AM$5</f>
        <v>0.17344852179980111</v>
      </c>
      <c r="AN59">
        <f>'Electricity shares'!AN59*'Indirect NH3 demand sources'!AN$5*(1-SUM('Pre-allocation of NH3 in power'!AN59:AN129))+'Pre-allocation of NH3 in power'!AN59*'Indirect NH3 demand sources'!AN$5</f>
        <v>0.18362076509091851</v>
      </c>
      <c r="AO59">
        <f>'Electricity shares'!AO59*'Indirect NH3 demand sources'!AO$5*(1-SUM('Pre-allocation of NH3 in power'!AO59:AO129))+'Pre-allocation of NH3 in power'!AO59*'Indirect NH3 demand sources'!AO$5</f>
        <v>0.19400804942934058</v>
      </c>
      <c r="AP59">
        <f>'Electricity shares'!AP59*'Indirect NH3 demand sources'!AP$5*(1-SUM('Pre-allocation of NH3 in power'!AP59:AP129))+'Pre-allocation of NH3 in power'!AP59*'Indirect NH3 demand sources'!AP$5</f>
        <v>0.20464114211679832</v>
      </c>
    </row>
    <row r="60" spans="1:42" x14ac:dyDescent="0.3">
      <c r="A60" t="s">
        <v>135</v>
      </c>
      <c r="B60">
        <f>'Electricity shares'!B60*'Indirect NH3 demand sources'!B$5*(1-SUM('Pre-allocation of NH3 in power'!B60:B130))+'Pre-allocation of NH3 in power'!B60*'Indirect NH3 demand sources'!B$5</f>
        <v>0</v>
      </c>
      <c r="C60">
        <f>'Electricity shares'!C60*'Indirect NH3 demand sources'!C$5*(1-SUM('Pre-allocation of NH3 in power'!C60:C130))+'Pre-allocation of NH3 in power'!C60*'Indirect NH3 demand sources'!C$5</f>
        <v>0</v>
      </c>
      <c r="D60">
        <f>'Electricity shares'!D60*'Indirect NH3 demand sources'!D$5*(1-SUM('Pre-allocation of NH3 in power'!D60:D130))+'Pre-allocation of NH3 in power'!D60*'Indirect NH3 demand sources'!D$5</f>
        <v>0</v>
      </c>
      <c r="E60">
        <f>'Electricity shares'!E60*'Indirect NH3 demand sources'!E$5*(1-SUM('Pre-allocation of NH3 in power'!E60:E130))+'Pre-allocation of NH3 in power'!E60*'Indirect NH3 demand sources'!E$5</f>
        <v>0</v>
      </c>
      <c r="F60">
        <f>'Electricity shares'!F60*'Indirect NH3 demand sources'!F$5*(1-SUM('Pre-allocation of NH3 in power'!F60:F130))+'Pre-allocation of NH3 in power'!F60*'Indirect NH3 demand sources'!F$5</f>
        <v>0</v>
      </c>
      <c r="G60">
        <f>'Electricity shares'!G60*'Indirect NH3 demand sources'!G$5*(1-SUM('Pre-allocation of NH3 in power'!G60:G130))+'Pre-allocation of NH3 in power'!G60*'Indirect NH3 demand sources'!G$5</f>
        <v>0</v>
      </c>
      <c r="H60">
        <f>'Electricity shares'!H60*'Indirect NH3 demand sources'!H$5*(1-SUM('Pre-allocation of NH3 in power'!H60:H130))+'Pre-allocation of NH3 in power'!H60*'Indirect NH3 demand sources'!H$5</f>
        <v>0</v>
      </c>
      <c r="I60">
        <f>'Electricity shares'!I60*'Indirect NH3 demand sources'!I$5*(1-SUM('Pre-allocation of NH3 in power'!I60:I130))+'Pre-allocation of NH3 in power'!I60*'Indirect NH3 demand sources'!I$5</f>
        <v>0</v>
      </c>
      <c r="J60">
        <f>'Electricity shares'!J60*'Indirect NH3 demand sources'!J$5*(1-SUM('Pre-allocation of NH3 in power'!J60:J130))+'Pre-allocation of NH3 in power'!J60*'Indirect NH3 demand sources'!J$5</f>
        <v>0</v>
      </c>
      <c r="K60">
        <f>'Electricity shares'!K60*'Indirect NH3 demand sources'!K$5*(1-SUM('Pre-allocation of NH3 in power'!K60:K130))+'Pre-allocation of NH3 in power'!K60*'Indirect NH3 demand sources'!K$5</f>
        <v>0</v>
      </c>
      <c r="L60">
        <f>'Electricity shares'!L60*'Indirect NH3 demand sources'!L$5*(1-SUM('Pre-allocation of NH3 in power'!L60:L130))+'Pre-allocation of NH3 in power'!L60*'Indirect NH3 demand sources'!L$5</f>
        <v>0</v>
      </c>
      <c r="M60">
        <f>'Electricity shares'!M60*'Indirect NH3 demand sources'!M$5*(1-SUM('Pre-allocation of NH3 in power'!M60:M130))+'Pre-allocation of NH3 in power'!M60*'Indirect NH3 demand sources'!M$5</f>
        <v>0</v>
      </c>
      <c r="N60">
        <f>'Electricity shares'!N60*'Indirect NH3 demand sources'!N$5*(1-SUM('Pre-allocation of NH3 in power'!N60:N130))+'Pre-allocation of NH3 in power'!N60*'Indirect NH3 demand sources'!N$5</f>
        <v>0</v>
      </c>
      <c r="O60">
        <f>'Electricity shares'!O60*'Indirect NH3 demand sources'!O$5*(1-SUM('Pre-allocation of NH3 in power'!O60:O130))+'Pre-allocation of NH3 in power'!O60*'Indirect NH3 demand sources'!O$5</f>
        <v>0</v>
      </c>
      <c r="P60">
        <f>'Electricity shares'!P60*'Indirect NH3 demand sources'!P$5*(1-SUM('Pre-allocation of NH3 in power'!P60:P130))+'Pre-allocation of NH3 in power'!P60*'Indirect NH3 demand sources'!P$5</f>
        <v>0</v>
      </c>
      <c r="Q60">
        <f>'Electricity shares'!Q60*'Indirect NH3 demand sources'!Q$5*(1-SUM('Pre-allocation of NH3 in power'!Q60:Q130))+'Pre-allocation of NH3 in power'!Q60*'Indirect NH3 demand sources'!Q$5</f>
        <v>0</v>
      </c>
      <c r="R60">
        <f>'Electricity shares'!R60*'Indirect NH3 demand sources'!R$5*(1-SUM('Pre-allocation of NH3 in power'!R60:R130))+'Pre-allocation of NH3 in power'!R60*'Indirect NH3 demand sources'!R$5</f>
        <v>1.7509382986606627E-3</v>
      </c>
      <c r="S60">
        <f>'Electricity shares'!S60*'Indirect NH3 demand sources'!S$5*(1-SUM('Pre-allocation of NH3 in power'!S60:S130))+'Pre-allocation of NH3 in power'!S60*'Indirect NH3 demand sources'!S$5</f>
        <v>3.5274033144033325E-3</v>
      </c>
      <c r="T60">
        <f>'Electricity shares'!T60*'Indirect NH3 demand sources'!T$5*(1-SUM('Pre-allocation of NH3 in power'!T60:T130))+'Pre-allocation of NH3 in power'!T60*'Indirect NH3 demand sources'!T$5</f>
        <v>5.332841317561377E-3</v>
      </c>
      <c r="U60">
        <f>'Electricity shares'!U60*'Indirect NH3 demand sources'!U$5*(1-SUM('Pre-allocation of NH3 in power'!U60:U130))+'Pre-allocation of NH3 in power'!U60*'Indirect NH3 demand sources'!U$5</f>
        <v>7.1732371025535107E-3</v>
      </c>
      <c r="V60">
        <f>'Electricity shares'!V60*'Indirect NH3 demand sources'!V$5*(1-SUM('Pre-allocation of NH3 in power'!V60:V130))+'Pre-allocation of NH3 in power'!V60*'Indirect NH3 demand sources'!V$5</f>
        <v>9.0578272413666273E-3</v>
      </c>
      <c r="W60">
        <f>'Electricity shares'!W60*'Indirect NH3 demand sources'!W$5*(1-SUM('Pre-allocation of NH3 in power'!W60:W130))+'Pre-allocation of NH3 in power'!W60*'Indirect NH3 demand sources'!W$5</f>
        <v>1.3786384963871296E-2</v>
      </c>
      <c r="X60">
        <f>'Electricity shares'!X60*'Indirect NH3 demand sources'!X$5*(1-SUM('Pre-allocation of NH3 in power'!X60:X130))+'Pre-allocation of NH3 in power'!X60*'Indirect NH3 demand sources'!X$5</f>
        <v>1.867018468080392E-2</v>
      </c>
      <c r="Y60">
        <f>'Electricity shares'!Y60*'Indirect NH3 demand sources'!Y$5*(1-SUM('Pre-allocation of NH3 in power'!Y60:Y130))+'Pre-allocation of NH3 in power'!Y60*'Indirect NH3 demand sources'!Y$5</f>
        <v>2.3725155641235882E-2</v>
      </c>
      <c r="Z60">
        <f>'Electricity shares'!Z60*'Indirect NH3 demand sources'!Z$5*(1-SUM('Pre-allocation of NH3 in power'!Z60:Z130))+'Pre-allocation of NH3 in power'!Z60*'Indirect NH3 demand sources'!Z$5</f>
        <v>2.8967925148201755E-2</v>
      </c>
      <c r="AA60">
        <f>'Electricity shares'!AA60*'Indirect NH3 demand sources'!AA$5*(1-SUM('Pre-allocation of NH3 in power'!AA60:AA130))+'Pre-allocation of NH3 in power'!AA60*'Indirect NH3 demand sources'!AA$5</f>
        <v>3.4414674264028992E-2</v>
      </c>
      <c r="AB60">
        <f>'Electricity shares'!AB60*'Indirect NH3 demand sources'!AB$5*(1-SUM('Pre-allocation of NH3 in power'!AB60:AB130))+'Pre-allocation of NH3 in power'!AB60*'Indirect NH3 demand sources'!AB$5</f>
        <v>4.0135813072026315E-2</v>
      </c>
      <c r="AC60">
        <f>'Electricity shares'!AC60*'Indirect NH3 demand sources'!AC$5*(1-SUM('Pre-allocation of NH3 in power'!AC60:AC130))+'Pre-allocation of NH3 in power'!AC60*'Indirect NH3 demand sources'!AC$5</f>
        <v>4.611196996638308E-2</v>
      </c>
      <c r="AD60">
        <f>'Electricity shares'!AD60*'Indirect NH3 demand sources'!AD$5*(1-SUM('Pre-allocation of NH3 in power'!AD60:AD130))+'Pre-allocation of NH3 in power'!AD60*'Indirect NH3 demand sources'!AD$5</f>
        <v>5.2356307949559422E-2</v>
      </c>
      <c r="AE60">
        <f>'Electricity shares'!AE60*'Indirect NH3 demand sources'!AE$5*(1-SUM('Pre-allocation of NH3 in power'!AE60:AE130))+'Pre-allocation of NH3 in power'!AE60*'Indirect NH3 demand sources'!AE$5</f>
        <v>5.8889500833229511E-2</v>
      </c>
      <c r="AF60">
        <f>'Electricity shares'!AF60*'Indirect NH3 demand sources'!AF$5*(1-SUM('Pre-allocation of NH3 in power'!AF60:AF130))+'Pre-allocation of NH3 in power'!AF60*'Indirect NH3 demand sources'!AF$5</f>
        <v>6.5724921987124443E-2</v>
      </c>
      <c r="AG60">
        <f>'Electricity shares'!AG60*'Indirect NH3 demand sources'!AG$5*(1-SUM('Pre-allocation of NH3 in power'!AG60:AG130))+'Pre-allocation of NH3 in power'!AG60*'Indirect NH3 demand sources'!AG$5</f>
        <v>7.1760958528989824E-2</v>
      </c>
      <c r="AH60">
        <f>'Electricity shares'!AH60*'Indirect NH3 demand sources'!AH$5*(1-SUM('Pre-allocation of NH3 in power'!AH60:AH130))+'Pre-allocation of NH3 in power'!AH60*'Indirect NH3 demand sources'!AH$5</f>
        <v>7.810708110959684E-2</v>
      </c>
      <c r="AI60">
        <f>'Electricity shares'!AI60*'Indirect NH3 demand sources'!AI$5*(1-SUM('Pre-allocation of NH3 in power'!AI60:AI130))+'Pre-allocation of NH3 in power'!AI60*'Indirect NH3 demand sources'!AI$5</f>
        <v>8.4793231769172264E-2</v>
      </c>
      <c r="AJ60">
        <f>'Electricity shares'!AJ60*'Indirect NH3 demand sources'!AJ$5*(1-SUM('Pre-allocation of NH3 in power'!AJ60:AJ130))+'Pre-allocation of NH3 in power'!AJ60*'Indirect NH3 demand sources'!AJ$5</f>
        <v>9.1839300143931185E-2</v>
      </c>
      <c r="AK60">
        <f>'Electricity shares'!AK60*'Indirect NH3 demand sources'!AK$5*(1-SUM('Pre-allocation of NH3 in power'!AK60:AK130))+'Pre-allocation of NH3 in power'!AK60*'Indirect NH3 demand sources'!AK$5</f>
        <v>9.9228503391772901E-2</v>
      </c>
      <c r="AL60">
        <f>'Electricity shares'!AL60*'Indirect NH3 demand sources'!AL$5*(1-SUM('Pre-allocation of NH3 in power'!AL60:AL130))+'Pre-allocation of NH3 in power'!AL60*'Indirect NH3 demand sources'!AL$5</f>
        <v>0.10695467352900999</v>
      </c>
      <c r="AM60">
        <f>'Electricity shares'!AM60*'Indirect NH3 demand sources'!AM$5*(1-SUM('Pre-allocation of NH3 in power'!AM60:AM130))+'Pre-allocation of NH3 in power'!AM60*'Indirect NH3 demand sources'!AM$5</f>
        <v>0.11494710950995012</v>
      </c>
      <c r="AN60">
        <f>'Electricity shares'!AN60*'Indirect NH3 demand sources'!AN$5*(1-SUM('Pre-allocation of NH3 in power'!AN60:AN130))+'Pre-allocation of NH3 in power'!AN60*'Indirect NH3 demand sources'!AN$5</f>
        <v>0.12323873980548967</v>
      </c>
      <c r="AO60">
        <f>'Electricity shares'!AO60*'Indirect NH3 demand sources'!AO$5*(1-SUM('Pre-allocation of NH3 in power'!AO60:AO130))+'Pre-allocation of NH3 in power'!AO60*'Indirect NH3 demand sources'!AO$5</f>
        <v>0.13180993730523771</v>
      </c>
      <c r="AP60">
        <f>'Electricity shares'!AP60*'Indirect NH3 demand sources'!AP$5*(1-SUM('Pre-allocation of NH3 in power'!AP60:AP130))+'Pre-allocation of NH3 in power'!AP60*'Indirect NH3 demand sources'!AP$5</f>
        <v>0.14068648709594717</v>
      </c>
    </row>
    <row r="61" spans="1:42" x14ac:dyDescent="0.3">
      <c r="A61" t="s">
        <v>136</v>
      </c>
      <c r="B61">
        <f>'Electricity shares'!B61*'Indirect NH3 demand sources'!B$5*(1-SUM('Pre-allocation of NH3 in power'!B61:B131))+'Pre-allocation of NH3 in power'!B61*'Indirect NH3 demand sources'!B$5</f>
        <v>0</v>
      </c>
      <c r="C61">
        <f>'Electricity shares'!C61*'Indirect NH3 demand sources'!C$5*(1-SUM('Pre-allocation of NH3 in power'!C61:C131))+'Pre-allocation of NH3 in power'!C61*'Indirect NH3 demand sources'!C$5</f>
        <v>0</v>
      </c>
      <c r="D61">
        <f>'Electricity shares'!D61*'Indirect NH3 demand sources'!D$5*(1-SUM('Pre-allocation of NH3 in power'!D61:D131))+'Pre-allocation of NH3 in power'!D61*'Indirect NH3 demand sources'!D$5</f>
        <v>0</v>
      </c>
      <c r="E61">
        <f>'Electricity shares'!E61*'Indirect NH3 demand sources'!E$5*(1-SUM('Pre-allocation of NH3 in power'!E61:E131))+'Pre-allocation of NH3 in power'!E61*'Indirect NH3 demand sources'!E$5</f>
        <v>0</v>
      </c>
      <c r="F61">
        <f>'Electricity shares'!F61*'Indirect NH3 demand sources'!F$5*(1-SUM('Pre-allocation of NH3 in power'!F61:F131))+'Pre-allocation of NH3 in power'!F61*'Indirect NH3 demand sources'!F$5</f>
        <v>0</v>
      </c>
      <c r="G61">
        <f>'Electricity shares'!G61*'Indirect NH3 demand sources'!G$5*(1-SUM('Pre-allocation of NH3 in power'!G61:G131))+'Pre-allocation of NH3 in power'!G61*'Indirect NH3 demand sources'!G$5</f>
        <v>0</v>
      </c>
      <c r="H61">
        <f>'Electricity shares'!H61*'Indirect NH3 demand sources'!H$5*(1-SUM('Pre-allocation of NH3 in power'!H61:H131))+'Pre-allocation of NH3 in power'!H61*'Indirect NH3 demand sources'!H$5</f>
        <v>0</v>
      </c>
      <c r="I61">
        <f>'Electricity shares'!I61*'Indirect NH3 demand sources'!I$5*(1-SUM('Pre-allocation of NH3 in power'!I61:I131))+'Pre-allocation of NH3 in power'!I61*'Indirect NH3 demand sources'!I$5</f>
        <v>0</v>
      </c>
      <c r="J61">
        <f>'Electricity shares'!J61*'Indirect NH3 demand sources'!J$5*(1-SUM('Pre-allocation of NH3 in power'!J61:J131))+'Pre-allocation of NH3 in power'!J61*'Indirect NH3 demand sources'!J$5</f>
        <v>0</v>
      </c>
      <c r="K61">
        <f>'Electricity shares'!K61*'Indirect NH3 demand sources'!K$5*(1-SUM('Pre-allocation of NH3 in power'!K61:K131))+'Pre-allocation of NH3 in power'!K61*'Indirect NH3 demand sources'!K$5</f>
        <v>0</v>
      </c>
      <c r="L61">
        <f>'Electricity shares'!L61*'Indirect NH3 demand sources'!L$5*(1-SUM('Pre-allocation of NH3 in power'!L61:L131))+'Pre-allocation of NH3 in power'!L61*'Indirect NH3 demand sources'!L$5</f>
        <v>0</v>
      </c>
      <c r="M61">
        <f>'Electricity shares'!M61*'Indirect NH3 demand sources'!M$5*(1-SUM('Pre-allocation of NH3 in power'!M61:M131))+'Pre-allocation of NH3 in power'!M61*'Indirect NH3 demand sources'!M$5</f>
        <v>0</v>
      </c>
      <c r="N61">
        <f>'Electricity shares'!N61*'Indirect NH3 demand sources'!N$5*(1-SUM('Pre-allocation of NH3 in power'!N61:N131))+'Pre-allocation of NH3 in power'!N61*'Indirect NH3 demand sources'!N$5</f>
        <v>0</v>
      </c>
      <c r="O61">
        <f>'Electricity shares'!O61*'Indirect NH3 demand sources'!O$5*(1-SUM('Pre-allocation of NH3 in power'!O61:O131))+'Pre-allocation of NH3 in power'!O61*'Indirect NH3 demand sources'!O$5</f>
        <v>0</v>
      </c>
      <c r="P61">
        <f>'Electricity shares'!P61*'Indirect NH3 demand sources'!P$5*(1-SUM('Pre-allocation of NH3 in power'!P61:P131))+'Pre-allocation of NH3 in power'!P61*'Indirect NH3 demand sources'!P$5</f>
        <v>0</v>
      </c>
      <c r="Q61">
        <f>'Electricity shares'!Q61*'Indirect NH3 demand sources'!Q$5*(1-SUM('Pre-allocation of NH3 in power'!Q61:Q131))+'Pre-allocation of NH3 in power'!Q61*'Indirect NH3 demand sources'!Q$5</f>
        <v>0</v>
      </c>
      <c r="R61">
        <f>'Electricity shares'!R61*'Indirect NH3 demand sources'!R$5*(1-SUM('Pre-allocation of NH3 in power'!R61:R131))+'Pre-allocation of NH3 in power'!R61*'Indirect NH3 demand sources'!R$5</f>
        <v>3.4335542350024398E-4</v>
      </c>
      <c r="S61">
        <f>'Electricity shares'!S61*'Indirect NH3 demand sources'!S$5*(1-SUM('Pre-allocation of NH3 in power'!S61:S131))+'Pre-allocation of NH3 in power'!S61*'Indirect NH3 demand sources'!S$5</f>
        <v>6.8981636207924267E-4</v>
      </c>
      <c r="T61">
        <f>'Electricity shares'!T61*'Indirect NH3 demand sources'!T$5*(1-SUM('Pre-allocation of NH3 in power'!T61:T131))+'Pre-allocation of NH3 in power'!T61*'Indirect NH3 demand sources'!T$5</f>
        <v>1.040209907385898E-3</v>
      </c>
      <c r="U61">
        <f>'Electricity shares'!U61*'Indirect NH3 demand sources'!U$5*(1-SUM('Pre-allocation of NH3 in power'!U61:U131))+'Pre-allocation of NH3 in power'!U61*'Indirect NH3 demand sources'!U$5</f>
        <v>1.3954814362346479E-3</v>
      </c>
      <c r="V61">
        <f>'Electricity shares'!V61*'Indirect NH3 demand sources'!V$5*(1-SUM('Pre-allocation of NH3 in power'!V61:V131))+'Pre-allocation of NH3 in power'!V61*'Indirect NH3 demand sources'!V$5</f>
        <v>1.7573787435561648E-3</v>
      </c>
      <c r="W61">
        <f>'Electricity shares'!W61*'Indirect NH3 demand sources'!W$5*(1-SUM('Pre-allocation of NH3 in power'!W61:W131))+'Pre-allocation of NH3 in power'!W61*'Indirect NH3 demand sources'!W$5</f>
        <v>2.6665490801477589E-3</v>
      </c>
      <c r="X61">
        <f>'Electricity shares'!X61*'Indirect NH3 demand sources'!X$5*(1-SUM('Pre-allocation of NH3 in power'!X61:X131))+'Pre-allocation of NH3 in power'!X61*'Indirect NH3 demand sources'!X$5</f>
        <v>3.5994815962174863E-3</v>
      </c>
      <c r="Y61">
        <f>'Electricity shares'!Y61*'Indirect NH3 demand sources'!Y$5*(1-SUM('Pre-allocation of NH3 in power'!Y61:Y131))+'Pre-allocation of NH3 in power'!Y61*'Indirect NH3 demand sources'!Y$5</f>
        <v>4.5587407070414422E-3</v>
      </c>
      <c r="Z61">
        <f>'Electricity shares'!Z61*'Indirect NH3 demand sources'!Z$5*(1-SUM('Pre-allocation of NH3 in power'!Z61:Z131))+'Pre-allocation of NH3 in power'!Z61*'Indirect NH3 demand sources'!Z$5</f>
        <v>5.5467476816161753E-3</v>
      </c>
      <c r="AA61">
        <f>'Electricity shares'!AA61*'Indirect NH3 demand sources'!AA$5*(1-SUM('Pre-allocation of NH3 in power'!AA61:AA131))+'Pre-allocation of NH3 in power'!AA61*'Indirect NH3 demand sources'!AA$5</f>
        <v>6.5658015092064309E-3</v>
      </c>
      <c r="AB61">
        <f>'Electricity shares'!AB61*'Indirect NH3 demand sources'!AB$5*(1-SUM('Pre-allocation of NH3 in power'!AB61:AB131))+'Pre-allocation of NH3 in power'!AB61*'Indirect NH3 demand sources'!AB$5</f>
        <v>7.6292744672653099E-3</v>
      </c>
      <c r="AC61">
        <f>'Electricity shares'!AC61*'Indirect NH3 demand sources'!AC$5*(1-SUM('Pre-allocation of NH3 in power'!AC61:AC131))+'Pre-allocation of NH3 in power'!AC61*'Indirect NH3 demand sources'!AC$5</f>
        <v>8.7319429729311553E-3</v>
      </c>
      <c r="AD61">
        <f>'Electricity shares'!AD61*'Indirect NH3 demand sources'!AD$5*(1-SUM('Pre-allocation of NH3 in power'!AD61:AD131))+'Pre-allocation of NH3 in power'!AD61*'Indirect NH3 demand sources'!AD$5</f>
        <v>9.8758179703222933E-3</v>
      </c>
      <c r="AE61">
        <f>'Electricity shares'!AE61*'Indirect NH3 demand sources'!AE$5*(1-SUM('Pre-allocation of NH3 in power'!AE61:AE131))+'Pre-allocation of NH3 in power'!AE61*'Indirect NH3 demand sources'!AE$5</f>
        <v>1.1063104320084373E-2</v>
      </c>
      <c r="AF61">
        <f>'Electricity shares'!AF61*'Indirect NH3 demand sources'!AF$5*(1-SUM('Pre-allocation of NH3 in power'!AF61:AF131))+'Pre-allocation of NH3 in power'!AF61*'Indirect NH3 demand sources'!AF$5</f>
        <v>1.2295195335539771E-2</v>
      </c>
      <c r="AG61">
        <f>'Electricity shares'!AG61*'Indirect NH3 demand sources'!AG$5*(1-SUM('Pre-allocation of NH3 in power'!AG61:AG131))+'Pre-allocation of NH3 in power'!AG61*'Indirect NH3 demand sources'!AG$5</f>
        <v>1.3363870734640088E-2</v>
      </c>
      <c r="AH61">
        <f>'Electricity shares'!AH61*'Indirect NH3 demand sources'!AH$5*(1-SUM('Pre-allocation of NH3 in power'!AH61:AH131))+'Pre-allocation of NH3 in power'!AH61*'Indirect NH3 demand sources'!AH$5</f>
        <v>1.4474748360780599E-2</v>
      </c>
      <c r="AI61">
        <f>'Electricity shares'!AI61*'Indirect NH3 demand sources'!AI$5*(1-SUM('Pre-allocation of NH3 in power'!AI61:AI131))+'Pre-allocation of NH3 in power'!AI61*'Indirect NH3 demand sources'!AI$5</f>
        <v>1.5628030615377458E-2</v>
      </c>
      <c r="AJ61">
        <f>'Electricity shares'!AJ61*'Indirect NH3 demand sources'!AJ$5*(1-SUM('Pre-allocation of NH3 in power'!AJ61:AJ131))+'Pre-allocation of NH3 in power'!AJ61*'Indirect NH3 demand sources'!AJ$5</f>
        <v>1.6823019248355175E-2</v>
      </c>
      <c r="AK61">
        <f>'Electricity shares'!AK61*'Indirect NH3 demand sources'!AK$5*(1-SUM('Pre-allocation of NH3 in power'!AK61:AK131))+'Pre-allocation of NH3 in power'!AK61*'Indirect NH3 demand sources'!AK$5</f>
        <v>1.806467760074611E-2</v>
      </c>
      <c r="AL61">
        <f>'Electricity shares'!AL61*'Indirect NH3 demand sources'!AL$5*(1-SUM('Pre-allocation of NH3 in power'!AL61:AL131))+'Pre-allocation of NH3 in power'!AL61*'Indirect NH3 demand sources'!AL$5</f>
        <v>1.9350366486238075E-2</v>
      </c>
      <c r="AM61">
        <f>'Electricity shares'!AM61*'Indirect NH3 demand sources'!AM$5*(1-SUM('Pre-allocation of NH3 in power'!AM61:AM131))+'Pre-allocation of NH3 in power'!AM61*'Indirect NH3 demand sources'!AM$5</f>
        <v>2.0674045279660234E-2</v>
      </c>
      <c r="AN61">
        <f>'Electricity shares'!AN61*'Indirect NH3 demand sources'!AN$5*(1-SUM('Pre-allocation of NH3 in power'!AN61:AN131))+'Pre-allocation of NH3 in power'!AN61*'Indirect NH3 demand sources'!AN$5</f>
        <v>2.2047219146140416E-2</v>
      </c>
      <c r="AO61">
        <f>'Electricity shares'!AO61*'Indirect NH3 demand sources'!AO$5*(1-SUM('Pre-allocation of NH3 in power'!AO61:AO131))+'Pre-allocation of NH3 in power'!AO61*'Indirect NH3 demand sources'!AO$5</f>
        <v>2.3471149225544056E-2</v>
      </c>
      <c r="AP61">
        <f>'Electricity shares'!AP61*'Indirect NH3 demand sources'!AP$5*(1-SUM('Pre-allocation of NH3 in power'!AP61:AP131))+'Pre-allocation of NH3 in power'!AP61*'Indirect NH3 demand sources'!AP$5</f>
        <v>2.4954190950252482E-2</v>
      </c>
    </row>
    <row r="62" spans="1:42" x14ac:dyDescent="0.3">
      <c r="A62" t="s">
        <v>137</v>
      </c>
      <c r="B62">
        <f>'Electricity shares'!B62*'Indirect NH3 demand sources'!B$5*(1-SUM('Pre-allocation of NH3 in power'!B62:B132))+'Pre-allocation of NH3 in power'!B62*'Indirect NH3 demand sources'!B$5</f>
        <v>0</v>
      </c>
      <c r="C62">
        <f>'Electricity shares'!C62*'Indirect NH3 demand sources'!C$5*(1-SUM('Pre-allocation of NH3 in power'!C62:C132))+'Pre-allocation of NH3 in power'!C62*'Indirect NH3 demand sources'!C$5</f>
        <v>0</v>
      </c>
      <c r="D62">
        <f>'Electricity shares'!D62*'Indirect NH3 demand sources'!D$5*(1-SUM('Pre-allocation of NH3 in power'!D62:D132))+'Pre-allocation of NH3 in power'!D62*'Indirect NH3 demand sources'!D$5</f>
        <v>0</v>
      </c>
      <c r="E62">
        <f>'Electricity shares'!E62*'Indirect NH3 demand sources'!E$5*(1-SUM('Pre-allocation of NH3 in power'!E62:E132))+'Pre-allocation of NH3 in power'!E62*'Indirect NH3 demand sources'!E$5</f>
        <v>0</v>
      </c>
      <c r="F62">
        <f>'Electricity shares'!F62*'Indirect NH3 demand sources'!F$5*(1-SUM('Pre-allocation of NH3 in power'!F62:F132))+'Pre-allocation of NH3 in power'!F62*'Indirect NH3 demand sources'!F$5</f>
        <v>0</v>
      </c>
      <c r="G62">
        <f>'Electricity shares'!G62*'Indirect NH3 demand sources'!G$5*(1-SUM('Pre-allocation of NH3 in power'!G62:G132))+'Pre-allocation of NH3 in power'!G62*'Indirect NH3 demand sources'!G$5</f>
        <v>0</v>
      </c>
      <c r="H62">
        <f>'Electricity shares'!H62*'Indirect NH3 demand sources'!H$5*(1-SUM('Pre-allocation of NH3 in power'!H62:H132))+'Pre-allocation of NH3 in power'!H62*'Indirect NH3 demand sources'!H$5</f>
        <v>0</v>
      </c>
      <c r="I62">
        <f>'Electricity shares'!I62*'Indirect NH3 demand sources'!I$5*(1-SUM('Pre-allocation of NH3 in power'!I62:I132))+'Pre-allocation of NH3 in power'!I62*'Indirect NH3 demand sources'!I$5</f>
        <v>0</v>
      </c>
      <c r="J62">
        <f>'Electricity shares'!J62*'Indirect NH3 demand sources'!J$5*(1-SUM('Pre-allocation of NH3 in power'!J62:J132))+'Pre-allocation of NH3 in power'!J62*'Indirect NH3 demand sources'!J$5</f>
        <v>0</v>
      </c>
      <c r="K62">
        <f>'Electricity shares'!K62*'Indirect NH3 demand sources'!K$5*(1-SUM('Pre-allocation of NH3 in power'!K62:K132))+'Pre-allocation of NH3 in power'!K62*'Indirect NH3 demand sources'!K$5</f>
        <v>0</v>
      </c>
      <c r="L62">
        <f>'Electricity shares'!L62*'Indirect NH3 demand sources'!L$5*(1-SUM('Pre-allocation of NH3 in power'!L62:L132))+'Pre-allocation of NH3 in power'!L62*'Indirect NH3 demand sources'!L$5</f>
        <v>0</v>
      </c>
      <c r="M62">
        <f>'Electricity shares'!M62*'Indirect NH3 demand sources'!M$5*(1-SUM('Pre-allocation of NH3 in power'!M62:M132))+'Pre-allocation of NH3 in power'!M62*'Indirect NH3 demand sources'!M$5</f>
        <v>0</v>
      </c>
      <c r="N62">
        <f>'Electricity shares'!N62*'Indirect NH3 demand sources'!N$5*(1-SUM('Pre-allocation of NH3 in power'!N62:N132))+'Pre-allocation of NH3 in power'!N62*'Indirect NH3 demand sources'!N$5</f>
        <v>0</v>
      </c>
      <c r="O62">
        <f>'Electricity shares'!O62*'Indirect NH3 demand sources'!O$5*(1-SUM('Pre-allocation of NH3 in power'!O62:O132))+'Pre-allocation of NH3 in power'!O62*'Indirect NH3 demand sources'!O$5</f>
        <v>0</v>
      </c>
      <c r="P62">
        <f>'Electricity shares'!P62*'Indirect NH3 demand sources'!P$5*(1-SUM('Pre-allocation of NH3 in power'!P62:P132))+'Pre-allocation of NH3 in power'!P62*'Indirect NH3 demand sources'!P$5</f>
        <v>0</v>
      </c>
      <c r="Q62">
        <f>'Electricity shares'!Q62*'Indirect NH3 demand sources'!Q$5*(1-SUM('Pre-allocation of NH3 in power'!Q62:Q132))+'Pre-allocation of NH3 in power'!Q62*'Indirect NH3 demand sources'!Q$5</f>
        <v>0</v>
      </c>
      <c r="R62">
        <f>'Electricity shares'!R62*'Indirect NH3 demand sources'!R$5*(1-SUM('Pre-allocation of NH3 in power'!R62:R132))+'Pre-allocation of NH3 in power'!R62*'Indirect NH3 demand sources'!R$5</f>
        <v>2.7817011135907906E-3</v>
      </c>
      <c r="S62">
        <f>'Electricity shares'!S62*'Indirect NH3 demand sources'!S$5*(1-SUM('Pre-allocation of NH3 in power'!S62:S132))+'Pre-allocation of NH3 in power'!S62*'Indirect NH3 demand sources'!S$5</f>
        <v>5.6735592958641716E-3</v>
      </c>
      <c r="T62">
        <f>'Electricity shares'!T62*'Indirect NH3 demand sources'!T$5*(1-SUM('Pre-allocation of NH3 in power'!T62:T132))+'Pre-allocation of NH3 in power'!T62*'Indirect NH3 demand sources'!T$5</f>
        <v>8.6735102936557219E-3</v>
      </c>
      <c r="U62">
        <f>'Electricity shares'!U62*'Indirect NH3 demand sources'!U$5*(1-SUM('Pre-allocation of NH3 in power'!U62:U132))+'Pre-allocation of NH3 in power'!U62*'Indirect NH3 demand sources'!U$5</f>
        <v>1.1787278539129215E-2</v>
      </c>
      <c r="V62">
        <f>'Electricity shares'!V62*'Indirect NH3 demand sources'!V$5*(1-SUM('Pre-allocation of NH3 in power'!V62:V132))+'Pre-allocation of NH3 in power'!V62*'Indirect NH3 demand sources'!V$5</f>
        <v>1.5016722986296993E-2</v>
      </c>
      <c r="W62">
        <f>'Electricity shares'!W62*'Indirect NH3 demand sources'!W$5*(1-SUM('Pre-allocation of NH3 in power'!W62:W132))+'Pre-allocation of NH3 in power'!W62*'Indirect NH3 demand sources'!W$5</f>
        <v>2.2912534037300574E-2</v>
      </c>
      <c r="X62">
        <f>'Electricity shares'!X62*'Indirect NH3 demand sources'!X$5*(1-SUM('Pre-allocation of NH3 in power'!X62:X132))+'Pre-allocation of NH3 in power'!X62*'Indirect NH3 demand sources'!X$5</f>
        <v>3.1059166778564896E-2</v>
      </c>
      <c r="Y62">
        <f>'Electricity shares'!Y62*'Indirect NH3 demand sources'!Y$5*(1-SUM('Pre-allocation of NH3 in power'!Y62:Y132))+'Pre-allocation of NH3 in power'!Y62*'Indirect NH3 demand sources'!Y$5</f>
        <v>3.947467280025245E-2</v>
      </c>
      <c r="Z62">
        <f>'Electricity shares'!Z62*'Indirect NH3 demand sources'!Z$5*(1-SUM('Pre-allocation of NH3 in power'!Z62:Z132))+'Pre-allocation of NH3 in power'!Z62*'Indirect NH3 demand sources'!Z$5</f>
        <v>4.8165405934923133E-2</v>
      </c>
      <c r="AA62">
        <f>'Electricity shares'!AA62*'Indirect NH3 demand sources'!AA$5*(1-SUM('Pre-allocation of NH3 in power'!AA62:AA132))+'Pre-allocation of NH3 in power'!AA62*'Indirect NH3 demand sources'!AA$5</f>
        <v>5.7122330191139173E-2</v>
      </c>
      <c r="AB62">
        <f>'Electricity shares'!AB62*'Indirect NH3 demand sources'!AB$5*(1-SUM('Pre-allocation of NH3 in power'!AB62:AB132))+'Pre-allocation of NH3 in power'!AB62*'Indirect NH3 demand sources'!AB$5</f>
        <v>6.6287711694974508E-2</v>
      </c>
      <c r="AC62">
        <f>'Electricity shares'!AC62*'Indirect NH3 demand sources'!AC$5*(1-SUM('Pre-allocation of NH3 in power'!AC62:AC132))+'Pre-allocation of NH3 in power'!AC62*'Indirect NH3 demand sources'!AC$5</f>
        <v>7.5758031595143049E-2</v>
      </c>
      <c r="AD62">
        <f>'Electricity shares'!AD62*'Indirect NH3 demand sources'!AD$5*(1-SUM('Pre-allocation of NH3 in power'!AD62:AD132))+'Pre-allocation of NH3 in power'!AD62*'Indirect NH3 demand sources'!AD$5</f>
        <v>8.5545637246976641E-2</v>
      </c>
      <c r="AE62">
        <f>'Electricity shares'!AE62*'Indirect NH3 demand sources'!AE$5*(1-SUM('Pre-allocation of NH3 in power'!AE62:AE132))+'Pre-allocation of NH3 in power'!AE62*'Indirect NH3 demand sources'!AE$5</f>
        <v>9.5681831219832897E-2</v>
      </c>
      <c r="AF62">
        <f>'Electricity shares'!AF62*'Indirect NH3 demand sources'!AF$5*(1-SUM('Pre-allocation of NH3 in power'!AF62:AF132))+'Pre-allocation of NH3 in power'!AF62*'Indirect NH3 demand sources'!AF$5</f>
        <v>0.10614103992814788</v>
      </c>
      <c r="AG62">
        <f>'Electricity shares'!AG62*'Indirect NH3 demand sources'!AG$5*(1-SUM('Pre-allocation of NH3 in power'!AG62:AG132))+'Pre-allocation of NH3 in power'!AG62*'Indirect NH3 demand sources'!AG$5</f>
        <v>0.11512270202887645</v>
      </c>
      <c r="AH62">
        <f>'Electricity shares'!AH62*'Indirect NH3 demand sources'!AH$5*(1-SUM('Pre-allocation of NH3 in power'!AH62:AH132))+'Pre-allocation of NH3 in power'!AH62*'Indirect NH3 demand sources'!AH$5</f>
        <v>0.12434285093298851</v>
      </c>
      <c r="AI62">
        <f>'Electricity shares'!AI62*'Indirect NH3 demand sources'!AI$5*(1-SUM('Pre-allocation of NH3 in power'!AI62:AI132))+'Pre-allocation of NH3 in power'!AI62*'Indirect NH3 demand sources'!AI$5</f>
        <v>0.13370523222890843</v>
      </c>
      <c r="AJ62">
        <f>'Electricity shares'!AJ62*'Indirect NH3 demand sources'!AJ$5*(1-SUM('Pre-allocation of NH3 in power'!AJ62:AJ132))+'Pre-allocation of NH3 in power'!AJ62*'Indirect NH3 demand sources'!AJ$5</f>
        <v>0.14323769389267774</v>
      </c>
      <c r="AK62">
        <f>'Electricity shares'!AK62*'Indirect NH3 demand sources'!AK$5*(1-SUM('Pre-allocation of NH3 in power'!AK62:AK132))+'Pre-allocation of NH3 in power'!AK62*'Indirect NH3 demand sources'!AK$5</f>
        <v>0.15290599375165392</v>
      </c>
      <c r="AL62">
        <f>'Electricity shares'!AL62*'Indirect NH3 demand sources'!AL$5*(1-SUM('Pre-allocation of NH3 in power'!AL62:AL132))+'Pre-allocation of NH3 in power'!AL62*'Indirect NH3 demand sources'!AL$5</f>
        <v>0.16269460894414958</v>
      </c>
      <c r="AM62">
        <f>'Electricity shares'!AM62*'Indirect NH3 demand sources'!AM$5*(1-SUM('Pre-allocation of NH3 in power'!AM62:AM132))+'Pre-allocation of NH3 in power'!AM62*'Indirect NH3 demand sources'!AM$5</f>
        <v>0.17260615462920151</v>
      </c>
      <c r="AN62">
        <f>'Electricity shares'!AN62*'Indirect NH3 demand sources'!AN$5*(1-SUM('Pre-allocation of NH3 in power'!AN62:AN132))+'Pre-allocation of NH3 in power'!AN62*'Indirect NH3 demand sources'!AN$5</f>
        <v>0.18265136198195125</v>
      </c>
      <c r="AO62">
        <f>'Electricity shares'!AO62*'Indirect NH3 demand sources'!AO$5*(1-SUM('Pre-allocation of NH3 in power'!AO62:AO132))+'Pre-allocation of NH3 in power'!AO62*'Indirect NH3 demand sources'!AO$5</f>
        <v>0.19288876800699686</v>
      </c>
      <c r="AP62">
        <f>'Electricity shares'!AP62*'Indirect NH3 demand sources'!AP$5*(1-SUM('Pre-allocation of NH3 in power'!AP62:AP132))+'Pre-allocation of NH3 in power'!AP62*'Indirect NH3 demand sources'!AP$5</f>
        <v>0.20326327085125387</v>
      </c>
    </row>
    <row r="63" spans="1:42" x14ac:dyDescent="0.3">
      <c r="A63" t="s">
        <v>138</v>
      </c>
      <c r="B63">
        <f>'Electricity shares'!B63*'Indirect NH3 demand sources'!B$5*(1-SUM('Pre-allocation of NH3 in power'!B63:B133))+'Pre-allocation of NH3 in power'!B63*'Indirect NH3 demand sources'!B$5</f>
        <v>0</v>
      </c>
      <c r="C63">
        <f>'Electricity shares'!C63*'Indirect NH3 demand sources'!C$5*(1-SUM('Pre-allocation of NH3 in power'!C63:C133))+'Pre-allocation of NH3 in power'!C63*'Indirect NH3 demand sources'!C$5</f>
        <v>0</v>
      </c>
      <c r="D63">
        <f>'Electricity shares'!D63*'Indirect NH3 demand sources'!D$5*(1-SUM('Pre-allocation of NH3 in power'!D63:D133))+'Pre-allocation of NH3 in power'!D63*'Indirect NH3 demand sources'!D$5</f>
        <v>0</v>
      </c>
      <c r="E63">
        <f>'Electricity shares'!E63*'Indirect NH3 demand sources'!E$5*(1-SUM('Pre-allocation of NH3 in power'!E63:E133))+'Pre-allocation of NH3 in power'!E63*'Indirect NH3 demand sources'!E$5</f>
        <v>0</v>
      </c>
      <c r="F63">
        <f>'Electricity shares'!F63*'Indirect NH3 demand sources'!F$5*(1-SUM('Pre-allocation of NH3 in power'!F63:F133))+'Pre-allocation of NH3 in power'!F63*'Indirect NH3 demand sources'!F$5</f>
        <v>0</v>
      </c>
      <c r="G63">
        <f>'Electricity shares'!G63*'Indirect NH3 demand sources'!G$5*(1-SUM('Pre-allocation of NH3 in power'!G63:G133))+'Pre-allocation of NH3 in power'!G63*'Indirect NH3 demand sources'!G$5</f>
        <v>0</v>
      </c>
      <c r="H63">
        <f>'Electricity shares'!H63*'Indirect NH3 demand sources'!H$5*(1-SUM('Pre-allocation of NH3 in power'!H63:H133))+'Pre-allocation of NH3 in power'!H63*'Indirect NH3 demand sources'!H$5</f>
        <v>0</v>
      </c>
      <c r="I63">
        <f>'Electricity shares'!I63*'Indirect NH3 demand sources'!I$5*(1-SUM('Pre-allocation of NH3 in power'!I63:I133))+'Pre-allocation of NH3 in power'!I63*'Indirect NH3 demand sources'!I$5</f>
        <v>0</v>
      </c>
      <c r="J63">
        <f>'Electricity shares'!J63*'Indirect NH3 demand sources'!J$5*(1-SUM('Pre-allocation of NH3 in power'!J63:J133))+'Pre-allocation of NH3 in power'!J63*'Indirect NH3 demand sources'!J$5</f>
        <v>0</v>
      </c>
      <c r="K63">
        <f>'Electricity shares'!K63*'Indirect NH3 demand sources'!K$5*(1-SUM('Pre-allocation of NH3 in power'!K63:K133))+'Pre-allocation of NH3 in power'!K63*'Indirect NH3 demand sources'!K$5</f>
        <v>0</v>
      </c>
      <c r="L63">
        <f>'Electricity shares'!L63*'Indirect NH3 demand sources'!L$5*(1-SUM('Pre-allocation of NH3 in power'!L63:L133))+'Pre-allocation of NH3 in power'!L63*'Indirect NH3 demand sources'!L$5</f>
        <v>0</v>
      </c>
      <c r="M63">
        <f>'Electricity shares'!M63*'Indirect NH3 demand sources'!M$5*(1-SUM('Pre-allocation of NH3 in power'!M63:M133))+'Pre-allocation of NH3 in power'!M63*'Indirect NH3 demand sources'!M$5</f>
        <v>0</v>
      </c>
      <c r="N63">
        <f>'Electricity shares'!N63*'Indirect NH3 demand sources'!N$5*(1-SUM('Pre-allocation of NH3 in power'!N63:N133))+'Pre-allocation of NH3 in power'!N63*'Indirect NH3 demand sources'!N$5</f>
        <v>0</v>
      </c>
      <c r="O63">
        <f>'Electricity shares'!O63*'Indirect NH3 demand sources'!O$5*(1-SUM('Pre-allocation of NH3 in power'!O63:O133))+'Pre-allocation of NH3 in power'!O63*'Indirect NH3 demand sources'!O$5</f>
        <v>0</v>
      </c>
      <c r="P63">
        <f>'Electricity shares'!P63*'Indirect NH3 demand sources'!P$5*(1-SUM('Pre-allocation of NH3 in power'!P63:P133))+'Pre-allocation of NH3 in power'!P63*'Indirect NH3 demand sources'!P$5</f>
        <v>0</v>
      </c>
      <c r="Q63">
        <f>'Electricity shares'!Q63*'Indirect NH3 demand sources'!Q$5*(1-SUM('Pre-allocation of NH3 in power'!Q63:Q133))+'Pre-allocation of NH3 in power'!Q63*'Indirect NH3 demand sources'!Q$5</f>
        <v>0</v>
      </c>
      <c r="R63">
        <f>'Electricity shares'!R63*'Indirect NH3 demand sources'!R$5*(1-SUM('Pre-allocation of NH3 in power'!R63:R133))+'Pre-allocation of NH3 in power'!R63*'Indirect NH3 demand sources'!R$5</f>
        <v>1.5279190080451457E-3</v>
      </c>
      <c r="S63">
        <f>'Electricity shares'!S63*'Indirect NH3 demand sources'!S$5*(1-SUM('Pre-allocation of NH3 in power'!S63:S133))+'Pre-allocation of NH3 in power'!S63*'Indirect NH3 demand sources'!S$5</f>
        <v>3.0422657626328732E-3</v>
      </c>
      <c r="T63">
        <f>'Electricity shares'!T63*'Indirect NH3 demand sources'!T$5*(1-SUM('Pre-allocation of NH3 in power'!T63:T133))+'Pre-allocation of NH3 in power'!T63*'Indirect NH3 demand sources'!T$5</f>
        <v>4.5487040570438529E-3</v>
      </c>
      <c r="U63">
        <f>'Electricity shares'!U63*'Indirect NH3 demand sources'!U$5*(1-SUM('Pre-allocation of NH3 in power'!U63:U133))+'Pre-allocation of NH3 in power'!U63*'Indirect NH3 demand sources'!U$5</f>
        <v>6.0366485953309776E-3</v>
      </c>
      <c r="V63">
        <f>'Electricity shares'!V63*'Indirect NH3 demand sources'!V$5*(1-SUM('Pre-allocation of NH3 in power'!V63:V133))+'Pre-allocation of NH3 in power'!V63*'Indirect NH3 demand sources'!V$5</f>
        <v>7.5071407034109335E-3</v>
      </c>
      <c r="W63">
        <f>'Electricity shares'!W63*'Indirect NH3 demand sources'!W$5*(1-SUM('Pre-allocation of NH3 in power'!W63:W133))+'Pre-allocation of NH3 in power'!W63*'Indirect NH3 demand sources'!W$5</f>
        <v>1.1239401430547783E-2</v>
      </c>
      <c r="X63">
        <f>'Electricity shares'!X63*'Indirect NH3 demand sources'!X$5*(1-SUM('Pre-allocation of NH3 in power'!X63:X133))+'Pre-allocation of NH3 in power'!X63*'Indirect NH3 demand sources'!X$5</f>
        <v>1.4951924621706239E-2</v>
      </c>
      <c r="Y63">
        <f>'Electricity shares'!Y63*'Indirect NH3 demand sources'!Y$5*(1-SUM('Pre-allocation of NH3 in power'!Y63:Y133))+'Pre-allocation of NH3 in power'!Y63*'Indirect NH3 demand sources'!Y$5</f>
        <v>1.8641523314124293E-2</v>
      </c>
      <c r="Z63">
        <f>'Electricity shares'!Z63*'Indirect NH3 demand sources'!Z$5*(1-SUM('Pre-allocation of NH3 in power'!Z63:Z133))+'Pre-allocation of NH3 in power'!Z63*'Indirect NH3 demand sources'!Z$5</f>
        <v>2.2309758165972152E-2</v>
      </c>
      <c r="AA63">
        <f>'Electricity shares'!AA63*'Indirect NH3 demand sources'!AA$5*(1-SUM('Pre-allocation of NH3 in power'!AA63:AA133))+'Pre-allocation of NH3 in power'!AA63*'Indirect NH3 demand sources'!AA$5</f>
        <v>2.5953274367622924E-2</v>
      </c>
      <c r="AB63">
        <f>'Electricity shares'!AB63*'Indirect NH3 demand sources'!AB$5*(1-SUM('Pre-allocation of NH3 in power'!AB63:AB133))+'Pre-allocation of NH3 in power'!AB63*'Indirect NH3 demand sources'!AB$5</f>
        <v>2.9641718241907072E-2</v>
      </c>
      <c r="AC63">
        <f>'Electricity shares'!AC63*'Indirect NH3 demand sources'!AC$5*(1-SUM('Pre-allocation of NH3 in power'!AC63:AC133))+'Pre-allocation of NH3 in power'!AC63*'Indirect NH3 demand sources'!AC$5</f>
        <v>3.3323033564309219E-2</v>
      </c>
      <c r="AD63">
        <f>'Electricity shares'!AD63*'Indirect NH3 demand sources'!AD$5*(1-SUM('Pre-allocation of NH3 in power'!AD63:AD133))+'Pre-allocation of NH3 in power'!AD63*'Indirect NH3 demand sources'!AD$5</f>
        <v>3.6996979666823582E-2</v>
      </c>
      <c r="AE63">
        <f>'Electricity shares'!AE63*'Indirect NH3 demand sources'!AE$5*(1-SUM('Pre-allocation of NH3 in power'!AE63:AE133))+'Pre-allocation of NH3 in power'!AE63*'Indirect NH3 demand sources'!AE$5</f>
        <v>4.0664681330875328E-2</v>
      </c>
      <c r="AF63">
        <f>'Electricity shares'!AF63*'Indirect NH3 demand sources'!AF$5*(1-SUM('Pre-allocation of NH3 in power'!AF63:AF133))+'Pre-allocation of NH3 in power'!AF63*'Indirect NH3 demand sources'!AF$5</f>
        <v>4.4329872261674383E-2</v>
      </c>
      <c r="AG63">
        <f>'Electricity shares'!AG63*'Indirect NH3 demand sources'!AG$5*(1-SUM('Pre-allocation of NH3 in power'!AG63:AG133))+'Pre-allocation of NH3 in power'!AG63*'Indirect NH3 demand sources'!AG$5</f>
        <v>4.7252733492170768E-2</v>
      </c>
      <c r="AH63">
        <f>'Electricity shares'!AH63*'Indirect NH3 demand sources'!AH$5*(1-SUM('Pre-allocation of NH3 in power'!AH63:AH133))+'Pre-allocation of NH3 in power'!AH63*'Indirect NH3 demand sources'!AH$5</f>
        <v>5.0178987067241748E-2</v>
      </c>
      <c r="AI63">
        <f>'Electricity shares'!AI63*'Indirect NH3 demand sources'!AI$5*(1-SUM('Pre-allocation of NH3 in power'!AI63:AI133))+'Pre-allocation of NH3 in power'!AI63*'Indirect NH3 demand sources'!AI$5</f>
        <v>5.3104697182781026E-2</v>
      </c>
      <c r="AJ63">
        <f>'Electricity shares'!AJ63*'Indirect NH3 demand sources'!AJ$5*(1-SUM('Pre-allocation of NH3 in power'!AJ63:AJ133))+'Pre-allocation of NH3 in power'!AJ63*'Indirect NH3 demand sources'!AJ$5</f>
        <v>5.6023567302923453E-2</v>
      </c>
      <c r="AK63">
        <f>'Electricity shares'!AK63*'Indirect NH3 demand sources'!AK$5*(1-SUM('Pre-allocation of NH3 in power'!AK63:AK133))+'Pre-allocation of NH3 in power'!AK63*'Indirect NH3 demand sources'!AK$5</f>
        <v>5.8946986599090201E-2</v>
      </c>
      <c r="AL63">
        <f>'Electricity shares'!AL63*'Indirect NH3 demand sources'!AL$5*(1-SUM('Pre-allocation of NH3 in power'!AL63:AL133))+'Pre-allocation of NH3 in power'!AL63*'Indirect NH3 demand sources'!AL$5</f>
        <v>6.1874730868601936E-2</v>
      </c>
      <c r="AM63">
        <f>'Electricity shares'!AM63*'Indirect NH3 demand sources'!AM$5*(1-SUM('Pre-allocation of NH3 in power'!AM63:AM133))+'Pre-allocation of NH3 in power'!AM63*'Indirect NH3 demand sources'!AM$5</f>
        <v>6.479548271182016E-2</v>
      </c>
      <c r="AN63">
        <f>'Electricity shares'!AN63*'Indirect NH3 demand sources'!AN$5*(1-SUM('Pre-allocation of NH3 in power'!AN63:AN133))+'Pre-allocation of NH3 in power'!AN63*'Indirect NH3 demand sources'!AN$5</f>
        <v>6.7723810387204139E-2</v>
      </c>
      <c r="AO63">
        <f>'Electricity shares'!AO63*'Indirect NH3 demand sources'!AO$5*(1-SUM('Pre-allocation of NH3 in power'!AO63:AO133))+'Pre-allocation of NH3 in power'!AO63*'Indirect NH3 demand sources'!AO$5</f>
        <v>7.0671009912509214E-2</v>
      </c>
      <c r="AP63">
        <f>'Electricity shares'!AP63*'Indirect NH3 demand sources'!AP$5*(1-SUM('Pre-allocation of NH3 in power'!AP63:AP133))+'Pre-allocation of NH3 in power'!AP63*'Indirect NH3 demand sources'!AP$5</f>
        <v>7.3639699931989502E-2</v>
      </c>
    </row>
    <row r="64" spans="1:42" x14ac:dyDescent="0.3">
      <c r="A64" t="s">
        <v>139</v>
      </c>
      <c r="B64">
        <f>'Electricity shares'!B64*'Indirect NH3 demand sources'!B$5*(1-SUM('Pre-allocation of NH3 in power'!B64:B134))+'Pre-allocation of NH3 in power'!B64*'Indirect NH3 demand sources'!B$5</f>
        <v>0</v>
      </c>
      <c r="C64">
        <f>'Electricity shares'!C64*'Indirect NH3 demand sources'!C$5*(1-SUM('Pre-allocation of NH3 in power'!C64:C134))+'Pre-allocation of NH3 in power'!C64*'Indirect NH3 demand sources'!C$5</f>
        <v>0</v>
      </c>
      <c r="D64">
        <f>'Electricity shares'!D64*'Indirect NH3 demand sources'!D$5*(1-SUM('Pre-allocation of NH3 in power'!D64:D134))+'Pre-allocation of NH3 in power'!D64*'Indirect NH3 demand sources'!D$5</f>
        <v>0</v>
      </c>
      <c r="E64">
        <f>'Electricity shares'!E64*'Indirect NH3 demand sources'!E$5*(1-SUM('Pre-allocation of NH3 in power'!E64:E134))+'Pre-allocation of NH3 in power'!E64*'Indirect NH3 demand sources'!E$5</f>
        <v>0</v>
      </c>
      <c r="F64">
        <f>'Electricity shares'!F64*'Indirect NH3 demand sources'!F$5*(1-SUM('Pre-allocation of NH3 in power'!F64:F134))+'Pre-allocation of NH3 in power'!F64*'Indirect NH3 demand sources'!F$5</f>
        <v>0</v>
      </c>
      <c r="G64">
        <f>'Electricity shares'!G64*'Indirect NH3 demand sources'!G$5*(1-SUM('Pre-allocation of NH3 in power'!G64:G134))+'Pre-allocation of NH3 in power'!G64*'Indirect NH3 demand sources'!G$5</f>
        <v>0</v>
      </c>
      <c r="H64">
        <f>'Electricity shares'!H64*'Indirect NH3 demand sources'!H$5*(1-SUM('Pre-allocation of NH3 in power'!H64:H134))+'Pre-allocation of NH3 in power'!H64*'Indirect NH3 demand sources'!H$5</f>
        <v>0</v>
      </c>
      <c r="I64">
        <f>'Electricity shares'!I64*'Indirect NH3 demand sources'!I$5*(1-SUM('Pre-allocation of NH3 in power'!I64:I134))+'Pre-allocation of NH3 in power'!I64*'Indirect NH3 demand sources'!I$5</f>
        <v>0</v>
      </c>
      <c r="J64">
        <f>'Electricity shares'!J64*'Indirect NH3 demand sources'!J$5*(1-SUM('Pre-allocation of NH3 in power'!J64:J134))+'Pre-allocation of NH3 in power'!J64*'Indirect NH3 demand sources'!J$5</f>
        <v>0</v>
      </c>
      <c r="K64">
        <f>'Electricity shares'!K64*'Indirect NH3 demand sources'!K$5*(1-SUM('Pre-allocation of NH3 in power'!K64:K134))+'Pre-allocation of NH3 in power'!K64*'Indirect NH3 demand sources'!K$5</f>
        <v>0</v>
      </c>
      <c r="L64">
        <f>'Electricity shares'!L64*'Indirect NH3 demand sources'!L$5*(1-SUM('Pre-allocation of NH3 in power'!L64:L134))+'Pre-allocation of NH3 in power'!L64*'Indirect NH3 demand sources'!L$5</f>
        <v>0</v>
      </c>
      <c r="M64">
        <f>'Electricity shares'!M64*'Indirect NH3 demand sources'!M$5*(1-SUM('Pre-allocation of NH3 in power'!M64:M134))+'Pre-allocation of NH3 in power'!M64*'Indirect NH3 demand sources'!M$5</f>
        <v>0</v>
      </c>
      <c r="N64">
        <f>'Electricity shares'!N64*'Indirect NH3 demand sources'!N$5*(1-SUM('Pre-allocation of NH3 in power'!N64:N134))+'Pre-allocation of NH3 in power'!N64*'Indirect NH3 demand sources'!N$5</f>
        <v>0</v>
      </c>
      <c r="O64">
        <f>'Electricity shares'!O64*'Indirect NH3 demand sources'!O$5*(1-SUM('Pre-allocation of NH3 in power'!O64:O134))+'Pre-allocation of NH3 in power'!O64*'Indirect NH3 demand sources'!O$5</f>
        <v>0</v>
      </c>
      <c r="P64">
        <f>'Electricity shares'!P64*'Indirect NH3 demand sources'!P$5*(1-SUM('Pre-allocation of NH3 in power'!P64:P134))+'Pre-allocation of NH3 in power'!P64*'Indirect NH3 demand sources'!P$5</f>
        <v>0</v>
      </c>
      <c r="Q64">
        <f>'Electricity shares'!Q64*'Indirect NH3 demand sources'!Q$5*(1-SUM('Pre-allocation of NH3 in power'!Q64:Q134))+'Pre-allocation of NH3 in power'!Q64*'Indirect NH3 demand sources'!Q$5</f>
        <v>0</v>
      </c>
      <c r="R64">
        <f>'Electricity shares'!R64*'Indirect NH3 demand sources'!R$5*(1-SUM('Pre-allocation of NH3 in power'!R64:R134))+'Pre-allocation of NH3 in power'!R64*'Indirect NH3 demand sources'!R$5</f>
        <v>1.102861458244549E-3</v>
      </c>
      <c r="S64">
        <f>'Electricity shares'!S64*'Indirect NH3 demand sources'!S$5*(1-SUM('Pre-allocation of NH3 in power'!S64:S134))+'Pre-allocation of NH3 in power'!S64*'Indirect NH3 demand sources'!S$5</f>
        <v>2.235347549890103E-3</v>
      </c>
      <c r="T64">
        <f>'Electricity shares'!T64*'Indirect NH3 demand sources'!T$5*(1-SUM('Pre-allocation of NH3 in power'!T64:T134))+'Pre-allocation of NH3 in power'!T64*'Indirect NH3 demand sources'!T$5</f>
        <v>3.4014468477566511E-3</v>
      </c>
      <c r="U64">
        <f>'Electricity shares'!U64*'Indirect NH3 demand sources'!U$5*(1-SUM('Pre-allocation of NH3 in power'!U64:U134))+'Pre-allocation of NH3 in power'!U64*'Indirect NH3 demand sources'!U$5</f>
        <v>4.6050851925046416E-3</v>
      </c>
      <c r="V64">
        <f>'Electricity shares'!V64*'Indirect NH3 demand sources'!V$5*(1-SUM('Pre-allocation of NH3 in power'!V64:V134))+'Pre-allocation of NH3 in power'!V64*'Indirect NH3 demand sources'!V$5</f>
        <v>5.8525244583249999E-3</v>
      </c>
      <c r="W64">
        <f>'Electricity shares'!W64*'Indirect NH3 demand sources'!W$5*(1-SUM('Pre-allocation of NH3 in power'!W64:W134))+'Pre-allocation of NH3 in power'!W64*'Indirect NH3 demand sources'!W$5</f>
        <v>8.9584348330816344E-3</v>
      </c>
      <c r="X64">
        <f>'Electricity shares'!X64*'Indirect NH3 demand sources'!X$5*(1-SUM('Pre-allocation of NH3 in power'!X64:X134))+'Pre-allocation of NH3 in power'!X64*'Indirect NH3 demand sources'!X$5</f>
        <v>1.2196043340182676E-2</v>
      </c>
      <c r="Y64">
        <f>'Electricity shares'!Y64*'Indirect NH3 demand sources'!Y$5*(1-SUM('Pre-allocation of NH3 in power'!Y64:Y134))+'Pre-allocation of NH3 in power'!Y64*'Indirect NH3 demand sources'!Y$5</f>
        <v>1.556966415833338E-2</v>
      </c>
      <c r="Z64">
        <f>'Electricity shares'!Z64*'Indirect NH3 demand sources'!Z$5*(1-SUM('Pre-allocation of NH3 in power'!Z64:Z134))+'Pre-allocation of NH3 in power'!Z64*'Indirect NH3 demand sources'!Z$5</f>
        <v>1.9090383586789453E-2</v>
      </c>
      <c r="AA64">
        <f>'Electricity shares'!AA64*'Indirect NH3 demand sources'!AA$5*(1-SUM('Pre-allocation of NH3 in power'!AA64:AA134))+'Pre-allocation of NH3 in power'!AA64*'Indirect NH3 demand sources'!AA$5</f>
        <v>2.2762841036720608E-2</v>
      </c>
      <c r="AB64">
        <f>'Electricity shares'!AB64*'Indirect NH3 demand sources'!AB$5*(1-SUM('Pre-allocation of NH3 in power'!AB64:AB134))+'Pre-allocation of NH3 in power'!AB64*'Indirect NH3 demand sources'!AB$5</f>
        <v>2.6635323588536548E-2</v>
      </c>
      <c r="AC64">
        <f>'Electricity shares'!AC64*'Indirect NH3 demand sources'!AC$5*(1-SUM('Pre-allocation of NH3 in power'!AC64:AC134))+'Pre-allocation of NH3 in power'!AC64*'Indirect NH3 demand sources'!AC$5</f>
        <v>3.0689277349337216E-2</v>
      </c>
      <c r="AD64">
        <f>'Electricity shares'!AD64*'Indirect NH3 demand sources'!AD$5*(1-SUM('Pre-allocation of NH3 in power'!AD64:AD134))+'Pre-allocation of NH3 in power'!AD64*'Indirect NH3 demand sources'!AD$5</f>
        <v>3.4931023830799011E-2</v>
      </c>
      <c r="AE64">
        <f>'Electricity shares'!AE64*'Indirect NH3 demand sources'!AE$5*(1-SUM('Pre-allocation of NH3 in power'!AE64:AE134))+'Pre-allocation of NH3 in power'!AE64*'Indirect NH3 demand sources'!AE$5</f>
        <v>3.936868170345223E-2</v>
      </c>
      <c r="AF64">
        <f>'Electricity shares'!AF64*'Indirect NH3 demand sources'!AF$5*(1-SUM('Pre-allocation of NH3 in power'!AF64:AF134))+'Pre-allocation of NH3 in power'!AF64*'Indirect NH3 demand sources'!AF$5</f>
        <v>4.400097410718741E-2</v>
      </c>
      <c r="AG64">
        <f>'Electricity shares'!AG64*'Indirect NH3 demand sources'!AG$5*(1-SUM('Pre-allocation of NH3 in power'!AG64:AG134))+'Pre-allocation of NH3 in power'!AG64*'Indirect NH3 demand sources'!AG$5</f>
        <v>4.8075049850692629E-2</v>
      </c>
      <c r="AH64">
        <f>'Electricity shares'!AH64*'Indirect NH3 demand sources'!AH$5*(1-SUM('Pre-allocation of NH3 in power'!AH64:AH134))+'Pre-allocation of NH3 in power'!AH64*'Indirect NH3 demand sources'!AH$5</f>
        <v>5.232030108343718E-2</v>
      </c>
      <c r="AI64">
        <f>'Electricity shares'!AI64*'Indirect NH3 demand sources'!AI$5*(1-SUM('Pre-allocation of NH3 in power'!AI64:AI134))+'Pre-allocation of NH3 in power'!AI64*'Indirect NH3 demand sources'!AI$5</f>
        <v>5.6732113640604293E-2</v>
      </c>
      <c r="AJ64">
        <f>'Electricity shares'!AJ64*'Indirect NH3 demand sources'!AJ$5*(1-SUM('Pre-allocation of NH3 in power'!AJ64:AJ134))+'Pre-allocation of NH3 in power'!AJ64*'Indirect NH3 demand sources'!AJ$5</f>
        <v>6.1297476197154699E-2</v>
      </c>
      <c r="AK64">
        <f>'Electricity shares'!AK64*'Indirect NH3 demand sources'!AK$5*(1-SUM('Pre-allocation of NH3 in power'!AK64:AK134))+'Pre-allocation of NH3 in power'!AK64*'Indirect NH3 demand sources'!AK$5</f>
        <v>6.6034514240608619E-2</v>
      </c>
      <c r="AL64">
        <f>'Electricity shares'!AL64*'Indirect NH3 demand sources'!AL$5*(1-SUM('Pre-allocation of NH3 in power'!AL64:AL134))+'Pre-allocation of NH3 in power'!AL64*'Indirect NH3 demand sources'!AL$5</f>
        <v>7.0925865724903503E-2</v>
      </c>
      <c r="AM64">
        <f>'Electricity shares'!AM64*'Indirect NH3 demand sources'!AM$5*(1-SUM('Pre-allocation of NH3 in power'!AM64:AM134))+'Pre-allocation of NH3 in power'!AM64*'Indirect NH3 demand sources'!AM$5</f>
        <v>7.5942142995511233E-2</v>
      </c>
      <c r="AN64">
        <f>'Electricity shares'!AN64*'Indirect NH3 demand sources'!AN$5*(1-SUM('Pre-allocation of NH3 in power'!AN64:AN134))+'Pre-allocation of NH3 in power'!AN64*'Indirect NH3 demand sources'!AN$5</f>
        <v>8.1119603224787687E-2</v>
      </c>
      <c r="AO64">
        <f>'Electricity shares'!AO64*'Indirect NH3 demand sources'!AO$5*(1-SUM('Pre-allocation of NH3 in power'!AO64:AO134))+'Pre-allocation of NH3 in power'!AO64*'Indirect NH3 demand sources'!AO$5</f>
        <v>8.6440143409687392E-2</v>
      </c>
      <c r="AP64">
        <f>'Electricity shares'!AP64*'Indirect NH3 demand sources'!AP$5*(1-SUM('Pre-allocation of NH3 in power'!AP64:AP134))+'Pre-allocation of NH3 in power'!AP64*'Indirect NH3 demand sources'!AP$5</f>
        <v>9.191983754214636E-2</v>
      </c>
    </row>
    <row r="65" spans="1:42" x14ac:dyDescent="0.3">
      <c r="A65" t="s">
        <v>140</v>
      </c>
      <c r="B65">
        <f>'Electricity shares'!B65*'Indirect NH3 demand sources'!B$5*(1-SUM('Pre-allocation of NH3 in power'!B65:B135))+'Pre-allocation of NH3 in power'!B65*'Indirect NH3 demand sources'!B$5</f>
        <v>0</v>
      </c>
      <c r="C65">
        <f>'Electricity shares'!C65*'Indirect NH3 demand sources'!C$5*(1-SUM('Pre-allocation of NH3 in power'!C65:C135))+'Pre-allocation of NH3 in power'!C65*'Indirect NH3 demand sources'!C$5</f>
        <v>0</v>
      </c>
      <c r="D65">
        <f>'Electricity shares'!D65*'Indirect NH3 demand sources'!D$5*(1-SUM('Pre-allocation of NH3 in power'!D65:D135))+'Pre-allocation of NH3 in power'!D65*'Indirect NH3 demand sources'!D$5</f>
        <v>0</v>
      </c>
      <c r="E65">
        <f>'Electricity shares'!E65*'Indirect NH3 demand sources'!E$5*(1-SUM('Pre-allocation of NH3 in power'!E65:E135))+'Pre-allocation of NH3 in power'!E65*'Indirect NH3 demand sources'!E$5</f>
        <v>0</v>
      </c>
      <c r="F65">
        <f>'Electricity shares'!F65*'Indirect NH3 demand sources'!F$5*(1-SUM('Pre-allocation of NH3 in power'!F65:F135))+'Pre-allocation of NH3 in power'!F65*'Indirect NH3 demand sources'!F$5</f>
        <v>0</v>
      </c>
      <c r="G65">
        <f>'Electricity shares'!G65*'Indirect NH3 demand sources'!G$5*(1-SUM('Pre-allocation of NH3 in power'!G65:G135))+'Pre-allocation of NH3 in power'!G65*'Indirect NH3 demand sources'!G$5</f>
        <v>0</v>
      </c>
      <c r="H65">
        <f>'Electricity shares'!H65*'Indirect NH3 demand sources'!H$5*(1-SUM('Pre-allocation of NH3 in power'!H65:H135))+'Pre-allocation of NH3 in power'!H65*'Indirect NH3 demand sources'!H$5</f>
        <v>0</v>
      </c>
      <c r="I65">
        <f>'Electricity shares'!I65*'Indirect NH3 demand sources'!I$5*(1-SUM('Pre-allocation of NH3 in power'!I65:I135))+'Pre-allocation of NH3 in power'!I65*'Indirect NH3 demand sources'!I$5</f>
        <v>0</v>
      </c>
      <c r="J65">
        <f>'Electricity shares'!J65*'Indirect NH3 demand sources'!J$5*(1-SUM('Pre-allocation of NH3 in power'!J65:J135))+'Pre-allocation of NH3 in power'!J65*'Indirect NH3 demand sources'!J$5</f>
        <v>0</v>
      </c>
      <c r="K65">
        <f>'Electricity shares'!K65*'Indirect NH3 demand sources'!K$5*(1-SUM('Pre-allocation of NH3 in power'!K65:K135))+'Pre-allocation of NH3 in power'!K65*'Indirect NH3 demand sources'!K$5</f>
        <v>0</v>
      </c>
      <c r="L65">
        <f>'Electricity shares'!L65*'Indirect NH3 demand sources'!L$5*(1-SUM('Pre-allocation of NH3 in power'!L65:L135))+'Pre-allocation of NH3 in power'!L65*'Indirect NH3 demand sources'!L$5</f>
        <v>0</v>
      </c>
      <c r="M65">
        <f>'Electricity shares'!M65*'Indirect NH3 demand sources'!M$5*(1-SUM('Pre-allocation of NH3 in power'!M65:M135))+'Pre-allocation of NH3 in power'!M65*'Indirect NH3 demand sources'!M$5</f>
        <v>0</v>
      </c>
      <c r="N65">
        <f>'Electricity shares'!N65*'Indirect NH3 demand sources'!N$5*(1-SUM('Pre-allocation of NH3 in power'!N65:N135))+'Pre-allocation of NH3 in power'!N65*'Indirect NH3 demand sources'!N$5</f>
        <v>0</v>
      </c>
      <c r="O65">
        <f>'Electricity shares'!O65*'Indirect NH3 demand sources'!O$5*(1-SUM('Pre-allocation of NH3 in power'!O65:O135))+'Pre-allocation of NH3 in power'!O65*'Indirect NH3 demand sources'!O$5</f>
        <v>0</v>
      </c>
      <c r="P65">
        <f>'Electricity shares'!P65*'Indirect NH3 demand sources'!P$5*(1-SUM('Pre-allocation of NH3 in power'!P65:P135))+'Pre-allocation of NH3 in power'!P65*'Indirect NH3 demand sources'!P$5</f>
        <v>0</v>
      </c>
      <c r="Q65">
        <f>'Electricity shares'!Q65*'Indirect NH3 demand sources'!Q$5*(1-SUM('Pre-allocation of NH3 in power'!Q65:Q135))+'Pre-allocation of NH3 in power'!Q65*'Indirect NH3 demand sources'!Q$5</f>
        <v>0</v>
      </c>
      <c r="R65">
        <f>'Electricity shares'!R65*'Indirect NH3 demand sources'!R$5*(1-SUM('Pre-allocation of NH3 in power'!R65:R135))+'Pre-allocation of NH3 in power'!R65*'Indirect NH3 demand sources'!R$5</f>
        <v>1.4318330973761014E-4</v>
      </c>
      <c r="S65">
        <f>'Electricity shares'!S65*'Indirect NH3 demand sources'!S$5*(1-SUM('Pre-allocation of NH3 in power'!S65:S135))+'Pre-allocation of NH3 in power'!S65*'Indirect NH3 demand sources'!S$5</f>
        <v>2.8855330712054795E-4</v>
      </c>
      <c r="T65">
        <f>'Electricity shares'!T65*'Indirect NH3 demand sources'!T$5*(1-SUM('Pre-allocation of NH3 in power'!T65:T135))+'Pre-allocation of NH3 in power'!T65*'Indirect NH3 demand sources'!T$5</f>
        <v>4.3594390844384386E-4</v>
      </c>
      <c r="U65">
        <f>'Electricity shares'!U65*'Indirect NH3 demand sources'!U$5*(1-SUM('Pre-allocation of NH3 in power'!U65:U135))+'Pre-allocation of NH3 in power'!U65*'Indirect NH3 demand sources'!U$5</f>
        <v>5.8536016336557665E-4</v>
      </c>
      <c r="V65">
        <f>'Electricity shares'!V65*'Indirect NH3 demand sources'!V$5*(1-SUM('Pre-allocation of NH3 in power'!V65:V135))+'Pre-allocation of NH3 in power'!V65*'Indirect NH3 demand sources'!V$5</f>
        <v>7.3726838731674911E-4</v>
      </c>
      <c r="W65">
        <f>'Electricity shares'!W65*'Indirect NH3 demand sources'!W$5*(1-SUM('Pre-allocation of NH3 in power'!W65:W135))+'Pre-allocation of NH3 in power'!W65*'Indirect NH3 demand sources'!W$5</f>
        <v>1.1191407989973126E-3</v>
      </c>
      <c r="X65">
        <f>'Electricity shares'!X65*'Indirect NH3 demand sources'!X$5*(1-SUM('Pre-allocation of NH3 in power'!X65:X135))+'Pre-allocation of NH3 in power'!X65*'Indirect NH3 demand sources'!X$5</f>
        <v>1.5103990875151643E-3</v>
      </c>
      <c r="Y65">
        <f>'Electricity shares'!Y65*'Indirect NH3 demand sources'!Y$5*(1-SUM('Pre-allocation of NH3 in power'!Y65:Y135))+'Pre-allocation of NH3 in power'!Y65*'Indirect NH3 demand sources'!Y$5</f>
        <v>1.9114442602527711E-3</v>
      </c>
      <c r="Z65">
        <f>'Electricity shares'!Z65*'Indirect NH3 demand sources'!Z$5*(1-SUM('Pre-allocation of NH3 in power'!Z65:Z135))+'Pre-allocation of NH3 in power'!Z65*'Indirect NH3 demand sources'!Z$5</f>
        <v>2.3226046604118539E-3</v>
      </c>
      <c r="AA65">
        <f>'Electricity shares'!AA65*'Indirect NH3 demand sources'!AA$5*(1-SUM('Pre-allocation of NH3 in power'!AA65:AA135))+'Pre-allocation of NH3 in power'!AA65*'Indirect NH3 demand sources'!AA$5</f>
        <v>2.7445371600447418E-3</v>
      </c>
      <c r="AB65">
        <f>'Electricity shares'!AB65*'Indirect NH3 demand sources'!AB$5*(1-SUM('Pre-allocation of NH3 in power'!AB65:AB135))+'Pre-allocation of NH3 in power'!AB65*'Indirect NH3 demand sources'!AB$5</f>
        <v>3.1842292699570765E-3</v>
      </c>
      <c r="AC65">
        <f>'Electricity shares'!AC65*'Indirect NH3 demand sources'!AC$5*(1-SUM('Pre-allocation of NH3 in power'!AC65:AC135))+'Pre-allocation of NH3 in power'!AC65*'Indirect NH3 demand sources'!AC$5</f>
        <v>3.6377667589079475E-3</v>
      </c>
      <c r="AD65">
        <f>'Electricity shares'!AD65*'Indirect NH3 demand sources'!AD$5*(1-SUM('Pre-allocation of NH3 in power'!AD65:AD135))+'Pre-allocation of NH3 in power'!AD65*'Indirect NH3 demand sources'!AD$5</f>
        <v>4.1057052717135833E-3</v>
      </c>
      <c r="AE65">
        <f>'Electricity shares'!AE65*'Indirect NH3 demand sources'!AE$5*(1-SUM('Pre-allocation of NH3 in power'!AE65:AE135))+'Pre-allocation of NH3 in power'!AE65*'Indirect NH3 demand sources'!AE$5</f>
        <v>4.5889954393684099E-3</v>
      </c>
      <c r="AF65">
        <f>'Electricity shares'!AF65*'Indirect NH3 demand sources'!AF$5*(1-SUM('Pre-allocation of NH3 in power'!AF65:AF135))+'Pre-allocation of NH3 in power'!AF65*'Indirect NH3 demand sources'!AF$5</f>
        <v>5.0877812692241313E-3</v>
      </c>
      <c r="AG65">
        <f>'Electricity shares'!AG65*'Indirect NH3 demand sources'!AG$5*(1-SUM('Pre-allocation of NH3 in power'!AG65:AG135))+'Pre-allocation of NH3 in power'!AG65*'Indirect NH3 demand sources'!AG$5</f>
        <v>5.5163107745305447E-3</v>
      </c>
      <c r="AH65">
        <f>'Electricity shares'!AH65*'Indirect NH3 demand sources'!AH$5*(1-SUM('Pre-allocation of NH3 in power'!AH65:AH135))+'Pre-allocation of NH3 in power'!AH65*'Indirect NH3 demand sources'!AH$5</f>
        <v>5.9597260536352501E-3</v>
      </c>
      <c r="AI65">
        <f>'Electricity shares'!AI65*'Indirect NH3 demand sources'!AI$5*(1-SUM('Pre-allocation of NH3 in power'!AI65:AI135))+'Pre-allocation of NH3 in power'!AI65*'Indirect NH3 demand sources'!AI$5</f>
        <v>6.4178496557370582E-3</v>
      </c>
      <c r="AJ65">
        <f>'Electricity shares'!AJ65*'Indirect NH3 demand sources'!AJ$5*(1-SUM('Pre-allocation of NH3 in power'!AJ65:AJ135))+'Pre-allocation of NH3 in power'!AJ65*'Indirect NH3 demand sources'!AJ$5</f>
        <v>6.8911345435166129E-3</v>
      </c>
      <c r="AK65">
        <f>'Electricity shares'!AK65*'Indirect NH3 demand sources'!AK$5*(1-SUM('Pre-allocation of NH3 in power'!AK65:AK135))+'Pre-allocation of NH3 in power'!AK65*'Indirect NH3 demand sources'!AK$5</f>
        <v>7.3819511225528024E-3</v>
      </c>
      <c r="AL65">
        <f>'Electricity shares'!AL65*'Indirect NH3 demand sources'!AL$5*(1-SUM('Pre-allocation of NH3 in power'!AL65:AL135))+'Pre-allocation of NH3 in power'!AL65*'Indirect NH3 demand sources'!AL$5</f>
        <v>7.8862893146309319E-3</v>
      </c>
      <c r="AM65">
        <f>'Electricity shares'!AM65*'Indirect NH3 demand sources'!AM$5*(1-SUM('Pre-allocation of NH3 in power'!AM65:AM135))+'Pre-allocation of NH3 in power'!AM65*'Indirect NH3 demand sources'!AM$5</f>
        <v>8.4032203399435346E-3</v>
      </c>
      <c r="AN65">
        <f>'Electricity shares'!AN65*'Indirect NH3 demand sources'!AN$5*(1-SUM('Pre-allocation of NH3 in power'!AN65:AN135))+'Pre-allocation of NH3 in power'!AN65*'Indirect NH3 demand sources'!AN$5</f>
        <v>8.9360565366481143E-3</v>
      </c>
      <c r="AO65">
        <f>'Electricity shares'!AO65*'Indirect NH3 demand sources'!AO$5*(1-SUM('Pre-allocation of NH3 in power'!AO65:AO135))+'Pre-allocation of NH3 in power'!AO65*'Indirect NH3 demand sources'!AO$5</f>
        <v>9.4835854880444149E-3</v>
      </c>
      <c r="AP65">
        <f>'Electricity shares'!AP65*'Indirect NH3 demand sources'!AP$5*(1-SUM('Pre-allocation of NH3 in power'!AP65:AP135))+'Pre-allocation of NH3 in power'!AP65*'Indirect NH3 demand sources'!AP$5</f>
        <v>1.0047109380728746E-2</v>
      </c>
    </row>
    <row r="66" spans="1:42" x14ac:dyDescent="0.3">
      <c r="A66" t="s">
        <v>141</v>
      </c>
      <c r="B66">
        <f>'Electricity shares'!B66*'Indirect NH3 demand sources'!B$5*(1-SUM('Pre-allocation of NH3 in power'!B66:B136))+'Pre-allocation of NH3 in power'!B66*'Indirect NH3 demand sources'!B$5</f>
        <v>0</v>
      </c>
      <c r="C66">
        <f>'Electricity shares'!C66*'Indirect NH3 demand sources'!C$5*(1-SUM('Pre-allocation of NH3 in power'!C66:C136))+'Pre-allocation of NH3 in power'!C66*'Indirect NH3 demand sources'!C$5</f>
        <v>0</v>
      </c>
      <c r="D66">
        <f>'Electricity shares'!D66*'Indirect NH3 demand sources'!D$5*(1-SUM('Pre-allocation of NH3 in power'!D66:D136))+'Pre-allocation of NH3 in power'!D66*'Indirect NH3 demand sources'!D$5</f>
        <v>0</v>
      </c>
      <c r="E66">
        <f>'Electricity shares'!E66*'Indirect NH3 demand sources'!E$5*(1-SUM('Pre-allocation of NH3 in power'!E66:E136))+'Pre-allocation of NH3 in power'!E66*'Indirect NH3 demand sources'!E$5</f>
        <v>0</v>
      </c>
      <c r="F66">
        <f>'Electricity shares'!F66*'Indirect NH3 demand sources'!F$5*(1-SUM('Pre-allocation of NH3 in power'!F66:F136))+'Pre-allocation of NH3 in power'!F66*'Indirect NH3 demand sources'!F$5</f>
        <v>0</v>
      </c>
      <c r="G66">
        <f>'Electricity shares'!G66*'Indirect NH3 demand sources'!G$5*(1-SUM('Pre-allocation of NH3 in power'!G66:G136))+'Pre-allocation of NH3 in power'!G66*'Indirect NH3 demand sources'!G$5</f>
        <v>0</v>
      </c>
      <c r="H66">
        <f>'Electricity shares'!H66*'Indirect NH3 demand sources'!H$5*(1-SUM('Pre-allocation of NH3 in power'!H66:H136))+'Pre-allocation of NH3 in power'!H66*'Indirect NH3 demand sources'!H$5</f>
        <v>0</v>
      </c>
      <c r="I66">
        <f>'Electricity shares'!I66*'Indirect NH3 demand sources'!I$5*(1-SUM('Pre-allocation of NH3 in power'!I66:I136))+'Pre-allocation of NH3 in power'!I66*'Indirect NH3 demand sources'!I$5</f>
        <v>0</v>
      </c>
      <c r="J66">
        <f>'Electricity shares'!J66*'Indirect NH3 demand sources'!J$5*(1-SUM('Pre-allocation of NH3 in power'!J66:J136))+'Pre-allocation of NH3 in power'!J66*'Indirect NH3 demand sources'!J$5</f>
        <v>0</v>
      </c>
      <c r="K66">
        <f>'Electricity shares'!K66*'Indirect NH3 demand sources'!K$5*(1-SUM('Pre-allocation of NH3 in power'!K66:K136))+'Pre-allocation of NH3 in power'!K66*'Indirect NH3 demand sources'!K$5</f>
        <v>0</v>
      </c>
      <c r="L66">
        <f>'Electricity shares'!L66*'Indirect NH3 demand sources'!L$5*(1-SUM('Pre-allocation of NH3 in power'!L66:L136))+'Pre-allocation of NH3 in power'!L66*'Indirect NH3 demand sources'!L$5</f>
        <v>0</v>
      </c>
      <c r="M66">
        <f>'Electricity shares'!M66*'Indirect NH3 demand sources'!M$5*(1-SUM('Pre-allocation of NH3 in power'!M66:M136))+'Pre-allocation of NH3 in power'!M66*'Indirect NH3 demand sources'!M$5</f>
        <v>0</v>
      </c>
      <c r="N66">
        <f>'Electricity shares'!N66*'Indirect NH3 demand sources'!N$5*(1-SUM('Pre-allocation of NH3 in power'!N66:N136))+'Pre-allocation of NH3 in power'!N66*'Indirect NH3 demand sources'!N$5</f>
        <v>0</v>
      </c>
      <c r="O66">
        <f>'Electricity shares'!O66*'Indirect NH3 demand sources'!O$5*(1-SUM('Pre-allocation of NH3 in power'!O66:O136))+'Pre-allocation of NH3 in power'!O66*'Indirect NH3 demand sources'!O$5</f>
        <v>0</v>
      </c>
      <c r="P66">
        <f>'Electricity shares'!P66*'Indirect NH3 demand sources'!P$5*(1-SUM('Pre-allocation of NH3 in power'!P66:P136))+'Pre-allocation of NH3 in power'!P66*'Indirect NH3 demand sources'!P$5</f>
        <v>0</v>
      </c>
      <c r="Q66">
        <f>'Electricity shares'!Q66*'Indirect NH3 demand sources'!Q$5*(1-SUM('Pre-allocation of NH3 in power'!Q66:Q136))+'Pre-allocation of NH3 in power'!Q66*'Indirect NH3 demand sources'!Q$5</f>
        <v>0</v>
      </c>
      <c r="R66">
        <f>'Electricity shares'!R66*'Indirect NH3 demand sources'!R$5*(1-SUM('Pre-allocation of NH3 in power'!R66:R136))+'Pre-allocation of NH3 in power'!R66*'Indirect NH3 demand sources'!R$5</f>
        <v>7.4189468197412376E-4</v>
      </c>
      <c r="S66">
        <f>'Electricity shares'!S66*'Indirect NH3 demand sources'!S$5*(1-SUM('Pre-allocation of NH3 in power'!S66:S136))+'Pre-allocation of NH3 in power'!S66*'Indirect NH3 demand sources'!S$5</f>
        <v>1.4979326290247214E-3</v>
      </c>
      <c r="T66">
        <f>'Electricity shares'!T66*'Indirect NH3 demand sources'!T$5*(1-SUM('Pre-allocation of NH3 in power'!T66:T136))+'Pre-allocation of NH3 in power'!T66*'Indirect NH3 demand sources'!T$5</f>
        <v>2.2689288589542306E-3</v>
      </c>
      <c r="U66">
        <f>'Electricity shares'!U66*'Indirect NH3 demand sources'!U$5*(1-SUM('Pre-allocation of NH3 in power'!U66:U136))+'Pre-allocation of NH3 in power'!U66*'Indirect NH3 demand sources'!U$5</f>
        <v>3.0559357687877571E-3</v>
      </c>
      <c r="V66">
        <f>'Electricity shares'!V66*'Indirect NH3 demand sources'!V$5*(1-SUM('Pre-allocation of NH3 in power'!V66:V136))+'Pre-allocation of NH3 in power'!V66*'Indirect NH3 demand sources'!V$5</f>
        <v>3.8622263822937698E-3</v>
      </c>
      <c r="W66">
        <f>'Electricity shares'!W66*'Indirect NH3 demand sources'!W$5*(1-SUM('Pre-allocation of NH3 in power'!W66:W136))+'Pre-allocation of NH3 in power'!W66*'Indirect NH3 demand sources'!W$5</f>
        <v>5.8790332496060568E-3</v>
      </c>
      <c r="X66">
        <f>'Electricity shares'!X66*'Indirect NH3 demand sources'!X$5*(1-SUM('Pre-allocation of NH3 in power'!X66:X136))+'Pre-allocation of NH3 in power'!X66*'Indirect NH3 demand sources'!X$5</f>
        <v>7.9589400953548137E-3</v>
      </c>
      <c r="Y66">
        <f>'Electricity shares'!Y66*'Indirect NH3 demand sources'!Y$5*(1-SUM('Pre-allocation of NH3 in power'!Y66:Y136))+'Pre-allocation of NH3 in power'!Y66*'Indirect NH3 demand sources'!Y$5</f>
        <v>1.0106331091363954E-2</v>
      </c>
      <c r="Z66">
        <f>'Electricity shares'!Z66*'Indirect NH3 demand sources'!Z$5*(1-SUM('Pre-allocation of NH3 in power'!Z66:Z136))+'Pre-allocation of NH3 in power'!Z66*'Indirect NH3 demand sources'!Z$5</f>
        <v>1.2325032516721608E-2</v>
      </c>
      <c r="AA66">
        <f>'Electricity shares'!AA66*'Indirect NH3 demand sources'!AA$5*(1-SUM('Pre-allocation of NH3 in power'!AA66:AA136))+'Pre-allocation of NH3 in power'!AA66*'Indirect NH3 demand sources'!AA$5</f>
        <v>1.462072742289135E-2</v>
      </c>
      <c r="AB66">
        <f>'Electricity shares'!AB66*'Indirect NH3 demand sources'!AB$5*(1-SUM('Pre-allocation of NH3 in power'!AB66:AB136))+'Pre-allocation of NH3 in power'!AB66*'Indirect NH3 demand sources'!AB$5</f>
        <v>1.7022728419286298E-2</v>
      </c>
      <c r="AC66">
        <f>'Electricity shares'!AC66*'Indirect NH3 demand sources'!AC$5*(1-SUM('Pre-allocation of NH3 in power'!AC66:AC136))+'Pre-allocation of NH3 in power'!AC66*'Indirect NH3 demand sources'!AC$5</f>
        <v>1.9518988573095364E-2</v>
      </c>
      <c r="AD66">
        <f>'Electricity shares'!AD66*'Indirect NH3 demand sources'!AD$5*(1-SUM('Pre-allocation of NH3 in power'!AD66:AD136))+'Pre-allocation of NH3 in power'!AD66*'Indirect NH3 demand sources'!AD$5</f>
        <v>2.2113491396585361E-2</v>
      </c>
      <c r="AE66">
        <f>'Electricity shares'!AE66*'Indirect NH3 demand sources'!AE$5*(1-SUM('Pre-allocation of NH3 in power'!AE66:AE136))+'Pre-allocation of NH3 in power'!AE66*'Indirect NH3 demand sources'!AE$5</f>
        <v>2.4809964694547604E-2</v>
      </c>
      <c r="AF66">
        <f>'Electricity shares'!AF66*'Indirect NH3 demand sources'!AF$5*(1-SUM('Pre-allocation of NH3 in power'!AF66:AF136))+'Pre-allocation of NH3 in power'!AF66*'Indirect NH3 demand sources'!AF$5</f>
        <v>2.7612317010696569E-2</v>
      </c>
      <c r="AG66">
        <f>'Electricity shares'!AG66*'Indirect NH3 demand sources'!AG$5*(1-SUM('Pre-allocation of NH3 in power'!AG66:AG136))+'Pre-allocation of NH3 in power'!AG66*'Indirect NH3 demand sources'!AG$5</f>
        <v>3.0050245017797197E-2</v>
      </c>
      <c r="AH66">
        <f>'Electricity shares'!AH66*'Indirect NH3 demand sources'!AH$5*(1-SUM('Pre-allocation of NH3 in power'!AH66:AH136))+'Pre-allocation of NH3 in power'!AH66*'Indirect NH3 demand sources'!AH$5</f>
        <v>3.258281465912858E-2</v>
      </c>
      <c r="AI66">
        <f>'Electricity shares'!AI66*'Indirect NH3 demand sources'!AI$5*(1-SUM('Pre-allocation of NH3 in power'!AI66:AI136))+'Pre-allocation of NH3 in power'!AI66*'Indirect NH3 demand sources'!AI$5</f>
        <v>3.5210786536631199E-2</v>
      </c>
      <c r="AJ66">
        <f>'Electricity shares'!AJ66*'Indirect NH3 demand sources'!AJ$5*(1-SUM('Pre-allocation of NH3 in power'!AJ66:AJ136))+'Pre-allocation of NH3 in power'!AJ66*'Indirect NH3 demand sources'!AJ$5</f>
        <v>3.7927813951384497E-2</v>
      </c>
      <c r="AK66">
        <f>'Electricity shares'!AK66*'Indirect NH3 demand sources'!AK$5*(1-SUM('Pre-allocation of NH3 in power'!AK66:AK136))+'Pre-allocation of NH3 in power'!AK66*'Indirect NH3 demand sources'!AK$5</f>
        <v>4.0741371198436224E-2</v>
      </c>
      <c r="AL66">
        <f>'Electricity shares'!AL66*'Indirect NH3 demand sources'!AL$5*(1-SUM('Pre-allocation of NH3 in power'!AL66:AL136))+'Pre-allocation of NH3 in power'!AL66*'Indirect NH3 demand sources'!AL$5</f>
        <v>4.3641130809623202E-2</v>
      </c>
      <c r="AM66">
        <f>'Electricity shares'!AM66*'Indirect NH3 demand sources'!AM$5*(1-SUM('Pre-allocation of NH3 in power'!AM66:AM136))+'Pre-allocation of NH3 in power'!AM66*'Indirect NH3 demand sources'!AM$5</f>
        <v>4.6605124036500772E-2</v>
      </c>
      <c r="AN66">
        <f>'Electricity shares'!AN66*'Indirect NH3 demand sources'!AN$5*(1-SUM('Pre-allocation of NH3 in power'!AN66:AN136))+'Pre-allocation of NH3 in power'!AN66*'Indirect NH3 demand sources'!AN$5</f>
        <v>4.9661867505269471E-2</v>
      </c>
      <c r="AO66">
        <f>'Electricity shares'!AO66*'Indirect NH3 demand sources'!AO$5*(1-SUM('Pre-allocation of NH3 in power'!AO66:AO136))+'Pre-allocation of NH3 in power'!AO66*'Indirect NH3 demand sources'!AO$5</f>
        <v>5.2795227341275584E-2</v>
      </c>
      <c r="AP66">
        <f>'Electricity shares'!AP66*'Indirect NH3 demand sources'!AP$5*(1-SUM('Pre-allocation of NH3 in power'!AP66:AP136))+'Pre-allocation of NH3 in power'!AP66*'Indirect NH3 demand sources'!AP$5</f>
        <v>5.6015640923984499E-2</v>
      </c>
    </row>
    <row r="67" spans="1:42" x14ac:dyDescent="0.3">
      <c r="A67" t="s">
        <v>142</v>
      </c>
      <c r="B67">
        <f>'Electricity shares'!B67*'Indirect NH3 demand sources'!B$5*(1-SUM('Pre-allocation of NH3 in power'!B67:B137))+'Pre-allocation of NH3 in power'!B67*'Indirect NH3 demand sources'!B$5</f>
        <v>0</v>
      </c>
      <c r="C67">
        <f>'Electricity shares'!C67*'Indirect NH3 demand sources'!C$5*(1-SUM('Pre-allocation of NH3 in power'!C67:C137))+'Pre-allocation of NH3 in power'!C67*'Indirect NH3 demand sources'!C$5</f>
        <v>0</v>
      </c>
      <c r="D67">
        <f>'Electricity shares'!D67*'Indirect NH3 demand sources'!D$5*(1-SUM('Pre-allocation of NH3 in power'!D67:D137))+'Pre-allocation of NH3 in power'!D67*'Indirect NH3 demand sources'!D$5</f>
        <v>0</v>
      </c>
      <c r="E67">
        <f>'Electricity shares'!E67*'Indirect NH3 demand sources'!E$5*(1-SUM('Pre-allocation of NH3 in power'!E67:E137))+'Pre-allocation of NH3 in power'!E67*'Indirect NH3 demand sources'!E$5</f>
        <v>0</v>
      </c>
      <c r="F67">
        <f>'Electricity shares'!F67*'Indirect NH3 demand sources'!F$5*(1-SUM('Pre-allocation of NH3 in power'!F67:F137))+'Pre-allocation of NH3 in power'!F67*'Indirect NH3 demand sources'!F$5</f>
        <v>0</v>
      </c>
      <c r="G67">
        <f>'Electricity shares'!G67*'Indirect NH3 demand sources'!G$5*(1-SUM('Pre-allocation of NH3 in power'!G67:G137))+'Pre-allocation of NH3 in power'!G67*'Indirect NH3 demand sources'!G$5</f>
        <v>0</v>
      </c>
      <c r="H67">
        <f>'Electricity shares'!H67*'Indirect NH3 demand sources'!H$5*(1-SUM('Pre-allocation of NH3 in power'!H67:H137))+'Pre-allocation of NH3 in power'!H67*'Indirect NH3 demand sources'!H$5</f>
        <v>0</v>
      </c>
      <c r="I67">
        <f>'Electricity shares'!I67*'Indirect NH3 demand sources'!I$5*(1-SUM('Pre-allocation of NH3 in power'!I67:I137))+'Pre-allocation of NH3 in power'!I67*'Indirect NH3 demand sources'!I$5</f>
        <v>0</v>
      </c>
      <c r="J67">
        <f>'Electricity shares'!J67*'Indirect NH3 demand sources'!J$5*(1-SUM('Pre-allocation of NH3 in power'!J67:J137))+'Pre-allocation of NH3 in power'!J67*'Indirect NH3 demand sources'!J$5</f>
        <v>0</v>
      </c>
      <c r="K67">
        <f>'Electricity shares'!K67*'Indirect NH3 demand sources'!K$5*(1-SUM('Pre-allocation of NH3 in power'!K67:K137))+'Pre-allocation of NH3 in power'!K67*'Indirect NH3 demand sources'!K$5</f>
        <v>0</v>
      </c>
      <c r="L67">
        <f>'Electricity shares'!L67*'Indirect NH3 demand sources'!L$5*(1-SUM('Pre-allocation of NH3 in power'!L67:L137))+'Pre-allocation of NH3 in power'!L67*'Indirect NH3 demand sources'!L$5</f>
        <v>0</v>
      </c>
      <c r="M67">
        <f>'Electricity shares'!M67*'Indirect NH3 demand sources'!M$5*(1-SUM('Pre-allocation of NH3 in power'!M67:M137))+'Pre-allocation of NH3 in power'!M67*'Indirect NH3 demand sources'!M$5</f>
        <v>0</v>
      </c>
      <c r="N67">
        <f>'Electricity shares'!N67*'Indirect NH3 demand sources'!N$5*(1-SUM('Pre-allocation of NH3 in power'!N67:N137))+'Pre-allocation of NH3 in power'!N67*'Indirect NH3 demand sources'!N$5</f>
        <v>0</v>
      </c>
      <c r="O67">
        <f>'Electricity shares'!O67*'Indirect NH3 demand sources'!O$5*(1-SUM('Pre-allocation of NH3 in power'!O67:O137))+'Pre-allocation of NH3 in power'!O67*'Indirect NH3 demand sources'!O$5</f>
        <v>0</v>
      </c>
      <c r="P67">
        <f>'Electricity shares'!P67*'Indirect NH3 demand sources'!P$5*(1-SUM('Pre-allocation of NH3 in power'!P67:P137))+'Pre-allocation of NH3 in power'!P67*'Indirect NH3 demand sources'!P$5</f>
        <v>0</v>
      </c>
      <c r="Q67">
        <f>'Electricity shares'!Q67*'Indirect NH3 demand sources'!Q$5*(1-SUM('Pre-allocation of NH3 in power'!Q67:Q137))+'Pre-allocation of NH3 in power'!Q67*'Indirect NH3 demand sources'!Q$5</f>
        <v>0</v>
      </c>
      <c r="R67">
        <f>'Electricity shares'!R67*'Indirect NH3 demand sources'!R$5*(1-SUM('Pre-allocation of NH3 in power'!R67:R137))+'Pre-allocation of NH3 in power'!R67*'Indirect NH3 demand sources'!R$5</f>
        <v>5.5966403547096024E-4</v>
      </c>
      <c r="S67">
        <f>'Electricity shares'!S67*'Indirect NH3 demand sources'!S$5*(1-SUM('Pre-allocation of NH3 in power'!S67:S137))+'Pre-allocation of NH3 in power'!S67*'Indirect NH3 demand sources'!S$5</f>
        <v>1.1310739833675966E-3</v>
      </c>
      <c r="T67">
        <f>'Electricity shares'!T67*'Indirect NH3 demand sources'!T$5*(1-SUM('Pre-allocation of NH3 in power'!T67:T137))+'Pre-allocation of NH3 in power'!T67*'Indirect NH3 demand sources'!T$5</f>
        <v>1.7188628929841541E-3</v>
      </c>
      <c r="U67">
        <f>'Electricity shares'!U67*'Indirect NH3 demand sources'!U$5*(1-SUM('Pre-allocation of NH3 in power'!U67:U137))+'Pre-allocation of NH3 in power'!U67*'Indirect NH3 demand sources'!U$5</f>
        <v>2.3258003853813122E-3</v>
      </c>
      <c r="V67">
        <f>'Electricity shares'!V67*'Indirect NH3 demand sources'!V$5*(1-SUM('Pre-allocation of NH3 in power'!V67:V137))+'Pre-allocation of NH3 in power'!V67*'Indirect NH3 demand sources'!V$5</f>
        <v>2.9539353013537028E-3</v>
      </c>
      <c r="W67">
        <f>'Electricity shares'!W67*'Indirect NH3 demand sources'!W$5*(1-SUM('Pre-allocation of NH3 in power'!W67:W137))+'Pre-allocation of NH3 in power'!W67*'Indirect NH3 demand sources'!W$5</f>
        <v>4.49033150486116E-3</v>
      </c>
      <c r="X67">
        <f>'Electricity shares'!X67*'Indirect NH3 demand sources'!X$5*(1-SUM('Pre-allocation of NH3 in power'!X67:X137))+'Pre-allocation of NH3 in power'!X67*'Indirect NH3 demand sources'!X$5</f>
        <v>6.0229443361365497E-3</v>
      </c>
      <c r="Y67">
        <f>'Electricity shares'!Y67*'Indirect NH3 demand sources'!Y$5*(1-SUM('Pre-allocation of NH3 in power'!Y67:Y137))+'Pre-allocation of NH3 in power'!Y67*'Indirect NH3 demand sources'!Y$5</f>
        <v>7.5377029871506254E-3</v>
      </c>
      <c r="Z67">
        <f>'Electricity shares'!Z67*'Indirect NH3 demand sources'!Z$5*(1-SUM('Pre-allocation of NH3 in power'!Z67:Z137))+'Pre-allocation of NH3 in power'!Z67*'Indirect NH3 demand sources'!Z$5</f>
        <v>9.0522186649012945E-3</v>
      </c>
      <c r="AA67">
        <f>'Electricity shares'!AA67*'Indirect NH3 demand sources'!AA$5*(1-SUM('Pre-allocation of NH3 in power'!AA67:AA137))+'Pre-allocation of NH3 in power'!AA67*'Indirect NH3 demand sources'!AA$5</f>
        <v>1.0606053659617962E-2</v>
      </c>
      <c r="AB67">
        <f>'Electricity shares'!AB67*'Indirect NH3 demand sources'!AB$5*(1-SUM('Pre-allocation of NH3 in power'!AB67:AB137))+'Pre-allocation of NH3 in power'!AB67*'Indirect NH3 demand sources'!AB$5</f>
        <v>1.2262958645591229E-2</v>
      </c>
      <c r="AC67">
        <f>'Electricity shares'!AC67*'Indirect NH3 demand sources'!AC$5*(1-SUM('Pre-allocation of NH3 in power'!AC67:AC137))+'Pre-allocation of NH3 in power'!AC67*'Indirect NH3 demand sources'!AC$5</f>
        <v>1.4048699745235725E-2</v>
      </c>
      <c r="AD67">
        <f>'Electricity shares'!AD67*'Indirect NH3 demand sources'!AD$5*(1-SUM('Pre-allocation of NH3 in power'!AD67:AD137))+'Pre-allocation of NH3 in power'!AD67*'Indirect NH3 demand sources'!AD$5</f>
        <v>1.5983124667850568E-2</v>
      </c>
      <c r="AE67">
        <f>'Electricity shares'!AE67*'Indirect NH3 demand sources'!AE$5*(1-SUM('Pre-allocation of NH3 in power'!AE67:AE137))+'Pre-allocation of NH3 in power'!AE67*'Indirect NH3 demand sources'!AE$5</f>
        <v>1.8061070761448843E-2</v>
      </c>
      <c r="AF67">
        <f>'Electricity shares'!AF67*'Indirect NH3 demand sources'!AF$5*(1-SUM('Pre-allocation of NH3 in power'!AF67:AF137))+'Pre-allocation of NH3 in power'!AF67*'Indirect NH3 demand sources'!AF$5</f>
        <v>2.0245714023851939E-2</v>
      </c>
      <c r="AG67">
        <f>'Electricity shares'!AG67*'Indirect NH3 demand sources'!AG$5*(1-SUM('Pre-allocation of NH3 in power'!AG67:AG137))+'Pre-allocation of NH3 in power'!AG67*'Indirect NH3 demand sources'!AG$5</f>
        <v>2.2134723559910294E-2</v>
      </c>
      <c r="AH67">
        <f>'Electricity shares'!AH67*'Indirect NH3 demand sources'!AH$5*(1-SUM('Pre-allocation of NH3 in power'!AH67:AH137))+'Pre-allocation of NH3 in power'!AH67*'Indirect NH3 demand sources'!AH$5</f>
        <v>2.4017403710715087E-2</v>
      </c>
      <c r="AI67">
        <f>'Electricity shares'!AI67*'Indirect NH3 demand sources'!AI$5*(1-SUM('Pre-allocation of NH3 in power'!AI67:AI137))+'Pre-allocation of NH3 in power'!AI67*'Indirect NH3 demand sources'!AI$5</f>
        <v>2.5877199749634788E-2</v>
      </c>
      <c r="AJ67">
        <f>'Electricity shares'!AJ67*'Indirect NH3 demand sources'!AJ$5*(1-SUM('Pre-allocation of NH3 in power'!AJ67:AJ137))+'Pre-allocation of NH3 in power'!AJ67*'Indirect NH3 demand sources'!AJ$5</f>
        <v>2.7716536417031899E-2</v>
      </c>
      <c r="AK67">
        <f>'Electricity shares'!AK67*'Indirect NH3 demand sources'!AK$5*(1-SUM('Pre-allocation of NH3 in power'!AK67:AK137))+'Pre-allocation of NH3 in power'!AK67*'Indirect NH3 demand sources'!AK$5</f>
        <v>2.9574535748862089E-2</v>
      </c>
      <c r="AL67">
        <f>'Electricity shares'!AL67*'Indirect NH3 demand sources'!AL$5*(1-SUM('Pre-allocation of NH3 in power'!AL67:AL137))+'Pre-allocation of NH3 in power'!AL67*'Indirect NH3 demand sources'!AL$5</f>
        <v>3.1485854778167441E-2</v>
      </c>
      <c r="AM67">
        <f>'Electricity shares'!AM67*'Indirect NH3 demand sources'!AM$5*(1-SUM('Pre-allocation of NH3 in power'!AM67:AM137))+'Pre-allocation of NH3 in power'!AM67*'Indirect NH3 demand sources'!AM$5</f>
        <v>3.3471098018060114E-2</v>
      </c>
      <c r="AN67">
        <f>'Electricity shares'!AN67*'Indirect NH3 demand sources'!AN$5*(1-SUM('Pre-allocation of NH3 in power'!AN67:AN137))+'Pre-allocation of NH3 in power'!AN67*'Indirect NH3 demand sources'!AN$5</f>
        <v>3.5545729084674731E-2</v>
      </c>
      <c r="AO67">
        <f>'Electricity shares'!AO67*'Indirect NH3 demand sources'!AO$5*(1-SUM('Pre-allocation of NH3 in power'!AO67:AO137))+'Pre-allocation of NH3 in power'!AO67*'Indirect NH3 demand sources'!AO$5</f>
        <v>3.7730297485876613E-2</v>
      </c>
      <c r="AP67">
        <f>'Electricity shares'!AP67*'Indirect NH3 demand sources'!AP$5*(1-SUM('Pre-allocation of NH3 in power'!AP67:AP137))+'Pre-allocation of NH3 in power'!AP67*'Indirect NH3 demand sources'!AP$5</f>
        <v>4.0030269558879672E-2</v>
      </c>
    </row>
    <row r="68" spans="1:42" x14ac:dyDescent="0.3">
      <c r="A68" t="s">
        <v>143</v>
      </c>
      <c r="B68">
        <f>'Electricity shares'!B68*'Indirect NH3 demand sources'!B$5*(1-SUM('Pre-allocation of NH3 in power'!B68:B138))+'Pre-allocation of NH3 in power'!B68*'Indirect NH3 demand sources'!B$5</f>
        <v>0</v>
      </c>
      <c r="C68">
        <f>'Electricity shares'!C68*'Indirect NH3 demand sources'!C$5*(1-SUM('Pre-allocation of NH3 in power'!C68:C138))+'Pre-allocation of NH3 in power'!C68*'Indirect NH3 demand sources'!C$5</f>
        <v>0</v>
      </c>
      <c r="D68">
        <f>'Electricity shares'!D68*'Indirect NH3 demand sources'!D$5*(1-SUM('Pre-allocation of NH3 in power'!D68:D138))+'Pre-allocation of NH3 in power'!D68*'Indirect NH3 demand sources'!D$5</f>
        <v>0</v>
      </c>
      <c r="E68">
        <f>'Electricity shares'!E68*'Indirect NH3 demand sources'!E$5*(1-SUM('Pre-allocation of NH3 in power'!E68:E138))+'Pre-allocation of NH3 in power'!E68*'Indirect NH3 demand sources'!E$5</f>
        <v>0</v>
      </c>
      <c r="F68">
        <f>'Electricity shares'!F68*'Indirect NH3 demand sources'!F$5*(1-SUM('Pre-allocation of NH3 in power'!F68:F138))+'Pre-allocation of NH3 in power'!F68*'Indirect NH3 demand sources'!F$5</f>
        <v>0</v>
      </c>
      <c r="G68">
        <f>'Electricity shares'!G68*'Indirect NH3 demand sources'!G$5*(1-SUM('Pre-allocation of NH3 in power'!G68:G138))+'Pre-allocation of NH3 in power'!G68*'Indirect NH3 demand sources'!G$5</f>
        <v>0</v>
      </c>
      <c r="H68">
        <f>'Electricity shares'!H68*'Indirect NH3 demand sources'!H$5*(1-SUM('Pre-allocation of NH3 in power'!H68:H138))+'Pre-allocation of NH3 in power'!H68*'Indirect NH3 demand sources'!H$5</f>
        <v>0</v>
      </c>
      <c r="I68">
        <f>'Electricity shares'!I68*'Indirect NH3 demand sources'!I$5*(1-SUM('Pre-allocation of NH3 in power'!I68:I138))+'Pre-allocation of NH3 in power'!I68*'Indirect NH3 demand sources'!I$5</f>
        <v>0</v>
      </c>
      <c r="J68">
        <f>'Electricity shares'!J68*'Indirect NH3 demand sources'!J$5*(1-SUM('Pre-allocation of NH3 in power'!J68:J138))+'Pre-allocation of NH3 in power'!J68*'Indirect NH3 demand sources'!J$5</f>
        <v>0</v>
      </c>
      <c r="K68">
        <f>'Electricity shares'!K68*'Indirect NH3 demand sources'!K$5*(1-SUM('Pre-allocation of NH3 in power'!K68:K138))+'Pre-allocation of NH3 in power'!K68*'Indirect NH3 demand sources'!K$5</f>
        <v>0</v>
      </c>
      <c r="L68">
        <f>'Electricity shares'!L68*'Indirect NH3 demand sources'!L$5*(1-SUM('Pre-allocation of NH3 in power'!L68:L138))+'Pre-allocation of NH3 in power'!L68*'Indirect NH3 demand sources'!L$5</f>
        <v>0</v>
      </c>
      <c r="M68">
        <f>'Electricity shares'!M68*'Indirect NH3 demand sources'!M$5*(1-SUM('Pre-allocation of NH3 in power'!M68:M138))+'Pre-allocation of NH3 in power'!M68*'Indirect NH3 demand sources'!M$5</f>
        <v>0</v>
      </c>
      <c r="N68">
        <f>'Electricity shares'!N68*'Indirect NH3 demand sources'!N$5*(1-SUM('Pre-allocation of NH3 in power'!N68:N138))+'Pre-allocation of NH3 in power'!N68*'Indirect NH3 demand sources'!N$5</f>
        <v>0</v>
      </c>
      <c r="O68">
        <f>'Electricity shares'!O68*'Indirect NH3 demand sources'!O$5*(1-SUM('Pre-allocation of NH3 in power'!O68:O138))+'Pre-allocation of NH3 in power'!O68*'Indirect NH3 demand sources'!O$5</f>
        <v>0</v>
      </c>
      <c r="P68">
        <f>'Electricity shares'!P68*'Indirect NH3 demand sources'!P$5*(1-SUM('Pre-allocation of NH3 in power'!P68:P138))+'Pre-allocation of NH3 in power'!P68*'Indirect NH3 demand sources'!P$5</f>
        <v>0</v>
      </c>
      <c r="Q68">
        <f>'Electricity shares'!Q68*'Indirect NH3 demand sources'!Q$5*(1-SUM('Pre-allocation of NH3 in power'!Q68:Q138))+'Pre-allocation of NH3 in power'!Q68*'Indirect NH3 demand sources'!Q$5</f>
        <v>0</v>
      </c>
      <c r="R68">
        <f>'Electricity shares'!R68*'Indirect NH3 demand sources'!R$5*(1-SUM('Pre-allocation of NH3 in power'!R68:R138))+'Pre-allocation of NH3 in power'!R68*'Indirect NH3 demand sources'!R$5</f>
        <v>7.4042643769128824E-4</v>
      </c>
      <c r="S68">
        <f>'Electricity shares'!S68*'Indirect NH3 demand sources'!S$5*(1-SUM('Pre-allocation of NH3 in power'!S68:S138))+'Pre-allocation of NH3 in power'!S68*'Indirect NH3 demand sources'!S$5</f>
        <v>1.501107022299127E-3</v>
      </c>
      <c r="T68">
        <f>'Electricity shares'!T68*'Indirect NH3 demand sources'!T$5*(1-SUM('Pre-allocation of NH3 in power'!T68:T138))+'Pre-allocation of NH3 in power'!T68*'Indirect NH3 demand sources'!T$5</f>
        <v>2.2826094089437258E-3</v>
      </c>
      <c r="U68">
        <f>'Electricity shares'!U68*'Indirect NH3 demand sources'!U$5*(1-SUM('Pre-allocation of NH3 in power'!U68:U138))+'Pre-allocation of NH3 in power'!U68*'Indirect NH3 demand sources'!U$5</f>
        <v>3.0866661789106589E-3</v>
      </c>
      <c r="V68">
        <f>'Electricity shares'!V68*'Indirect NH3 demand sources'!V$5*(1-SUM('Pre-allocation of NH3 in power'!V68:V138))+'Pre-allocation of NH3 in power'!V68*'Indirect NH3 demand sources'!V$5</f>
        <v>3.9141092924301867E-3</v>
      </c>
      <c r="W68">
        <f>'Electricity shares'!W68*'Indirect NH3 demand sources'!W$5*(1-SUM('Pre-allocation of NH3 in power'!W68:W138))+'Pre-allocation of NH3 in power'!W68*'Indirect NH3 demand sources'!W$5</f>
        <v>5.9794677965977587E-3</v>
      </c>
      <c r="X68">
        <f>'Electricity shares'!X68*'Indirect NH3 demand sources'!X$5*(1-SUM('Pre-allocation of NH3 in power'!X68:X138))+'Pre-allocation of NH3 in power'!X68*'Indirect NH3 demand sources'!X$5</f>
        <v>8.1180426331346374E-3</v>
      </c>
      <c r="Y68">
        <f>'Electricity shares'!Y68*'Indirect NH3 demand sources'!Y$5*(1-SUM('Pre-allocation of NH3 in power'!Y68:Y138))+'Pre-allocation of NH3 in power'!Y68*'Indirect NH3 demand sources'!Y$5</f>
        <v>1.0331980136723682E-2</v>
      </c>
      <c r="Z68">
        <f>'Electricity shares'!Z68*'Indirect NH3 demand sources'!Z$5*(1-SUM('Pre-allocation of NH3 in power'!Z68:Z138))+'Pre-allocation of NH3 in power'!Z68*'Indirect NH3 demand sources'!Z$5</f>
        <v>1.2622454375961822E-2</v>
      </c>
      <c r="AA68">
        <f>'Electricity shares'!AA68*'Indirect NH3 demand sources'!AA$5*(1-SUM('Pre-allocation of NH3 in power'!AA68:AA138))+'Pre-allocation of NH3 in power'!AA68*'Indirect NH3 demand sources'!AA$5</f>
        <v>1.499102886879608E-2</v>
      </c>
      <c r="AB68">
        <f>'Electricity shares'!AB68*'Indirect NH3 demand sources'!AB$5*(1-SUM('Pre-allocation of NH3 in power'!AB68:AB138))+'Pre-allocation of NH3 in power'!AB68*'Indirect NH3 demand sources'!AB$5</f>
        <v>1.7476398015616589E-2</v>
      </c>
      <c r="AC68">
        <f>'Electricity shares'!AC68*'Indirect NH3 demand sources'!AC$5*(1-SUM('Pre-allocation of NH3 in power'!AC68:AC138))+'Pre-allocation of NH3 in power'!AC68*'Indirect NH3 demand sources'!AC$5</f>
        <v>2.0053991023295442E-2</v>
      </c>
      <c r="AD68">
        <f>'Electricity shares'!AD68*'Indirect NH3 demand sources'!AD$5*(1-SUM('Pre-allocation of NH3 in power'!AD68:AD138))+'Pre-allocation of NH3 in power'!AD68*'Indirect NH3 demand sources'!AD$5</f>
        <v>2.2727241603316333E-2</v>
      </c>
      <c r="AE68">
        <f>'Electricity shares'!AE68*'Indirect NH3 demand sources'!AE$5*(1-SUM('Pre-allocation of NH3 in power'!AE68:AE138))+'Pre-allocation of NH3 in power'!AE68*'Indirect NH3 demand sources'!AE$5</f>
        <v>2.549715431744792E-2</v>
      </c>
      <c r="AF68">
        <f>'Electricity shares'!AF68*'Indirect NH3 demand sources'!AF$5*(1-SUM('Pre-allocation of NH3 in power'!AF68:AF138))+'Pre-allocation of NH3 in power'!AF68*'Indirect NH3 demand sources'!AF$5</f>
        <v>2.836630638148999E-2</v>
      </c>
      <c r="AG68">
        <f>'Electricity shares'!AG68*'Indirect NH3 demand sources'!AG$5*(1-SUM('Pre-allocation of NH3 in power'!AG68:AG138))+'Pre-allocation of NH3 in power'!AG68*'Indirect NH3 demand sources'!AG$5</f>
        <v>3.0848355990696893E-2</v>
      </c>
      <c r="AH68">
        <f>'Electricity shares'!AH68*'Indirect NH3 demand sources'!AH$5*(1-SUM('Pre-allocation of NH3 in power'!AH68:AH138))+'Pre-allocation of NH3 in power'!AH68*'Indirect NH3 demand sources'!AH$5</f>
        <v>3.3417907703175147E-2</v>
      </c>
      <c r="AI68">
        <f>'Electricity shares'!AI68*'Indirect NH3 demand sources'!AI$5*(1-SUM('Pre-allocation of NH3 in power'!AI68:AI138))+'Pre-allocation of NH3 in power'!AI68*'Indirect NH3 demand sources'!AI$5</f>
        <v>3.6070664543743379E-2</v>
      </c>
      <c r="AJ68">
        <f>'Electricity shares'!AJ68*'Indirect NH3 demand sources'!AJ$5*(1-SUM('Pre-allocation of NH3 in power'!AJ68:AJ138))+'Pre-allocation of NH3 in power'!AJ68*'Indirect NH3 demand sources'!AJ$5</f>
        <v>3.8804865158133035E-2</v>
      </c>
      <c r="AK68">
        <f>'Electricity shares'!AK68*'Indirect NH3 demand sources'!AK$5*(1-SUM('Pre-allocation of NH3 in power'!AK68:AK138))+'Pre-allocation of NH3 in power'!AK68*'Indirect NH3 demand sources'!AK$5</f>
        <v>4.1633357711237162E-2</v>
      </c>
      <c r="AL68">
        <f>'Electricity shares'!AL68*'Indirect NH3 demand sources'!AL$5*(1-SUM('Pre-allocation of NH3 in power'!AL68:AL138))+'Pre-allocation of NH3 in power'!AL68*'Indirect NH3 demand sources'!AL$5</f>
        <v>4.454818057374875E-2</v>
      </c>
      <c r="AM68">
        <f>'Electricity shares'!AM68*'Indirect NH3 demand sources'!AM$5*(1-SUM('Pre-allocation of NH3 in power'!AM68:AM138))+'Pre-allocation of NH3 in power'!AM68*'Indirect NH3 demand sources'!AM$5</f>
        <v>4.7538528875736827E-2</v>
      </c>
      <c r="AN68">
        <f>'Electricity shares'!AN68*'Indirect NH3 demand sources'!AN$5*(1-SUM('Pre-allocation of NH3 in power'!AN68:AN138))+'Pre-allocation of NH3 in power'!AN68*'Indirect NH3 demand sources'!AN$5</f>
        <v>5.0626239709535142E-2</v>
      </c>
      <c r="AO68">
        <f>'Electricity shares'!AO68*'Indirect NH3 demand sources'!AO$5*(1-SUM('Pre-allocation of NH3 in power'!AO68:AO138))+'Pre-allocation of NH3 in power'!AO68*'Indirect NH3 demand sources'!AO$5</f>
        <v>5.3810836131447444E-2</v>
      </c>
      <c r="AP68">
        <f>'Electricity shares'!AP68*'Indirect NH3 demand sources'!AP$5*(1-SUM('Pre-allocation of NH3 in power'!AP68:AP138))+'Pre-allocation of NH3 in power'!AP68*'Indirect NH3 demand sources'!AP$5</f>
        <v>5.7099672426080654E-2</v>
      </c>
    </row>
    <row r="69" spans="1:42" x14ac:dyDescent="0.3">
      <c r="A69" t="s">
        <v>144</v>
      </c>
      <c r="B69">
        <f>'Electricity shares'!B69*'Indirect NH3 demand sources'!B$5*(1-SUM('Pre-allocation of NH3 in power'!B69:B139))+'Pre-allocation of NH3 in power'!B69*'Indirect NH3 demand sources'!B$5</f>
        <v>0</v>
      </c>
      <c r="C69">
        <f>'Electricity shares'!C69*'Indirect NH3 demand sources'!C$5*(1-SUM('Pre-allocation of NH3 in power'!C69:C139))+'Pre-allocation of NH3 in power'!C69*'Indirect NH3 demand sources'!C$5</f>
        <v>0</v>
      </c>
      <c r="D69">
        <f>'Electricity shares'!D69*'Indirect NH3 demand sources'!D$5*(1-SUM('Pre-allocation of NH3 in power'!D69:D139))+'Pre-allocation of NH3 in power'!D69*'Indirect NH3 demand sources'!D$5</f>
        <v>0</v>
      </c>
      <c r="E69">
        <f>'Electricity shares'!E69*'Indirect NH3 demand sources'!E$5*(1-SUM('Pre-allocation of NH3 in power'!E69:E139))+'Pre-allocation of NH3 in power'!E69*'Indirect NH3 demand sources'!E$5</f>
        <v>0</v>
      </c>
      <c r="F69">
        <f>'Electricity shares'!F69*'Indirect NH3 demand sources'!F$5*(1-SUM('Pre-allocation of NH3 in power'!F69:F139))+'Pre-allocation of NH3 in power'!F69*'Indirect NH3 demand sources'!F$5</f>
        <v>0</v>
      </c>
      <c r="G69">
        <f>'Electricity shares'!G69*'Indirect NH3 demand sources'!G$5*(1-SUM('Pre-allocation of NH3 in power'!G69:G139))+'Pre-allocation of NH3 in power'!G69*'Indirect NH3 demand sources'!G$5</f>
        <v>0</v>
      </c>
      <c r="H69">
        <f>'Electricity shares'!H69*'Indirect NH3 demand sources'!H$5*(1-SUM('Pre-allocation of NH3 in power'!H69:H139))+'Pre-allocation of NH3 in power'!H69*'Indirect NH3 demand sources'!H$5</f>
        <v>0</v>
      </c>
      <c r="I69">
        <f>'Electricity shares'!I69*'Indirect NH3 demand sources'!I$5*(1-SUM('Pre-allocation of NH3 in power'!I69:I139))+'Pre-allocation of NH3 in power'!I69*'Indirect NH3 demand sources'!I$5</f>
        <v>0</v>
      </c>
      <c r="J69">
        <f>'Electricity shares'!J69*'Indirect NH3 demand sources'!J$5*(1-SUM('Pre-allocation of NH3 in power'!J69:J139))+'Pre-allocation of NH3 in power'!J69*'Indirect NH3 demand sources'!J$5</f>
        <v>0</v>
      </c>
      <c r="K69">
        <f>'Electricity shares'!K69*'Indirect NH3 demand sources'!K$5*(1-SUM('Pre-allocation of NH3 in power'!K69:K139))+'Pre-allocation of NH3 in power'!K69*'Indirect NH3 demand sources'!K$5</f>
        <v>0</v>
      </c>
      <c r="L69">
        <f>'Electricity shares'!L69*'Indirect NH3 demand sources'!L$5*(1-SUM('Pre-allocation of NH3 in power'!L69:L139))+'Pre-allocation of NH3 in power'!L69*'Indirect NH3 demand sources'!L$5</f>
        <v>0</v>
      </c>
      <c r="M69">
        <f>'Electricity shares'!M69*'Indirect NH3 demand sources'!M$5*(1-SUM('Pre-allocation of NH3 in power'!M69:M139))+'Pre-allocation of NH3 in power'!M69*'Indirect NH3 demand sources'!M$5</f>
        <v>0</v>
      </c>
      <c r="N69">
        <f>'Electricity shares'!N69*'Indirect NH3 demand sources'!N$5*(1-SUM('Pre-allocation of NH3 in power'!N69:N139))+'Pre-allocation of NH3 in power'!N69*'Indirect NH3 demand sources'!N$5</f>
        <v>0</v>
      </c>
      <c r="O69">
        <f>'Electricity shares'!O69*'Indirect NH3 demand sources'!O$5*(1-SUM('Pre-allocation of NH3 in power'!O69:O139))+'Pre-allocation of NH3 in power'!O69*'Indirect NH3 demand sources'!O$5</f>
        <v>0</v>
      </c>
      <c r="P69">
        <f>'Electricity shares'!P69*'Indirect NH3 demand sources'!P$5*(1-SUM('Pre-allocation of NH3 in power'!P69:P139))+'Pre-allocation of NH3 in power'!P69*'Indirect NH3 demand sources'!P$5</f>
        <v>0</v>
      </c>
      <c r="Q69">
        <f>'Electricity shares'!Q69*'Indirect NH3 demand sources'!Q$5*(1-SUM('Pre-allocation of NH3 in power'!Q69:Q139))+'Pre-allocation of NH3 in power'!Q69*'Indirect NH3 demand sources'!Q$5</f>
        <v>0</v>
      </c>
      <c r="R69">
        <f>'Electricity shares'!R69*'Indirect NH3 demand sources'!R$5*(1-SUM('Pre-allocation of NH3 in power'!R69:R139))+'Pre-allocation of NH3 in power'!R69*'Indirect NH3 demand sources'!R$5</f>
        <v>2.9896242266663781E-3</v>
      </c>
      <c r="S69">
        <f>'Electricity shares'!S69*'Indirect NH3 demand sources'!S$5*(1-SUM('Pre-allocation of NH3 in power'!S69:S139))+'Pre-allocation of NH3 in power'!S69*'Indirect NH3 demand sources'!S$5</f>
        <v>6.08711959429626E-3</v>
      </c>
      <c r="T69">
        <f>'Electricity shares'!T69*'Indirect NH3 demand sources'!T$5*(1-SUM('Pre-allocation of NH3 in power'!T69:T139))+'Pre-allocation of NH3 in power'!T69*'Indirect NH3 demand sources'!T$5</f>
        <v>9.2922575467000636E-3</v>
      </c>
      <c r="U69">
        <f>'Electricity shares'!U69*'Indirect NH3 demand sources'!U$5*(1-SUM('Pre-allocation of NH3 in power'!U69:U139))+'Pre-allocation of NH3 in power'!U69*'Indirect NH3 demand sources'!U$5</f>
        <v>1.2606329846241562E-2</v>
      </c>
      <c r="V69">
        <f>'Electricity shares'!V69*'Indirect NH3 demand sources'!V$5*(1-SUM('Pre-allocation of NH3 in power'!V69:V139))+'Pre-allocation of NH3 in power'!V69*'Indirect NH3 demand sources'!V$5</f>
        <v>1.6038898942178238E-2</v>
      </c>
      <c r="W69">
        <f>'Electricity shares'!W69*'Indirect NH3 demand sources'!W$5*(1-SUM('Pre-allocation of NH3 in power'!W69:W139))+'Pre-allocation of NH3 in power'!W69*'Indirect NH3 demand sources'!W$5</f>
        <v>2.4547029387076057E-2</v>
      </c>
      <c r="X69">
        <f>'Electricity shares'!X69*'Indirect NH3 demand sources'!X$5*(1-SUM('Pre-allocation of NH3 in power'!X69:X139))+'Pre-allocation of NH3 in power'!X69*'Indirect NH3 demand sources'!X$5</f>
        <v>3.3392568714773703E-2</v>
      </c>
      <c r="Y69">
        <f>'Electricity shares'!Y69*'Indirect NH3 demand sources'!Y$5*(1-SUM('Pre-allocation of NH3 in power'!Y69:Y139))+'Pre-allocation of NH3 in power'!Y69*'Indirect NH3 demand sources'!Y$5</f>
        <v>4.2586067670342252E-2</v>
      </c>
      <c r="Z69">
        <f>'Electricity shares'!Z69*'Indirect NH3 demand sources'!Z$5*(1-SUM('Pre-allocation of NH3 in power'!Z69:Z139))+'Pre-allocation of NH3 in power'!Z69*'Indirect NH3 demand sources'!Z$5</f>
        <v>5.2137345222450338E-2</v>
      </c>
      <c r="AA69">
        <f>'Electricity shares'!AA69*'Indirect NH3 demand sources'!AA$5*(1-SUM('Pre-allocation of NH3 in power'!AA69:AA139))+'Pre-allocation of NH3 in power'!AA69*'Indirect NH3 demand sources'!AA$5</f>
        <v>6.2056686178281723E-2</v>
      </c>
      <c r="AB69">
        <f>'Electricity shares'!AB69*'Indirect NH3 demand sources'!AB$5*(1-SUM('Pre-allocation of NH3 in power'!AB69:AB139))+'Pre-allocation of NH3 in power'!AB69*'Indirect NH3 demand sources'!AB$5</f>
        <v>7.2449926886669999E-2</v>
      </c>
      <c r="AC69">
        <f>'Electricity shares'!AC69*'Indirect NH3 demand sources'!AC$5*(1-SUM('Pre-allocation of NH3 in power'!AC69:AC139))+'Pre-allocation of NH3 in power'!AC69*'Indirect NH3 demand sources'!AC$5</f>
        <v>8.3267104792374827E-2</v>
      </c>
      <c r="AD69">
        <f>'Electricity shares'!AD69*'Indirect NH3 demand sources'!AD$5*(1-SUM('Pre-allocation of NH3 in power'!AD69:AD139))+'Pre-allocation of NH3 in power'!AD69*'Indirect NH3 demand sources'!AD$5</f>
        <v>9.4527037572477504E-2</v>
      </c>
      <c r="AE69">
        <f>'Electricity shares'!AE69*'Indirect NH3 demand sources'!AE$5*(1-SUM('Pre-allocation of NH3 in power'!AE69:AE139))+'Pre-allocation of NH3 in power'!AE69*'Indirect NH3 demand sources'!AE$5</f>
        <v>0.10624834942830752</v>
      </c>
      <c r="AF69">
        <f>'Electricity shares'!AF69*'Indirect NH3 demand sources'!AF$5*(1-SUM('Pre-allocation of NH3 in power'!AF69:AF139))+'Pre-allocation of NH3 in power'!AF69*'Indirect NH3 demand sources'!AF$5</f>
        <v>0.11845814854287356</v>
      </c>
      <c r="AG69">
        <f>'Electricity shares'!AG69*'Indirect NH3 demand sources'!AG$5*(1-SUM('Pre-allocation of NH3 in power'!AG69:AG139))+'Pre-allocation of NH3 in power'!AG69*'Indirect NH3 demand sources'!AG$5</f>
        <v>0.1291578192010184</v>
      </c>
      <c r="AH69">
        <f>'Electricity shares'!AH69*'Indirect NH3 demand sources'!AH$5*(1-SUM('Pre-allocation of NH3 in power'!AH69:AH139))+'Pre-allocation of NH3 in power'!AH69*'Indirect NH3 demand sources'!AH$5</f>
        <v>0.14033572903405933</v>
      </c>
      <c r="AI69">
        <f>'Electricity shares'!AI69*'Indirect NH3 demand sources'!AI$5*(1-SUM('Pre-allocation of NH3 in power'!AI69:AI139))+'Pre-allocation of NH3 in power'!AI69*'Indirect NH3 demand sources'!AI$5</f>
        <v>0.15200507890309359</v>
      </c>
      <c r="AJ69">
        <f>'Electricity shares'!AJ69*'Indirect NH3 demand sources'!AJ$5*(1-SUM('Pre-allocation of NH3 in power'!AJ69:AJ139))+'Pre-allocation of NH3 in power'!AJ69*'Indirect NH3 demand sources'!AJ$5</f>
        <v>0.16416075564242791</v>
      </c>
      <c r="AK69">
        <f>'Electricity shares'!AK69*'Indirect NH3 demand sources'!AK$5*(1-SUM('Pre-allocation of NH3 in power'!AK69:AK139))+'Pre-allocation of NH3 in power'!AK69*'Indirect NH3 demand sources'!AK$5</f>
        <v>0.17685285692111546</v>
      </c>
      <c r="AL69">
        <f>'Electricity shares'!AL69*'Indirect NH3 demand sources'!AL$5*(1-SUM('Pre-allocation of NH3 in power'!AL69:AL139))+'Pre-allocation of NH3 in power'!AL69*'Indirect NH3 demand sources'!AL$5</f>
        <v>0.1900394934800427</v>
      </c>
      <c r="AM69">
        <f>'Electricity shares'!AM69*'Indirect NH3 demand sources'!AM$5*(1-SUM('Pre-allocation of NH3 in power'!AM69:AM139))+'Pre-allocation of NH3 in power'!AM69*'Indirect NH3 demand sources'!AM$5</f>
        <v>0.20364124138045475</v>
      </c>
      <c r="AN69">
        <f>'Electricity shares'!AN69*'Indirect NH3 demand sources'!AN$5*(1-SUM('Pre-allocation of NH3 in power'!AN69:AN139))+'Pre-allocation of NH3 in power'!AN69*'Indirect NH3 demand sources'!AN$5</f>
        <v>0.21771655019434838</v>
      </c>
      <c r="AO69">
        <f>'Electricity shares'!AO69*'Indirect NH3 demand sources'!AO$5*(1-SUM('Pre-allocation of NH3 in power'!AO69:AO139))+'Pre-allocation of NH3 in power'!AO69*'Indirect NH3 demand sources'!AO$5</f>
        <v>0.23224646160852466</v>
      </c>
      <c r="AP69">
        <f>'Electricity shares'!AP69*'Indirect NH3 demand sources'!AP$5*(1-SUM('Pre-allocation of NH3 in power'!AP69:AP139))+'Pre-allocation of NH3 in power'!AP69*'Indirect NH3 demand sources'!AP$5</f>
        <v>0.24725448614747941</v>
      </c>
    </row>
    <row r="70" spans="1:42" x14ac:dyDescent="0.3">
      <c r="A70" t="s">
        <v>145</v>
      </c>
      <c r="B70">
        <f>'Electricity shares'!B70*'Indirect NH3 demand sources'!B$5*(1-SUM('Pre-allocation of NH3 in power'!B70:B140))+'Pre-allocation of NH3 in power'!B70*'Indirect NH3 demand sources'!B$5</f>
        <v>0</v>
      </c>
      <c r="C70">
        <f>'Electricity shares'!C70*'Indirect NH3 demand sources'!C$5*(1-SUM('Pre-allocation of NH3 in power'!C70:C140))+'Pre-allocation of NH3 in power'!C70*'Indirect NH3 demand sources'!C$5</f>
        <v>0</v>
      </c>
      <c r="D70">
        <f>'Electricity shares'!D70*'Indirect NH3 demand sources'!D$5*(1-SUM('Pre-allocation of NH3 in power'!D70:D140))+'Pre-allocation of NH3 in power'!D70*'Indirect NH3 demand sources'!D$5</f>
        <v>0</v>
      </c>
      <c r="E70">
        <f>'Electricity shares'!E70*'Indirect NH3 demand sources'!E$5*(1-SUM('Pre-allocation of NH3 in power'!E70:E140))+'Pre-allocation of NH3 in power'!E70*'Indirect NH3 demand sources'!E$5</f>
        <v>0</v>
      </c>
      <c r="F70">
        <f>'Electricity shares'!F70*'Indirect NH3 demand sources'!F$5*(1-SUM('Pre-allocation of NH3 in power'!F70:F140))+'Pre-allocation of NH3 in power'!F70*'Indirect NH3 demand sources'!F$5</f>
        <v>0</v>
      </c>
      <c r="G70">
        <f>'Electricity shares'!G70*'Indirect NH3 demand sources'!G$5*(1-SUM('Pre-allocation of NH3 in power'!G70:G140))+'Pre-allocation of NH3 in power'!G70*'Indirect NH3 demand sources'!G$5</f>
        <v>0</v>
      </c>
      <c r="H70">
        <f>'Electricity shares'!H70*'Indirect NH3 demand sources'!H$5*(1-SUM('Pre-allocation of NH3 in power'!H70:H140))+'Pre-allocation of NH3 in power'!H70*'Indirect NH3 demand sources'!H$5</f>
        <v>0</v>
      </c>
      <c r="I70">
        <f>'Electricity shares'!I70*'Indirect NH3 demand sources'!I$5*(1-SUM('Pre-allocation of NH3 in power'!I70:I140))+'Pre-allocation of NH3 in power'!I70*'Indirect NH3 demand sources'!I$5</f>
        <v>0</v>
      </c>
      <c r="J70">
        <f>'Electricity shares'!J70*'Indirect NH3 demand sources'!J$5*(1-SUM('Pre-allocation of NH3 in power'!J70:J140))+'Pre-allocation of NH3 in power'!J70*'Indirect NH3 demand sources'!J$5</f>
        <v>0</v>
      </c>
      <c r="K70">
        <f>'Electricity shares'!K70*'Indirect NH3 demand sources'!K$5*(1-SUM('Pre-allocation of NH3 in power'!K70:K140))+'Pre-allocation of NH3 in power'!K70*'Indirect NH3 demand sources'!K$5</f>
        <v>0</v>
      </c>
      <c r="L70">
        <f>'Electricity shares'!L70*'Indirect NH3 demand sources'!L$5*(1-SUM('Pre-allocation of NH3 in power'!L70:L140))+'Pre-allocation of NH3 in power'!L70*'Indirect NH3 demand sources'!L$5</f>
        <v>0</v>
      </c>
      <c r="M70">
        <f>'Electricity shares'!M70*'Indirect NH3 demand sources'!M$5*(1-SUM('Pre-allocation of NH3 in power'!M70:M140))+'Pre-allocation of NH3 in power'!M70*'Indirect NH3 demand sources'!M$5</f>
        <v>0</v>
      </c>
      <c r="N70">
        <f>'Electricity shares'!N70*'Indirect NH3 demand sources'!N$5*(1-SUM('Pre-allocation of NH3 in power'!N70:N140))+'Pre-allocation of NH3 in power'!N70*'Indirect NH3 demand sources'!N$5</f>
        <v>0</v>
      </c>
      <c r="O70">
        <f>'Electricity shares'!O70*'Indirect NH3 demand sources'!O$5*(1-SUM('Pre-allocation of NH3 in power'!O70:O140))+'Pre-allocation of NH3 in power'!O70*'Indirect NH3 demand sources'!O$5</f>
        <v>0</v>
      </c>
      <c r="P70">
        <f>'Electricity shares'!P70*'Indirect NH3 demand sources'!P$5*(1-SUM('Pre-allocation of NH3 in power'!P70:P140))+'Pre-allocation of NH3 in power'!P70*'Indirect NH3 demand sources'!P$5</f>
        <v>0</v>
      </c>
      <c r="Q70">
        <f>'Electricity shares'!Q70*'Indirect NH3 demand sources'!Q$5*(1-SUM('Pre-allocation of NH3 in power'!Q70:Q140))+'Pre-allocation of NH3 in power'!Q70*'Indirect NH3 demand sources'!Q$5</f>
        <v>0</v>
      </c>
      <c r="R70">
        <f>'Electricity shares'!R70*'Indirect NH3 demand sources'!R$5*(1-SUM('Pre-allocation of NH3 in power'!R70:R140))+'Pre-allocation of NH3 in power'!R70*'Indirect NH3 demand sources'!R$5</f>
        <v>1.7940516107410121E-4</v>
      </c>
      <c r="S70">
        <f>'Electricity shares'!S70*'Indirect NH3 demand sources'!S$5*(1-SUM('Pre-allocation of NH3 in power'!S70:S140))+'Pre-allocation of NH3 in power'!S70*'Indirect NH3 demand sources'!S$5</f>
        <v>3.5937861326085842E-4</v>
      </c>
      <c r="T70">
        <f>'Electricity shares'!T70*'Indirect NH3 demand sources'!T$5*(1-SUM('Pre-allocation of NH3 in power'!T70:T140))+'Pre-allocation of NH3 in power'!T70*'Indirect NH3 demand sources'!T$5</f>
        <v>5.3981464899512262E-4</v>
      </c>
      <c r="U70">
        <f>'Electricity shares'!U70*'Indirect NH3 demand sources'!U$5*(1-SUM('Pre-allocation of NH3 in power'!U70:U140))+'Pre-allocation of NH3 in power'!U70*'Indirect NH3 demand sources'!U$5</f>
        <v>7.2059422207819261E-4</v>
      </c>
      <c r="V70">
        <f>'Electricity shares'!V70*'Indirect NH3 demand sources'!V$5*(1-SUM('Pre-allocation of NH3 in power'!V70:V140))+'Pre-allocation of NH3 in power'!V70*'Indirect NH3 demand sources'!V$5</f>
        <v>9.0198882822493172E-4</v>
      </c>
      <c r="W70">
        <f>'Electricity shares'!W70*'Indirect NH3 demand sources'!W$5*(1-SUM('Pre-allocation of NH3 in power'!W70:W140))+'Pre-allocation of NH3 in power'!W70*'Indirect NH3 demand sources'!W$5</f>
        <v>1.3613473078244881E-3</v>
      </c>
      <c r="X70">
        <f>'Electricity shares'!X70*'Indirect NH3 demand sources'!X$5*(1-SUM('Pre-allocation of NH3 in power'!X70:X140))+'Pre-allocation of NH3 in power'!X70*'Indirect NH3 demand sources'!X$5</f>
        <v>1.8262230019105187E-3</v>
      </c>
      <c r="Y70">
        <f>'Electricity shares'!Y70*'Indirect NH3 demand sources'!Y$5*(1-SUM('Pre-allocation of NH3 in power'!Y70:Y140))+'Pre-allocation of NH3 in power'!Y70*'Indirect NH3 demand sources'!Y$5</f>
        <v>2.2968573890844056E-3</v>
      </c>
      <c r="Z70">
        <f>'Electricity shares'!Z70*'Indirect NH3 demand sources'!Z$5*(1-SUM('Pre-allocation of NH3 in power'!Z70:Z140))+'Pre-allocation of NH3 in power'!Z70*'Indirect NH3 demand sources'!Z$5</f>
        <v>2.7731232537515937E-3</v>
      </c>
      <c r="AA70">
        <f>'Electricity shares'!AA70*'Indirect NH3 demand sources'!AA$5*(1-SUM('Pre-allocation of NH3 in power'!AA70:AA140))+'Pre-allocation of NH3 in power'!AA70*'Indirect NH3 demand sources'!AA$5</f>
        <v>3.2551963484784962E-3</v>
      </c>
      <c r="AB70">
        <f>'Electricity shares'!AB70*'Indirect NH3 demand sources'!AB$5*(1-SUM('Pre-allocation of NH3 in power'!AB70:AB140))+'Pre-allocation of NH3 in power'!AB70*'Indirect NH3 demand sources'!AB$5</f>
        <v>3.7520150871853887E-3</v>
      </c>
      <c r="AC70">
        <f>'Electricity shares'!AC70*'Indirect NH3 demand sources'!AC$5*(1-SUM('Pre-allocation of NH3 in power'!AC70:AC140))+'Pre-allocation of NH3 in power'!AC70*'Indirect NH3 demand sources'!AC$5</f>
        <v>4.257632901395309E-3</v>
      </c>
      <c r="AD70">
        <f>'Electricity shares'!AD70*'Indirect NH3 demand sources'!AD$5*(1-SUM('Pre-allocation of NH3 in power'!AD70:AD140))+'Pre-allocation of NH3 in power'!AD70*'Indirect NH3 demand sources'!AD$5</f>
        <v>4.7723086786148686E-3</v>
      </c>
      <c r="AE70">
        <f>'Electricity shares'!AE70*'Indirect NH3 demand sources'!AE$5*(1-SUM('Pre-allocation of NH3 in power'!AE70:AE140))+'Pre-allocation of NH3 in power'!AE70*'Indirect NH3 demand sources'!AE$5</f>
        <v>5.2965797872787561E-3</v>
      </c>
      <c r="AF70">
        <f>'Electricity shares'!AF70*'Indirect NH3 demand sources'!AF$5*(1-SUM('Pre-allocation of NH3 in power'!AF70:AF140))+'Pre-allocation of NH3 in power'!AF70*'Indirect NH3 demand sources'!AF$5</f>
        <v>5.8309782706771609E-3</v>
      </c>
      <c r="AG70">
        <f>'Electricity shares'!AG70*'Indirect NH3 demand sources'!AG$5*(1-SUM('Pre-allocation of NH3 in power'!AG70:AG140))+'Pre-allocation of NH3 in power'!AG70*'Indirect NH3 demand sources'!AG$5</f>
        <v>6.2765882495255379E-3</v>
      </c>
      <c r="AH70">
        <f>'Electricity shares'!AH70*'Indirect NH3 demand sources'!AH$5*(1-SUM('Pre-allocation of NH3 in power'!AH70:AH140))+'Pre-allocation of NH3 in power'!AH70*'Indirect NH3 demand sources'!AH$5</f>
        <v>6.7321907898631305E-3</v>
      </c>
      <c r="AI70">
        <f>'Electricity shares'!AI70*'Indirect NH3 demand sources'!AI$5*(1-SUM('Pre-allocation of NH3 in power'!AI70:AI140))+'Pre-allocation of NH3 in power'!AI70*'Indirect NH3 demand sources'!AI$5</f>
        <v>7.1977582793400748E-3</v>
      </c>
      <c r="AJ70">
        <f>'Electricity shares'!AJ70*'Indirect NH3 demand sources'!AJ$5*(1-SUM('Pre-allocation of NH3 in power'!AJ70:AJ140))+'Pre-allocation of NH3 in power'!AJ70*'Indirect NH3 demand sources'!AJ$5</f>
        <v>7.6722562243985923E-3</v>
      </c>
      <c r="AK70">
        <f>'Electricity shares'!AK70*'Indirect NH3 demand sources'!AK$5*(1-SUM('Pre-allocation of NH3 in power'!AK70:AK140))+'Pre-allocation of NH3 in power'!AK70*'Indirect NH3 demand sources'!AK$5</f>
        <v>8.1566043350740428E-3</v>
      </c>
      <c r="AL70">
        <f>'Electricity shares'!AL70*'Indirect NH3 demand sources'!AL$5*(1-SUM('Pre-allocation of NH3 in power'!AL70:AL140))+'Pre-allocation of NH3 in power'!AL70*'Indirect NH3 demand sources'!AL$5</f>
        <v>8.6543421911564836E-3</v>
      </c>
      <c r="AM70">
        <f>'Electricity shares'!AM70*'Indirect NH3 demand sources'!AM$5*(1-SUM('Pre-allocation of NH3 in power'!AM70:AM140))+'Pre-allocation of NH3 in power'!AM70*'Indirect NH3 demand sources'!AM$5</f>
        <v>9.1609887365546854E-3</v>
      </c>
      <c r="AN70">
        <f>'Electricity shares'!AN70*'Indirect NH3 demand sources'!AN$5*(1-SUM('Pre-allocation of NH3 in power'!AN70:AN140))+'Pre-allocation of NH3 in power'!AN70*'Indirect NH3 demand sources'!AN$5</f>
        <v>9.680767717751091E-3</v>
      </c>
      <c r="AO70">
        <f>'Electricity shares'!AO70*'Indirect NH3 demand sources'!AO$5*(1-SUM('Pre-allocation of NH3 in power'!AO70:AO140))+'Pre-allocation of NH3 in power'!AO70*'Indirect NH3 demand sources'!AO$5</f>
        <v>1.0215025339614478E-2</v>
      </c>
      <c r="AP70">
        <f>'Electricity shares'!AP70*'Indirect NH3 demand sources'!AP$5*(1-SUM('Pre-allocation of NH3 in power'!AP70:AP140))+'Pre-allocation of NH3 in power'!AP70*'Indirect NH3 demand sources'!AP$5</f>
        <v>1.0765055457604249E-2</v>
      </c>
    </row>
    <row r="71" spans="1:42" x14ac:dyDescent="0.3">
      <c r="A71" t="s">
        <v>146</v>
      </c>
      <c r="B71">
        <f>'Electricity shares'!B71*'Indirect NH3 demand sources'!B$5*(1-SUM('Pre-allocation of NH3 in power'!B71:B141))+'Pre-allocation of NH3 in power'!B71*'Indirect NH3 demand sources'!B$5</f>
        <v>0</v>
      </c>
      <c r="C71">
        <f>'Electricity shares'!C71*'Indirect NH3 demand sources'!C$5*(1-SUM('Pre-allocation of NH3 in power'!C71:C141))+'Pre-allocation of NH3 in power'!C71*'Indirect NH3 demand sources'!C$5</f>
        <v>0</v>
      </c>
      <c r="D71">
        <f>'Electricity shares'!D71*'Indirect NH3 demand sources'!D$5*(1-SUM('Pre-allocation of NH3 in power'!D71:D141))+'Pre-allocation of NH3 in power'!D71*'Indirect NH3 demand sources'!D$5</f>
        <v>0</v>
      </c>
      <c r="E71">
        <f>'Electricity shares'!E71*'Indirect NH3 demand sources'!E$5*(1-SUM('Pre-allocation of NH3 in power'!E71:E141))+'Pre-allocation of NH3 in power'!E71*'Indirect NH3 demand sources'!E$5</f>
        <v>0</v>
      </c>
      <c r="F71">
        <f>'Electricity shares'!F71*'Indirect NH3 demand sources'!F$5*(1-SUM('Pre-allocation of NH3 in power'!F71:F141))+'Pre-allocation of NH3 in power'!F71*'Indirect NH3 demand sources'!F$5</f>
        <v>0</v>
      </c>
      <c r="G71">
        <f>'Electricity shares'!G71*'Indirect NH3 demand sources'!G$5*(1-SUM('Pre-allocation of NH3 in power'!G71:G141))+'Pre-allocation of NH3 in power'!G71*'Indirect NH3 demand sources'!G$5</f>
        <v>0</v>
      </c>
      <c r="H71">
        <f>'Electricity shares'!H71*'Indirect NH3 demand sources'!H$5*(1-SUM('Pre-allocation of NH3 in power'!H71:H141))+'Pre-allocation of NH3 in power'!H71*'Indirect NH3 demand sources'!H$5</f>
        <v>0</v>
      </c>
      <c r="I71">
        <f>'Electricity shares'!I71*'Indirect NH3 demand sources'!I$5*(1-SUM('Pre-allocation of NH3 in power'!I71:I141))+'Pre-allocation of NH3 in power'!I71*'Indirect NH3 demand sources'!I$5</f>
        <v>0</v>
      </c>
      <c r="J71">
        <f>'Electricity shares'!J71*'Indirect NH3 demand sources'!J$5*(1-SUM('Pre-allocation of NH3 in power'!J71:J141))+'Pre-allocation of NH3 in power'!J71*'Indirect NH3 demand sources'!J$5</f>
        <v>0</v>
      </c>
      <c r="K71">
        <f>'Electricity shares'!K71*'Indirect NH3 demand sources'!K$5*(1-SUM('Pre-allocation of NH3 in power'!K71:K141))+'Pre-allocation of NH3 in power'!K71*'Indirect NH3 demand sources'!K$5</f>
        <v>0</v>
      </c>
      <c r="L71">
        <f>'Electricity shares'!L71*'Indirect NH3 demand sources'!L$5*(1-SUM('Pre-allocation of NH3 in power'!L71:L141))+'Pre-allocation of NH3 in power'!L71*'Indirect NH3 demand sources'!L$5</f>
        <v>0</v>
      </c>
      <c r="M71">
        <f>'Electricity shares'!M71*'Indirect NH3 demand sources'!M$5*(1-SUM('Pre-allocation of NH3 in power'!M71:M141))+'Pre-allocation of NH3 in power'!M71*'Indirect NH3 demand sources'!M$5</f>
        <v>0</v>
      </c>
      <c r="N71">
        <f>'Electricity shares'!N71*'Indirect NH3 demand sources'!N$5*(1-SUM('Pre-allocation of NH3 in power'!N71:N141))+'Pre-allocation of NH3 in power'!N71*'Indirect NH3 demand sources'!N$5</f>
        <v>0</v>
      </c>
      <c r="O71">
        <f>'Electricity shares'!O71*'Indirect NH3 demand sources'!O$5*(1-SUM('Pre-allocation of NH3 in power'!O71:O141))+'Pre-allocation of NH3 in power'!O71*'Indirect NH3 demand sources'!O$5</f>
        <v>0</v>
      </c>
      <c r="P71">
        <f>'Electricity shares'!P71*'Indirect NH3 demand sources'!P$5*(1-SUM('Pre-allocation of NH3 in power'!P71:P141))+'Pre-allocation of NH3 in power'!P71*'Indirect NH3 demand sources'!P$5</f>
        <v>0</v>
      </c>
      <c r="Q71">
        <f>'Electricity shares'!Q71*'Indirect NH3 demand sources'!Q$5*(1-SUM('Pre-allocation of NH3 in power'!Q71:Q141))+'Pre-allocation of NH3 in power'!Q71*'Indirect NH3 demand sources'!Q$5</f>
        <v>0</v>
      </c>
      <c r="R71">
        <f>'Electricity shares'!R71*'Indirect NH3 demand sources'!R$5*(1-SUM('Pre-allocation of NH3 in power'!R71:R141))+'Pre-allocation of NH3 in power'!R71*'Indirect NH3 demand sources'!R$5</f>
        <v>1.8169739834709793E-4</v>
      </c>
      <c r="S71">
        <f>'Electricity shares'!S71*'Indirect NH3 demand sources'!S$5*(1-SUM('Pre-allocation of NH3 in power'!S71:S141))+'Pre-allocation of NH3 in power'!S71*'Indirect NH3 demand sources'!S$5</f>
        <v>3.6769881389057182E-4</v>
      </c>
      <c r="T71">
        <f>'Electricity shares'!T71*'Indirect NH3 demand sources'!T$5*(1-SUM('Pre-allocation of NH3 in power'!T71:T141))+'Pre-allocation of NH3 in power'!T71*'Indirect NH3 demand sources'!T$5</f>
        <v>5.5816044641671439E-4</v>
      </c>
      <c r="U71">
        <f>'Electricity shares'!U71*'Indirect NH3 demand sources'!U$5*(1-SUM('Pre-allocation of NH3 in power'!U71:U141))+'Pre-allocation of NH3 in power'!U71*'Indirect NH3 demand sources'!U$5</f>
        <v>7.5332211947890968E-4</v>
      </c>
      <c r="V71">
        <f>'Electricity shares'!V71*'Indirect NH3 demand sources'!V$5*(1-SUM('Pre-allocation of NH3 in power'!V71:V141))+'Pre-allocation of NH3 in power'!V71*'Indirect NH3 demand sources'!V$5</f>
        <v>9.5395737743752412E-4</v>
      </c>
      <c r="W71">
        <f>'Electricity shares'!W71*'Indirect NH3 demand sources'!W$5*(1-SUM('Pre-allocation of NH3 in power'!W71:W141))+'Pre-allocation of NH3 in power'!W71*'Indirect NH3 demand sources'!W$5</f>
        <v>1.4563771570563103E-3</v>
      </c>
      <c r="X71">
        <f>'Electricity shares'!X71*'Indirect NH3 demand sources'!X$5*(1-SUM('Pre-allocation of NH3 in power'!X71:X141))+'Pre-allocation of NH3 in power'!X71*'Indirect NH3 demand sources'!X$5</f>
        <v>1.9773661620904543E-3</v>
      </c>
      <c r="Y71">
        <f>'Electricity shares'!Y71*'Indirect NH3 demand sources'!Y$5*(1-SUM('Pre-allocation of NH3 in power'!Y71:Y141))+'Pre-allocation of NH3 in power'!Y71*'Indirect NH3 demand sources'!Y$5</f>
        <v>2.5183504248989415E-3</v>
      </c>
      <c r="Z71">
        <f>'Electricity shares'!Z71*'Indirect NH3 demand sources'!Z$5*(1-SUM('Pre-allocation of NH3 in power'!Z71:Z141))+'Pre-allocation of NH3 in power'!Z71*'Indirect NH3 demand sources'!Z$5</f>
        <v>3.0802368517454781E-3</v>
      </c>
      <c r="AA71">
        <f>'Electricity shares'!AA71*'Indirect NH3 demand sources'!AA$5*(1-SUM('Pre-allocation of NH3 in power'!AA71:AA141))+'Pre-allocation of NH3 in power'!AA71*'Indirect NH3 demand sources'!AA$5</f>
        <v>3.6655808150646602E-3</v>
      </c>
      <c r="AB71">
        <f>'Electricity shares'!AB71*'Indirect NH3 demand sources'!AB$5*(1-SUM('Pre-allocation of NH3 in power'!AB71:AB141))+'Pre-allocation of NH3 in power'!AB71*'Indirect NH3 demand sources'!AB$5</f>
        <v>4.283513165608187E-3</v>
      </c>
      <c r="AC71">
        <f>'Electricity shares'!AC71*'Indirect NH3 demand sources'!AC$5*(1-SUM('Pre-allocation of NH3 in power'!AC71:AC141))+'Pre-allocation of NH3 in power'!AC71*'Indirect NH3 demand sources'!AC$5</f>
        <v>4.9297174184770153E-3</v>
      </c>
      <c r="AD71">
        <f>'Electricity shares'!AD71*'Indirect NH3 demand sources'!AD$5*(1-SUM('Pre-allocation of NH3 in power'!AD71:AD141))+'Pre-allocation of NH3 in power'!AD71*'Indirect NH3 demand sources'!AD$5</f>
        <v>5.6050403354286722E-3</v>
      </c>
      <c r="AE71">
        <f>'Electricity shares'!AE71*'Indirect NH3 demand sources'!AE$5*(1-SUM('Pre-allocation of NH3 in power'!AE71:AE141))+'Pre-allocation of NH3 in power'!AE71*'Indirect NH3 demand sources'!AE$5</f>
        <v>6.3114506357952885E-3</v>
      </c>
      <c r="AF71">
        <f>'Electricity shares'!AF71*'Indirect NH3 demand sources'!AF$5*(1-SUM('Pre-allocation of NH3 in power'!AF71:AF141))+'Pre-allocation of NH3 in power'!AF71*'Indirect NH3 demand sources'!AF$5</f>
        <v>7.0487929661221379E-3</v>
      </c>
      <c r="AG71">
        <f>'Electricity shares'!AG71*'Indirect NH3 demand sources'!AG$5*(1-SUM('Pre-allocation of NH3 in power'!AG71:AG141))+'Pre-allocation of NH3 in power'!AG71*'Indirect NH3 demand sources'!AG$5</f>
        <v>7.6968701571638156E-3</v>
      </c>
      <c r="AH71">
        <f>'Electricity shares'!AH71*'Indirect NH3 demand sources'!AH$5*(1-SUM('Pre-allocation of NH3 in power'!AH71:AH141))+'Pre-allocation of NH3 in power'!AH71*'Indirect NH3 demand sources'!AH$5</f>
        <v>8.37260793617574E-3</v>
      </c>
      <c r="AI71">
        <f>'Electricity shares'!AI71*'Indirect NH3 demand sources'!AI$5*(1-SUM('Pre-allocation of NH3 in power'!AI71:AI141))+'Pre-allocation of NH3 in power'!AI71*'Indirect NH3 demand sources'!AI$5</f>
        <v>9.0738228032250113E-3</v>
      </c>
      <c r="AJ71">
        <f>'Electricity shares'!AJ71*'Indirect NH3 demand sources'!AJ$5*(1-SUM('Pre-allocation of NH3 in power'!AJ71:AJ141))+'Pre-allocation of NH3 in power'!AJ71*'Indirect NH3 demand sources'!AJ$5</f>
        <v>9.8014274740160535E-3</v>
      </c>
      <c r="AK71">
        <f>'Electricity shares'!AK71*'Indirect NH3 demand sources'!AK$5*(1-SUM('Pre-allocation of NH3 in power'!AK71:AK141))+'Pre-allocation of NH3 in power'!AK71*'Indirect NH3 demand sources'!AK$5</f>
        <v>1.0555089052811254E-2</v>
      </c>
      <c r="AL71">
        <f>'Electricity shares'!AL71*'Indirect NH3 demand sources'!AL$5*(1-SUM('Pre-allocation of NH3 in power'!AL71:AL141))+'Pre-allocation of NH3 in power'!AL71*'Indirect NH3 demand sources'!AL$5</f>
        <v>1.1329317405236898E-2</v>
      </c>
      <c r="AM71">
        <f>'Electricity shares'!AM71*'Indirect NH3 demand sources'!AM$5*(1-SUM('Pre-allocation of NH3 in power'!AM71:AM141))+'Pre-allocation of NH3 in power'!AM71*'Indirect NH3 demand sources'!AM$5</f>
        <v>1.2117257549615104E-2</v>
      </c>
      <c r="AN71">
        <f>'Electricity shares'!AN71*'Indirect NH3 demand sources'!AN$5*(1-SUM('Pre-allocation of NH3 in power'!AN71:AN141))+'Pre-allocation of NH3 in power'!AN71*'Indirect NH3 demand sources'!AN$5</f>
        <v>1.2925424747542574E-2</v>
      </c>
      <c r="AO71">
        <f>'Electricity shares'!AO71*'Indirect NH3 demand sources'!AO$5*(1-SUM('Pre-allocation of NH3 in power'!AO71:AO141))+'Pre-allocation of NH3 in power'!AO71*'Indirect NH3 demand sources'!AO$5</f>
        <v>1.3748930053352672E-2</v>
      </c>
      <c r="AP71">
        <f>'Electricity shares'!AP71*'Indirect NH3 demand sources'!AP$5*(1-SUM('Pre-allocation of NH3 in power'!AP71:AP141))+'Pre-allocation of NH3 in power'!AP71*'Indirect NH3 demand sources'!AP$5</f>
        <v>1.4590951949273033E-2</v>
      </c>
    </row>
    <row r="72" spans="1:42" x14ac:dyDescent="0.3">
      <c r="A72" t="s">
        <v>147</v>
      </c>
      <c r="B72">
        <f>'Electricity shares'!B72*'Indirect NH3 demand sources'!B$5*(1-SUM('Pre-allocation of NH3 in power'!B72:B142))+'Pre-allocation of NH3 in power'!B72*'Indirect NH3 demand sources'!B$5</f>
        <v>0</v>
      </c>
      <c r="C72">
        <f>'Electricity shares'!C72*'Indirect NH3 demand sources'!C$5*(1-SUM('Pre-allocation of NH3 in power'!C72:C142))+'Pre-allocation of NH3 in power'!C72*'Indirect NH3 demand sources'!C$5</f>
        <v>0</v>
      </c>
      <c r="D72">
        <f>'Electricity shares'!D72*'Indirect NH3 demand sources'!D$5*(1-SUM('Pre-allocation of NH3 in power'!D72:D142))+'Pre-allocation of NH3 in power'!D72*'Indirect NH3 demand sources'!D$5</f>
        <v>0</v>
      </c>
      <c r="E72">
        <f>'Electricity shares'!E72*'Indirect NH3 demand sources'!E$5*(1-SUM('Pre-allocation of NH3 in power'!E72:E142))+'Pre-allocation of NH3 in power'!E72*'Indirect NH3 demand sources'!E$5</f>
        <v>0</v>
      </c>
      <c r="F72">
        <f>'Electricity shares'!F72*'Indirect NH3 demand sources'!F$5*(1-SUM('Pre-allocation of NH3 in power'!F72:F142))+'Pre-allocation of NH3 in power'!F72*'Indirect NH3 demand sources'!F$5</f>
        <v>0</v>
      </c>
      <c r="G72">
        <f>'Electricity shares'!G72*'Indirect NH3 demand sources'!G$5*(1-SUM('Pre-allocation of NH3 in power'!G72:G142))+'Pre-allocation of NH3 in power'!G72*'Indirect NH3 demand sources'!G$5</f>
        <v>0</v>
      </c>
      <c r="H72">
        <f>'Electricity shares'!H72*'Indirect NH3 demand sources'!H$5*(1-SUM('Pre-allocation of NH3 in power'!H72:H142))+'Pre-allocation of NH3 in power'!H72*'Indirect NH3 demand sources'!H$5</f>
        <v>0</v>
      </c>
      <c r="I72">
        <f>'Electricity shares'!I72*'Indirect NH3 demand sources'!I$5*(1-SUM('Pre-allocation of NH3 in power'!I72:I142))+'Pre-allocation of NH3 in power'!I72*'Indirect NH3 demand sources'!I$5</f>
        <v>0</v>
      </c>
      <c r="J72">
        <f>'Electricity shares'!J72*'Indirect NH3 demand sources'!J$5*(1-SUM('Pre-allocation of NH3 in power'!J72:J142))+'Pre-allocation of NH3 in power'!J72*'Indirect NH3 demand sources'!J$5</f>
        <v>0</v>
      </c>
      <c r="K72">
        <f>'Electricity shares'!K72*'Indirect NH3 demand sources'!K$5*(1-SUM('Pre-allocation of NH3 in power'!K72:K142))+'Pre-allocation of NH3 in power'!K72*'Indirect NH3 demand sources'!K$5</f>
        <v>0</v>
      </c>
      <c r="L72">
        <f>'Electricity shares'!L72*'Indirect NH3 demand sources'!L$5*(1-SUM('Pre-allocation of NH3 in power'!L72:L142))+'Pre-allocation of NH3 in power'!L72*'Indirect NH3 demand sources'!L$5</f>
        <v>0</v>
      </c>
      <c r="M72">
        <f>'Electricity shares'!M72*'Indirect NH3 demand sources'!M$5*(1-SUM('Pre-allocation of NH3 in power'!M72:M142))+'Pre-allocation of NH3 in power'!M72*'Indirect NH3 demand sources'!M$5</f>
        <v>0</v>
      </c>
      <c r="N72">
        <f>'Electricity shares'!N72*'Indirect NH3 demand sources'!N$5*(1-SUM('Pre-allocation of NH3 in power'!N72:N142))+'Pre-allocation of NH3 in power'!N72*'Indirect NH3 demand sources'!N$5</f>
        <v>0</v>
      </c>
      <c r="O72">
        <f>'Electricity shares'!O72*'Indirect NH3 demand sources'!O$5*(1-SUM('Pre-allocation of NH3 in power'!O72:O142))+'Pre-allocation of NH3 in power'!O72*'Indirect NH3 demand sources'!O$5</f>
        <v>0</v>
      </c>
      <c r="P72">
        <f>'Electricity shares'!P72*'Indirect NH3 demand sources'!P$5*(1-SUM('Pre-allocation of NH3 in power'!P72:P142))+'Pre-allocation of NH3 in power'!P72*'Indirect NH3 demand sources'!P$5</f>
        <v>0</v>
      </c>
      <c r="Q72">
        <f>'Electricity shares'!Q72*'Indirect NH3 demand sources'!Q$5*(1-SUM('Pre-allocation of NH3 in power'!Q72:Q142))+'Pre-allocation of NH3 in power'!Q72*'Indirect NH3 demand sources'!Q$5</f>
        <v>0</v>
      </c>
      <c r="R72">
        <f>'Electricity shares'!R72*'Indirect NH3 demand sources'!R$5*(1-SUM('Pre-allocation of NH3 in power'!R72:R142))+'Pre-allocation of NH3 in power'!R72*'Indirect NH3 demand sources'!R$5</f>
        <v>2.0977711790921417E-3</v>
      </c>
      <c r="S72">
        <f>'Electricity shares'!S72*'Indirect NH3 demand sources'!S$5*(1-SUM('Pre-allocation of NH3 in power'!S72:S142))+'Pre-allocation of NH3 in power'!S72*'Indirect NH3 demand sources'!S$5</f>
        <v>4.2722786247097423E-3</v>
      </c>
      <c r="T72">
        <f>'Electricity shares'!T72*'Indirect NH3 demand sources'!T$5*(1-SUM('Pre-allocation of NH3 in power'!T72:T142))+'Pre-allocation of NH3 in power'!T72*'Indirect NH3 demand sources'!T$5</f>
        <v>6.5306746421360286E-3</v>
      </c>
      <c r="U72">
        <f>'Electricity shares'!U72*'Indirect NH3 demand sources'!U$5*(1-SUM('Pre-allocation of NH3 in power'!U72:U142))+'Pre-allocation of NH3 in power'!U72*'Indirect NH3 demand sources'!U$5</f>
        <v>8.8809067292873658E-3</v>
      </c>
      <c r="V72">
        <f>'Electricity shares'!V72*'Indirect NH3 demand sources'!V$5*(1-SUM('Pre-allocation of NH3 in power'!V72:V142))+'Pre-allocation of NH3 in power'!V72*'Indirect NH3 demand sources'!V$5</f>
        <v>1.1334775964822082E-2</v>
      </c>
      <c r="W72">
        <f>'Electricity shares'!W72*'Indirect NH3 demand sources'!W$5*(1-SUM('Pre-allocation of NH3 in power'!W72:W142))+'Pre-allocation of NH3 in power'!W72*'Indirect NH3 demand sources'!W$5</f>
        <v>1.729444369975057E-2</v>
      </c>
      <c r="X72">
        <f>'Electricity shares'!X72*'Indirect NH3 demand sources'!X$5*(1-SUM('Pre-allocation of NH3 in power'!X72:X142))+'Pre-allocation of NH3 in power'!X72*'Indirect NH3 demand sources'!X$5</f>
        <v>2.3472709128827166E-2</v>
      </c>
      <c r="Y72">
        <f>'Electricity shares'!Y72*'Indirect NH3 demand sources'!Y$5*(1-SUM('Pre-allocation of NH3 in power'!Y72:Y142))+'Pre-allocation of NH3 in power'!Y72*'Indirect NH3 demand sources'!Y$5</f>
        <v>2.9888671988745411E-2</v>
      </c>
      <c r="Z72">
        <f>'Electricity shares'!Z72*'Indirect NH3 demand sources'!Z$5*(1-SUM('Pre-allocation of NH3 in power'!Z72:Z142))+'Pre-allocation of NH3 in power'!Z72*'Indirect NH3 demand sources'!Z$5</f>
        <v>3.6565293504502591E-2</v>
      </c>
      <c r="AA72">
        <f>'Electricity shares'!AA72*'Indirect NH3 demand sources'!AA$5*(1-SUM('Pre-allocation of NH3 in power'!AA72:AA142))+'Pre-allocation of NH3 in power'!AA72*'Indirect NH3 demand sources'!AA$5</f>
        <v>4.3515921428148058E-2</v>
      </c>
      <c r="AB72">
        <f>'Electricity shares'!AB72*'Indirect NH3 demand sources'!AB$5*(1-SUM('Pre-allocation of NH3 in power'!AB72:AB142))+'Pre-allocation of NH3 in power'!AB72*'Indirect NH3 demand sources'!AB$5</f>
        <v>5.0565078197903492E-2</v>
      </c>
      <c r="AC72">
        <f>'Electricity shares'!AC72*'Indirect NH3 demand sources'!AC$5*(1-SUM('Pre-allocation of NH3 in power'!AC72:AC142))+'Pre-allocation of NH3 in power'!AC72*'Indirect NH3 demand sources'!AC$5</f>
        <v>5.7846628017397005E-2</v>
      </c>
      <c r="AD72">
        <f>'Electricity shares'!AD72*'Indirect NH3 demand sources'!AD$5*(1-SUM('Pre-allocation of NH3 in power'!AD72:AD142))+'Pre-allocation of NH3 in power'!AD72*'Indirect NH3 demand sources'!AD$5</f>
        <v>6.5346790242096775E-2</v>
      </c>
      <c r="AE72">
        <f>'Electricity shares'!AE72*'Indirect NH3 demand sources'!AE$5*(1-SUM('Pre-allocation of NH3 in power'!AE72:AE142))+'Pre-allocation of NH3 in power'!AE72*'Indirect NH3 demand sources'!AE$5</f>
        <v>7.305468958449618E-2</v>
      </c>
      <c r="AF72">
        <f>'Electricity shares'!AF72*'Indirect NH3 demand sources'!AF$5*(1-SUM('Pre-allocation of NH3 in power'!AF72:AF142))+'Pre-allocation of NH3 in power'!AF72*'Indirect NH3 demand sources'!AF$5</f>
        <v>8.0964610040960616E-2</v>
      </c>
      <c r="AG72">
        <f>'Electricity shares'!AG72*'Indirect NH3 demand sources'!AG$5*(1-SUM('Pre-allocation of NH3 in power'!AG72:AG142))+'Pre-allocation of NH3 in power'!AG72*'Indirect NH3 demand sources'!AG$5</f>
        <v>8.7699308315515201E-2</v>
      </c>
      <c r="AH72">
        <f>'Electricity shares'!AH72*'Indirect NH3 demand sources'!AH$5*(1-SUM('Pre-allocation of NH3 in power'!AH72:AH142))+'Pre-allocation of NH3 in power'!AH72*'Indirect NH3 demand sources'!AH$5</f>
        <v>9.4608169468564846E-2</v>
      </c>
      <c r="AI72">
        <f>'Electricity shares'!AI72*'Indirect NH3 demand sources'!AI$5*(1-SUM('Pre-allocation of NH3 in power'!AI72:AI142))+'Pre-allocation of NH3 in power'!AI72*'Indirect NH3 demand sources'!AI$5</f>
        <v>0.10168636512986336</v>
      </c>
      <c r="AJ72">
        <f>'Electricity shares'!AJ72*'Indirect NH3 demand sources'!AJ$5*(1-SUM('Pre-allocation of NH3 in power'!AJ72:AJ142))+'Pre-allocation of NH3 in power'!AJ72*'Indirect NH3 demand sources'!AJ$5</f>
        <v>0.10892280547990967</v>
      </c>
      <c r="AK72">
        <f>'Electricity shares'!AK72*'Indirect NH3 demand sources'!AK$5*(1-SUM('Pre-allocation of NH3 in power'!AK72:AK142))+'Pre-allocation of NH3 in power'!AK72*'Indirect NH3 demand sources'!AK$5</f>
        <v>0.11635058242557757</v>
      </c>
      <c r="AL72">
        <f>'Electricity shares'!AL72*'Indirect NH3 demand sources'!AL$5*(1-SUM('Pre-allocation of NH3 in power'!AL72:AL142))+'Pre-allocation of NH3 in power'!AL72*'Indirect NH3 demand sources'!AL$5</f>
        <v>0.12395443773047771</v>
      </c>
      <c r="AM72">
        <f>'Electricity shares'!AM72*'Indirect NH3 demand sources'!AM$5*(1-SUM('Pre-allocation of NH3 in power'!AM72:AM142))+'Pre-allocation of NH3 in power'!AM72*'Indirect NH3 demand sources'!AM$5</f>
        <v>0.13170071266137209</v>
      </c>
      <c r="AN72">
        <f>'Electricity shares'!AN72*'Indirect NH3 demand sources'!AN$5*(1-SUM('Pre-allocation of NH3 in power'!AN72:AN142))+'Pre-allocation of NH3 in power'!AN72*'Indirect NH3 demand sources'!AN$5</f>
        <v>0.13963686432534822</v>
      </c>
      <c r="AO72">
        <f>'Electricity shares'!AO72*'Indirect NH3 demand sources'!AO$5*(1-SUM('Pre-allocation of NH3 in power'!AO72:AO142))+'Pre-allocation of NH3 in power'!AO72*'Indirect NH3 demand sources'!AO$5</f>
        <v>0.14776296653042037</v>
      </c>
      <c r="AP72">
        <f>'Electricity shares'!AP72*'Indirect NH3 demand sources'!AP$5*(1-SUM('Pre-allocation of NH3 in power'!AP72:AP142))+'Pre-allocation of NH3 in power'!AP72*'Indirect NH3 demand sources'!AP$5</f>
        <v>0.15609215495976747</v>
      </c>
    </row>
    <row r="73" spans="1:42" x14ac:dyDescent="0.3">
      <c r="A73" t="s">
        <v>148</v>
      </c>
      <c r="B73">
        <f>'Electricity shares'!B73*'Indirect NH3 demand sources'!B$5*(1-SUM('Pre-allocation of NH3 in power'!B73:B143))+'Pre-allocation of NH3 in power'!B73*'Indirect NH3 demand sources'!B$5</f>
        <v>0</v>
      </c>
      <c r="C73">
        <f>'Electricity shares'!C73*'Indirect NH3 demand sources'!C$5*(1-SUM('Pre-allocation of NH3 in power'!C73:C143))+'Pre-allocation of NH3 in power'!C73*'Indirect NH3 demand sources'!C$5</f>
        <v>0</v>
      </c>
      <c r="D73">
        <f>'Electricity shares'!D73*'Indirect NH3 demand sources'!D$5*(1-SUM('Pre-allocation of NH3 in power'!D73:D143))+'Pre-allocation of NH3 in power'!D73*'Indirect NH3 demand sources'!D$5</f>
        <v>0</v>
      </c>
      <c r="E73">
        <f>'Electricity shares'!E73*'Indirect NH3 demand sources'!E$5*(1-SUM('Pre-allocation of NH3 in power'!E73:E143))+'Pre-allocation of NH3 in power'!E73*'Indirect NH3 demand sources'!E$5</f>
        <v>0</v>
      </c>
      <c r="F73">
        <f>'Electricity shares'!F73*'Indirect NH3 demand sources'!F$5*(1-SUM('Pre-allocation of NH3 in power'!F73:F143))+'Pre-allocation of NH3 in power'!F73*'Indirect NH3 demand sources'!F$5</f>
        <v>0</v>
      </c>
      <c r="G73">
        <f>'Electricity shares'!G73*'Indirect NH3 demand sources'!G$5*(1-SUM('Pre-allocation of NH3 in power'!G73:G143))+'Pre-allocation of NH3 in power'!G73*'Indirect NH3 demand sources'!G$5</f>
        <v>0</v>
      </c>
      <c r="H73">
        <f>'Electricity shares'!H73*'Indirect NH3 demand sources'!H$5*(1-SUM('Pre-allocation of NH3 in power'!H73:H143))+'Pre-allocation of NH3 in power'!H73*'Indirect NH3 demand sources'!H$5</f>
        <v>0</v>
      </c>
      <c r="I73">
        <f>'Electricity shares'!I73*'Indirect NH3 demand sources'!I$5*(1-SUM('Pre-allocation of NH3 in power'!I73:I143))+'Pre-allocation of NH3 in power'!I73*'Indirect NH3 demand sources'!I$5</f>
        <v>0</v>
      </c>
      <c r="J73">
        <f>'Electricity shares'!J73*'Indirect NH3 demand sources'!J$5*(1-SUM('Pre-allocation of NH3 in power'!J73:J143))+'Pre-allocation of NH3 in power'!J73*'Indirect NH3 demand sources'!J$5</f>
        <v>0</v>
      </c>
      <c r="K73">
        <f>'Electricity shares'!K73*'Indirect NH3 demand sources'!K$5*(1-SUM('Pre-allocation of NH3 in power'!K73:K143))+'Pre-allocation of NH3 in power'!K73*'Indirect NH3 demand sources'!K$5</f>
        <v>0</v>
      </c>
      <c r="L73">
        <f>'Electricity shares'!L73*'Indirect NH3 demand sources'!L$5*(1-SUM('Pre-allocation of NH3 in power'!L73:L143))+'Pre-allocation of NH3 in power'!L73*'Indirect NH3 demand sources'!L$5</f>
        <v>0</v>
      </c>
      <c r="M73">
        <f>'Electricity shares'!M73*'Indirect NH3 demand sources'!M$5*(1-SUM('Pre-allocation of NH3 in power'!M73:M143))+'Pre-allocation of NH3 in power'!M73*'Indirect NH3 demand sources'!M$5</f>
        <v>0</v>
      </c>
      <c r="N73">
        <f>'Electricity shares'!N73*'Indirect NH3 demand sources'!N$5*(1-SUM('Pre-allocation of NH3 in power'!N73:N143))+'Pre-allocation of NH3 in power'!N73*'Indirect NH3 demand sources'!N$5</f>
        <v>0</v>
      </c>
      <c r="O73">
        <f>'Electricity shares'!O73*'Indirect NH3 demand sources'!O$5*(1-SUM('Pre-allocation of NH3 in power'!O73:O143))+'Pre-allocation of NH3 in power'!O73*'Indirect NH3 demand sources'!O$5</f>
        <v>0</v>
      </c>
      <c r="P73">
        <f>'Electricity shares'!P73*'Indirect NH3 demand sources'!P$5*(1-SUM('Pre-allocation of NH3 in power'!P73:P143))+'Pre-allocation of NH3 in power'!P73*'Indirect NH3 demand sources'!P$5</f>
        <v>0</v>
      </c>
      <c r="Q73">
        <f>'Electricity shares'!Q73*'Indirect NH3 demand sources'!Q$5*(1-SUM('Pre-allocation of NH3 in power'!Q73:Q143))+'Pre-allocation of NH3 in power'!Q73*'Indirect NH3 demand sources'!Q$5</f>
        <v>0</v>
      </c>
      <c r="R73">
        <f>'Electricity shares'!R73*'Indirect NH3 demand sources'!R$5*(1-SUM('Pre-allocation of NH3 in power'!R73:R143))+'Pre-allocation of NH3 in power'!R73*'Indirect NH3 demand sources'!R$5</f>
        <v>2.6642066802184698E-3</v>
      </c>
      <c r="S73">
        <f>'Electricity shares'!S73*'Indirect NH3 demand sources'!S$5*(1-SUM('Pre-allocation of NH3 in power'!S73:S143))+'Pre-allocation of NH3 in power'!S73*'Indirect NH3 demand sources'!S$5</f>
        <v>5.5121740818791995E-3</v>
      </c>
      <c r="T73">
        <f>'Electricity shares'!T73*'Indirect NH3 demand sources'!T$5*(1-SUM('Pre-allocation of NH3 in power'!T73:T143))+'Pre-allocation of NH3 in power'!T73*'Indirect NH3 demand sources'!T$5</f>
        <v>8.5542028390936439E-3</v>
      </c>
      <c r="U73">
        <f>'Electricity shares'!U73*'Indirect NH3 demand sources'!U$5*(1-SUM('Pre-allocation of NH3 in power'!U73:U143))+'Pre-allocation of NH3 in power'!U73*'Indirect NH3 demand sources'!U$5</f>
        <v>1.1806293522104903E-2</v>
      </c>
      <c r="V73">
        <f>'Electricity shares'!V73*'Indirect NH3 demand sources'!V$5*(1-SUM('Pre-allocation of NH3 in power'!V73:V143))+'Pre-allocation of NH3 in power'!V73*'Indirect NH3 demand sources'!V$5</f>
        <v>1.5281273377109278E-2</v>
      </c>
      <c r="W73">
        <f>'Electricity shares'!W73*'Indirect NH3 demand sources'!W$5*(1-SUM('Pre-allocation of NH3 in power'!W73:W143))+'Pre-allocation of NH3 in power'!W73*'Indirect NH3 demand sources'!W$5</f>
        <v>2.358211694095505E-2</v>
      </c>
      <c r="X73">
        <f>'Electricity shares'!X73*'Indirect NH3 demand sources'!X$5*(1-SUM('Pre-allocation of NH3 in power'!X73:X143))+'Pre-allocation of NH3 in power'!X73*'Indirect NH3 demand sources'!X$5</f>
        <v>3.2355439256013752E-2</v>
      </c>
      <c r="Y73">
        <f>'Electricity shares'!Y73*'Indirect NH3 demand sources'!Y$5*(1-SUM('Pre-allocation of NH3 in power'!Y73:Y143))+'Pre-allocation of NH3 in power'!Y73*'Indirect NH3 demand sources'!Y$5</f>
        <v>4.1629380528509577E-2</v>
      </c>
      <c r="Z73">
        <f>'Electricity shares'!Z73*'Indirect NH3 demand sources'!Z$5*(1-SUM('Pre-allocation of NH3 in power'!Z73:Z143))+'Pre-allocation of NH3 in power'!Z73*'Indirect NH3 demand sources'!Z$5</f>
        <v>5.1432590118409671E-2</v>
      </c>
      <c r="AA73">
        <f>'Electricity shares'!AA73*'Indirect NH3 demand sources'!AA$5*(1-SUM('Pre-allocation of NH3 in power'!AA73:AA143))+'Pre-allocation of NH3 in power'!AA73*'Indirect NH3 demand sources'!AA$5</f>
        <v>6.1802447155296106E-2</v>
      </c>
      <c r="AB73">
        <f>'Electricity shares'!AB73*'Indirect NH3 demand sources'!AB$5*(1-SUM('Pre-allocation of NH3 in power'!AB73:AB143))+'Pre-allocation of NH3 in power'!AB73*'Indirect NH3 demand sources'!AB$5</f>
        <v>7.2438639541892488E-2</v>
      </c>
      <c r="AC73">
        <f>'Electricity shares'!AC73*'Indirect NH3 demand sources'!AC$5*(1-SUM('Pre-allocation of NH3 in power'!AC73:AC143))+'Pre-allocation of NH3 in power'!AC73*'Indirect NH3 demand sources'!AC$5</f>
        <v>8.3617425905741172E-2</v>
      </c>
      <c r="AD73">
        <f>'Electricity shares'!AD73*'Indirect NH3 demand sources'!AD$5*(1-SUM('Pre-allocation of NH3 in power'!AD73:AD143))+'Pre-allocation of NH3 in power'!AD73*'Indirect NH3 demand sources'!AD$5</f>
        <v>9.5361244474938239E-2</v>
      </c>
      <c r="AE73">
        <f>'Electricity shares'!AE73*'Indirect NH3 demand sources'!AE$5*(1-SUM('Pre-allocation of NH3 in power'!AE73:AE143))+'Pre-allocation of NH3 in power'!AE73*'Indirect NH3 demand sources'!AE$5</f>
        <v>0.10771621650669033</v>
      </c>
      <c r="AF73">
        <f>'Electricity shares'!AF73*'Indirect NH3 demand sources'!AF$5*(1-SUM('Pre-allocation of NH3 in power'!AF73:AF143))+'Pre-allocation of NH3 in power'!AF73*'Indirect NH3 demand sources'!AF$5</f>
        <v>0.12066904089409161</v>
      </c>
      <c r="AG73">
        <f>'Electricity shares'!AG73*'Indirect NH3 demand sources'!AG$5*(1-SUM('Pre-allocation of NH3 in power'!AG73:AG143))+'Pre-allocation of NH3 in power'!AG73*'Indirect NH3 demand sources'!AG$5</f>
        <v>0.13217175703875558</v>
      </c>
      <c r="AH73">
        <f>'Electricity shares'!AH73*'Indirect NH3 demand sources'!AH$5*(1-SUM('Pre-allocation of NH3 in power'!AH73:AH143))+'Pre-allocation of NH3 in power'!AH73*'Indirect NH3 demand sources'!AH$5</f>
        <v>0.14419223802088002</v>
      </c>
      <c r="AI73">
        <f>'Electricity shares'!AI73*'Indirect NH3 demand sources'!AI$5*(1-SUM('Pre-allocation of NH3 in power'!AI73:AI143))+'Pre-allocation of NH3 in power'!AI73*'Indirect NH3 demand sources'!AI$5</f>
        <v>0.15668232290199258</v>
      </c>
      <c r="AJ73">
        <f>'Electricity shares'!AJ73*'Indirect NH3 demand sources'!AJ$5*(1-SUM('Pre-allocation of NH3 in power'!AJ73:AJ143))+'Pre-allocation of NH3 in power'!AJ73*'Indirect NH3 demand sources'!AJ$5</f>
        <v>0.16947039561035079</v>
      </c>
      <c r="AK73">
        <f>'Electricity shares'!AK73*'Indirect NH3 demand sources'!AK$5*(1-SUM('Pre-allocation of NH3 in power'!AK73:AK143))+'Pre-allocation of NH3 in power'!AK73*'Indirect NH3 demand sources'!AK$5</f>
        <v>0.18207828981678006</v>
      </c>
      <c r="AL73">
        <f>'Electricity shares'!AL73*'Indirect NH3 demand sources'!AL$5*(1-SUM('Pre-allocation of NH3 in power'!AL73:AL143))+'Pre-allocation of NH3 in power'!AL73*'Indirect NH3 demand sources'!AL$5</f>
        <v>0.19306467066858407</v>
      </c>
      <c r="AM73">
        <f>'Electricity shares'!AM73*'Indirect NH3 demand sources'!AM$5*(1-SUM('Pre-allocation of NH3 in power'!AM73:AM143))+'Pre-allocation of NH3 in power'!AM73*'Indirect NH3 demand sources'!AM$5</f>
        <v>0.2092145418890155</v>
      </c>
      <c r="AN73">
        <f>'Electricity shares'!AN73*'Indirect NH3 demand sources'!AN$5*(1-SUM('Pre-allocation of NH3 in power'!AN73:AN143))+'Pre-allocation of NH3 in power'!AN73*'Indirect NH3 demand sources'!AN$5</f>
        <v>0.22493953675995149</v>
      </c>
      <c r="AO73">
        <f>'Electricity shares'!AO73*'Indirect NH3 demand sources'!AO$5*(1-SUM('Pre-allocation of NH3 in power'!AO73:AO143))+'Pre-allocation of NH3 in power'!AO73*'Indirect NH3 demand sources'!AO$5</f>
        <v>0.24151700517624616</v>
      </c>
      <c r="AP73">
        <f>'Electricity shares'!AP73*'Indirect NH3 demand sources'!AP$5*(1-SUM('Pre-allocation of NH3 in power'!AP73:AP143))+'Pre-allocation of NH3 in power'!AP73*'Indirect NH3 demand sources'!AP$5</f>
        <v>0.25856336712602118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Indirect NH3 demand sources</vt:lpstr>
      <vt:lpstr>Methanol demand shares</vt:lpstr>
      <vt:lpstr>NH3 as trade precursor</vt:lpstr>
      <vt:lpstr>Total exports</vt:lpstr>
      <vt:lpstr>Export shares</vt:lpstr>
      <vt:lpstr>NH3 for maritime industry</vt:lpstr>
      <vt:lpstr>Total electricity generation</vt:lpstr>
      <vt:lpstr>Electricity shares</vt:lpstr>
      <vt:lpstr>Pre-allocation of NH3 in power</vt:lpstr>
      <vt:lpstr>NH3 for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Vercoulen</dc:creator>
  <cp:lastModifiedBy>Pim Vercoulen</cp:lastModifiedBy>
  <dcterms:created xsi:type="dcterms:W3CDTF">2025-12-18T15:12:01Z</dcterms:created>
  <dcterms:modified xsi:type="dcterms:W3CDTF">2025-12-19T11:48:35Z</dcterms:modified>
</cp:coreProperties>
</file>